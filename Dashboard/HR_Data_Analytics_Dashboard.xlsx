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hidePivotFieldList="1" defaultThemeVersion="166925"/>
  <mc:AlternateContent xmlns:mc="http://schemas.openxmlformats.org/markup-compatibility/2006">
    <mc:Choice Requires="x15">
      <x15ac:absPath xmlns:x15ac="http://schemas.microsoft.com/office/spreadsheetml/2010/11/ac" url="https://d.docs.live.net/f44d7943cd19e633/Documents/"/>
    </mc:Choice>
  </mc:AlternateContent>
  <xr:revisionPtr revIDLastSave="0" documentId="8_{F771A03F-4875-4286-82E5-F3C4F6EA16AB}" xr6:coauthVersionLast="47" xr6:coauthVersionMax="47" xr10:uidLastSave="{00000000-0000-0000-0000-000000000000}"/>
  <bookViews>
    <workbookView xWindow="0" yWindow="660" windowWidth="29400" windowHeight="16980" firstSheet="5" activeTab="5" xr2:uid="{7CE4B6A6-96F7-48DF-B2C8-38B6FED79F6C}"/>
  </bookViews>
  <sheets>
    <sheet name="Raw data" sheetId="10" r:id="rId1"/>
    <sheet name="KPI's" sheetId="14" r:id="rId2"/>
    <sheet name="pivot tables" sheetId="17" r:id="rId3"/>
    <sheet name="cleaned hr data" sheetId="9" r:id="rId4"/>
    <sheet name="Charts" sheetId="21" r:id="rId5"/>
    <sheet name="Dashboard" sheetId="22" r:id="rId6"/>
  </sheets>
  <definedNames>
    <definedName name="ExternalData_1" localSheetId="3" hidden="1">'cleaned hr data'!$A$1:$X$1471</definedName>
    <definedName name="Slicer_Age_Group">#N/A</definedName>
    <definedName name="Slicer_Attrition">#N/A</definedName>
    <definedName name="Slicer_Department">#N/A</definedName>
    <definedName name="Slicer_Gender">#N/A</definedName>
    <definedName name="Slicer_Job_Role">#N/A</definedName>
  </definedNames>
  <calcPr calcId="191028"/>
  <pivotCaches>
    <pivotCache cacheId="52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7" i="22" l="1"/>
  <c r="Y1471" i="9"/>
  <c r="Y1470" i="9"/>
  <c r="Y1469" i="9"/>
  <c r="Y1468" i="9"/>
  <c r="Y1467" i="9"/>
  <c r="Y1466" i="9"/>
  <c r="Y1465" i="9"/>
  <c r="Y1464" i="9"/>
  <c r="Y1463" i="9"/>
  <c r="Y1462" i="9"/>
  <c r="Y1461" i="9"/>
  <c r="Y1460" i="9"/>
  <c r="Y1459" i="9"/>
  <c r="Y1458" i="9"/>
  <c r="Y1457" i="9"/>
  <c r="Y1456" i="9"/>
  <c r="Y1455" i="9"/>
  <c r="Y1454" i="9"/>
  <c r="Y1453" i="9"/>
  <c r="Y1452" i="9"/>
  <c r="Y1451" i="9"/>
  <c r="Y1450" i="9"/>
  <c r="Y1449" i="9"/>
  <c r="Y1448" i="9"/>
  <c r="Y1447" i="9"/>
  <c r="Y1446" i="9"/>
  <c r="Y1445" i="9"/>
  <c r="Y1444" i="9"/>
  <c r="Y1443" i="9"/>
  <c r="Y1442" i="9"/>
  <c r="Y1441" i="9"/>
  <c r="Y1440" i="9"/>
  <c r="Y1439" i="9"/>
  <c r="Y1438" i="9"/>
  <c r="Y1437" i="9"/>
  <c r="Y1436" i="9"/>
  <c r="Y1435" i="9"/>
  <c r="Y1434" i="9"/>
  <c r="Y1433" i="9"/>
  <c r="Y1432" i="9"/>
  <c r="Y1431" i="9"/>
  <c r="Y1430" i="9"/>
  <c r="Y1429" i="9"/>
  <c r="Y1428" i="9"/>
  <c r="Y1427" i="9"/>
  <c r="Y1426" i="9"/>
  <c r="Y1425" i="9"/>
  <c r="Y1424" i="9"/>
  <c r="Y1423" i="9"/>
  <c r="Y1422" i="9"/>
  <c r="Y1421" i="9"/>
  <c r="Y1420" i="9"/>
  <c r="Y1419" i="9"/>
  <c r="Y1418" i="9"/>
  <c r="Y1417" i="9"/>
  <c r="Y1416" i="9"/>
  <c r="Y1415" i="9"/>
  <c r="Y1414" i="9"/>
  <c r="Y1413" i="9"/>
  <c r="Y1412" i="9"/>
  <c r="Y1411" i="9"/>
  <c r="Y1410" i="9"/>
  <c r="Y1409" i="9"/>
  <c r="Y1408" i="9"/>
  <c r="Y1407" i="9"/>
  <c r="Y1406" i="9"/>
  <c r="Y1405" i="9"/>
  <c r="Y1404" i="9"/>
  <c r="Y1403" i="9"/>
  <c r="Y1402" i="9"/>
  <c r="Y1401" i="9"/>
  <c r="Y1400" i="9"/>
  <c r="Y1399" i="9"/>
  <c r="Y1398" i="9"/>
  <c r="Y1397" i="9"/>
  <c r="Y1396" i="9"/>
  <c r="Y1395" i="9"/>
  <c r="Y1394" i="9"/>
  <c r="Y1393" i="9"/>
  <c r="Y1392" i="9"/>
  <c r="Y1391" i="9"/>
  <c r="Y1390" i="9"/>
  <c r="Y1389" i="9"/>
  <c r="Y1388" i="9"/>
  <c r="Y1387" i="9"/>
  <c r="Y1386" i="9"/>
  <c r="Y1385" i="9"/>
  <c r="Y1384" i="9"/>
  <c r="Y1383" i="9"/>
  <c r="Y1382" i="9"/>
  <c r="Y1381" i="9"/>
  <c r="Y1380" i="9"/>
  <c r="Y1379" i="9"/>
  <c r="Y1378" i="9"/>
  <c r="Y1377" i="9"/>
  <c r="Y1376" i="9"/>
  <c r="Y1375" i="9"/>
  <c r="Y1374" i="9"/>
  <c r="Y1373" i="9"/>
  <c r="Y1372" i="9"/>
  <c r="Y1371" i="9"/>
  <c r="Y1370" i="9"/>
  <c r="Y1369" i="9"/>
  <c r="Y1368" i="9"/>
  <c r="Y1367" i="9"/>
  <c r="Y1366" i="9"/>
  <c r="Y1365" i="9"/>
  <c r="Y1364" i="9"/>
  <c r="Y1363" i="9"/>
  <c r="Y1362" i="9"/>
  <c r="Y1361" i="9"/>
  <c r="Y1360" i="9"/>
  <c r="Y1359" i="9"/>
  <c r="Y1358" i="9"/>
  <c r="Y1357" i="9"/>
  <c r="Y1356" i="9"/>
  <c r="Y1355" i="9"/>
  <c r="Y1354" i="9"/>
  <c r="Y1353" i="9"/>
  <c r="Y1352" i="9"/>
  <c r="Y1351" i="9"/>
  <c r="Y1350" i="9"/>
  <c r="Y1349" i="9"/>
  <c r="Y1348" i="9"/>
  <c r="Y1347" i="9"/>
  <c r="Y1346" i="9"/>
  <c r="Y1345" i="9"/>
  <c r="Y1344" i="9"/>
  <c r="Y1343" i="9"/>
  <c r="Y1342" i="9"/>
  <c r="Y1341" i="9"/>
  <c r="Y1340" i="9"/>
  <c r="Y1339" i="9"/>
  <c r="Y1338" i="9"/>
  <c r="Y1337" i="9"/>
  <c r="Y1336" i="9"/>
  <c r="Y1335" i="9"/>
  <c r="Y1334" i="9"/>
  <c r="Y1333" i="9"/>
  <c r="Y1332" i="9"/>
  <c r="Y1331" i="9"/>
  <c r="Y1330" i="9"/>
  <c r="Y1329" i="9"/>
  <c r="Y1328" i="9"/>
  <c r="Y1327" i="9"/>
  <c r="Y1326" i="9"/>
  <c r="Y1325" i="9"/>
  <c r="Y1324" i="9"/>
  <c r="Y1323" i="9"/>
  <c r="Y1322" i="9"/>
  <c r="Y1321" i="9"/>
  <c r="Y1320" i="9"/>
  <c r="Y1319" i="9"/>
  <c r="Y1318" i="9"/>
  <c r="Y1317" i="9"/>
  <c r="Y1316" i="9"/>
  <c r="Y1315" i="9"/>
  <c r="Y1314" i="9"/>
  <c r="Y1313" i="9"/>
  <c r="Y1312" i="9"/>
  <c r="Y1311" i="9"/>
  <c r="Y1310" i="9"/>
  <c r="Y1309" i="9"/>
  <c r="Y1308" i="9"/>
  <c r="Y1307" i="9"/>
  <c r="Y1306" i="9"/>
  <c r="Y1305" i="9"/>
  <c r="Y1304" i="9"/>
  <c r="Y1303" i="9"/>
  <c r="Y1302" i="9"/>
  <c r="Y1301" i="9"/>
  <c r="Y1300" i="9"/>
  <c r="Y1299" i="9"/>
  <c r="Y1298" i="9"/>
  <c r="Y1297" i="9"/>
  <c r="Y1296" i="9"/>
  <c r="Y1295" i="9"/>
  <c r="Y1294" i="9"/>
  <c r="Y1293" i="9"/>
  <c r="Y1292" i="9"/>
  <c r="Y1291" i="9"/>
  <c r="Y1290" i="9"/>
  <c r="Y1289" i="9"/>
  <c r="Y1288" i="9"/>
  <c r="Y1287" i="9"/>
  <c r="Y1286" i="9"/>
  <c r="Y1285" i="9"/>
  <c r="Y1284" i="9"/>
  <c r="Y1283" i="9"/>
  <c r="Y1282" i="9"/>
  <c r="Y1281" i="9"/>
  <c r="Y1280" i="9"/>
  <c r="Y1279" i="9"/>
  <c r="Y1278" i="9"/>
  <c r="Y1277" i="9"/>
  <c r="Y1276" i="9"/>
  <c r="Y1275" i="9"/>
  <c r="Y1274" i="9"/>
  <c r="Y1273" i="9"/>
  <c r="Y1272" i="9"/>
  <c r="Y1271" i="9"/>
  <c r="Y1270" i="9"/>
  <c r="Y1269" i="9"/>
  <c r="Y1268" i="9"/>
  <c r="Y1267" i="9"/>
  <c r="Y1266" i="9"/>
  <c r="Y1265" i="9"/>
  <c r="Y1264" i="9"/>
  <c r="Y1263" i="9"/>
  <c r="Y1262" i="9"/>
  <c r="Y1261" i="9"/>
  <c r="Y1260" i="9"/>
  <c r="Y1259" i="9"/>
  <c r="Y1258" i="9"/>
  <c r="Y1257" i="9"/>
  <c r="Y1256" i="9"/>
  <c r="Y1255" i="9"/>
  <c r="Y1254" i="9"/>
  <c r="Y1253" i="9"/>
  <c r="Y1252" i="9"/>
  <c r="Y1251" i="9"/>
  <c r="Y1250" i="9"/>
  <c r="Y1249" i="9"/>
  <c r="Y1248" i="9"/>
  <c r="Y1247" i="9"/>
  <c r="Y1246" i="9"/>
  <c r="Y1245" i="9"/>
  <c r="Y1244" i="9"/>
  <c r="Y1243" i="9"/>
  <c r="Y1242" i="9"/>
  <c r="Y1241" i="9"/>
  <c r="Y1240" i="9"/>
  <c r="Y1239" i="9"/>
  <c r="Y1238" i="9"/>
  <c r="Y1237" i="9"/>
  <c r="Y1236" i="9"/>
  <c r="Y1235" i="9"/>
  <c r="Y1234" i="9"/>
  <c r="Y1233" i="9"/>
  <c r="Y1232" i="9"/>
  <c r="Y1231" i="9"/>
  <c r="Y1230" i="9"/>
  <c r="Y1229" i="9"/>
  <c r="Y1228" i="9"/>
  <c r="Y1227" i="9"/>
  <c r="Y1226" i="9"/>
  <c r="Y1225" i="9"/>
  <c r="Y1224" i="9"/>
  <c r="Y1223" i="9"/>
  <c r="Y1222" i="9"/>
  <c r="Y1221" i="9"/>
  <c r="Y1220" i="9"/>
  <c r="Y1219" i="9"/>
  <c r="Y1218" i="9"/>
  <c r="Y1217" i="9"/>
  <c r="Y1216" i="9"/>
  <c r="Y1215" i="9"/>
  <c r="Y1214" i="9"/>
  <c r="Y1213" i="9"/>
  <c r="Y1212" i="9"/>
  <c r="Y1211" i="9"/>
  <c r="Y1210" i="9"/>
  <c r="Y1209" i="9"/>
  <c r="Y1208" i="9"/>
  <c r="Y1207" i="9"/>
  <c r="Y1206" i="9"/>
  <c r="Y1205" i="9"/>
  <c r="Y1204" i="9"/>
  <c r="Y1203" i="9"/>
  <c r="Y1202" i="9"/>
  <c r="Y1201" i="9"/>
  <c r="Y1200" i="9"/>
  <c r="Y1199" i="9"/>
  <c r="Y1198" i="9"/>
  <c r="Y1197" i="9"/>
  <c r="Y1196" i="9"/>
  <c r="Y1195" i="9"/>
  <c r="Y1194" i="9"/>
  <c r="Y1193" i="9"/>
  <c r="Y1192" i="9"/>
  <c r="Y1191" i="9"/>
  <c r="Y1190" i="9"/>
  <c r="Y1189" i="9"/>
  <c r="Y1188" i="9"/>
  <c r="Y1187" i="9"/>
  <c r="Y1186" i="9"/>
  <c r="Y1185" i="9"/>
  <c r="Y1184" i="9"/>
  <c r="Y1183" i="9"/>
  <c r="Y1182" i="9"/>
  <c r="Y1181" i="9"/>
  <c r="Y1180" i="9"/>
  <c r="Y1179" i="9"/>
  <c r="Y1178" i="9"/>
  <c r="Y1177" i="9"/>
  <c r="Y1176" i="9"/>
  <c r="Y1175" i="9"/>
  <c r="Y1174" i="9"/>
  <c r="Y1173" i="9"/>
  <c r="Y1172" i="9"/>
  <c r="Y1171" i="9"/>
  <c r="Y1170" i="9"/>
  <c r="Y1169" i="9"/>
  <c r="Y1168" i="9"/>
  <c r="Y1167" i="9"/>
  <c r="Y1166" i="9"/>
  <c r="Y1165" i="9"/>
  <c r="Y1164" i="9"/>
  <c r="Y1163" i="9"/>
  <c r="Y1162" i="9"/>
  <c r="Y1161" i="9"/>
  <c r="Y1160" i="9"/>
  <c r="Y1159" i="9"/>
  <c r="Y1158" i="9"/>
  <c r="Y1157" i="9"/>
  <c r="Y1156" i="9"/>
  <c r="Y1155" i="9"/>
  <c r="Y1154" i="9"/>
  <c r="Y1153" i="9"/>
  <c r="Y1152" i="9"/>
  <c r="Y1151" i="9"/>
  <c r="Y1150" i="9"/>
  <c r="Y1149" i="9"/>
  <c r="Y1148" i="9"/>
  <c r="Y1147" i="9"/>
  <c r="Y1146" i="9"/>
  <c r="Y1145" i="9"/>
  <c r="Y1144" i="9"/>
  <c r="Y1143" i="9"/>
  <c r="Y1142" i="9"/>
  <c r="Y1141" i="9"/>
  <c r="Y1140" i="9"/>
  <c r="Y1139" i="9"/>
  <c r="Y1138" i="9"/>
  <c r="Y1137" i="9"/>
  <c r="Y1136" i="9"/>
  <c r="Y1135" i="9"/>
  <c r="Y1134" i="9"/>
  <c r="Y1133" i="9"/>
  <c r="Y1132" i="9"/>
  <c r="Y1131" i="9"/>
  <c r="Y1130" i="9"/>
  <c r="Y1129" i="9"/>
  <c r="Y1128" i="9"/>
  <c r="Y1127" i="9"/>
  <c r="Y1126" i="9"/>
  <c r="Y1125" i="9"/>
  <c r="Y1124" i="9"/>
  <c r="Y1123" i="9"/>
  <c r="Y1122" i="9"/>
  <c r="Y1121" i="9"/>
  <c r="Y1120" i="9"/>
  <c r="Y1119" i="9"/>
  <c r="Y1118" i="9"/>
  <c r="Y1117" i="9"/>
  <c r="Y1116" i="9"/>
  <c r="Y1115" i="9"/>
  <c r="Y1114" i="9"/>
  <c r="Y1113" i="9"/>
  <c r="Y1112" i="9"/>
  <c r="Y1111" i="9"/>
  <c r="Y1110" i="9"/>
  <c r="Y1109" i="9"/>
  <c r="Y1108" i="9"/>
  <c r="Y1107" i="9"/>
  <c r="Y1106" i="9"/>
  <c r="Y1105" i="9"/>
  <c r="Y1104" i="9"/>
  <c r="Y1103" i="9"/>
  <c r="Y1102" i="9"/>
  <c r="Y1101" i="9"/>
  <c r="Y1100" i="9"/>
  <c r="Y1099" i="9"/>
  <c r="Y1098" i="9"/>
  <c r="Y1097" i="9"/>
  <c r="Y1096" i="9"/>
  <c r="Y1095" i="9"/>
  <c r="Y1094" i="9"/>
  <c r="Y1093" i="9"/>
  <c r="Y1092" i="9"/>
  <c r="Y1091" i="9"/>
  <c r="Y1090" i="9"/>
  <c r="Y1089" i="9"/>
  <c r="Y1088" i="9"/>
  <c r="Y1087" i="9"/>
  <c r="Y1086" i="9"/>
  <c r="Y1085" i="9"/>
  <c r="Y1084" i="9"/>
  <c r="Y1083" i="9"/>
  <c r="Y1082" i="9"/>
  <c r="Y1081" i="9"/>
  <c r="Y1080" i="9"/>
  <c r="Y1079" i="9"/>
  <c r="Y1078" i="9"/>
  <c r="Y1077" i="9"/>
  <c r="Y1076" i="9"/>
  <c r="Y1075" i="9"/>
  <c r="Y1074" i="9"/>
  <c r="Y1073" i="9"/>
  <c r="Y1072" i="9"/>
  <c r="Y1071" i="9"/>
  <c r="Y1070" i="9"/>
  <c r="Y1069" i="9"/>
  <c r="Y1068" i="9"/>
  <c r="Y1067" i="9"/>
  <c r="Y1066" i="9"/>
  <c r="Y1065" i="9"/>
  <c r="Y1064" i="9"/>
  <c r="Y1063" i="9"/>
  <c r="Y1062" i="9"/>
  <c r="Y1061" i="9"/>
  <c r="Y1060" i="9"/>
  <c r="Y1059" i="9"/>
  <c r="Y1058" i="9"/>
  <c r="Y1057" i="9"/>
  <c r="Y1056" i="9"/>
  <c r="Y1055" i="9"/>
  <c r="Y1054" i="9"/>
  <c r="Y1053" i="9"/>
  <c r="Y1052" i="9"/>
  <c r="Y1051" i="9"/>
  <c r="Y1050" i="9"/>
  <c r="Y1049" i="9"/>
  <c r="Y1048" i="9"/>
  <c r="Y1047" i="9"/>
  <c r="Y1046" i="9"/>
  <c r="Y1045" i="9"/>
  <c r="Y1044" i="9"/>
  <c r="Y1043" i="9"/>
  <c r="Y1042" i="9"/>
  <c r="Y1041" i="9"/>
  <c r="Y1040" i="9"/>
  <c r="Y1039" i="9"/>
  <c r="Y1038" i="9"/>
  <c r="Y1037" i="9"/>
  <c r="Y1036" i="9"/>
  <c r="Y1035" i="9"/>
  <c r="Y1034" i="9"/>
  <c r="Y1033" i="9"/>
  <c r="Y1032" i="9"/>
  <c r="Y1031" i="9"/>
  <c r="Y1030" i="9"/>
  <c r="Y1029" i="9"/>
  <c r="Y1028" i="9"/>
  <c r="Y1027" i="9"/>
  <c r="Y1026" i="9"/>
  <c r="Y1025" i="9"/>
  <c r="Y1024" i="9"/>
  <c r="Y1023" i="9"/>
  <c r="Y1022" i="9"/>
  <c r="Y1021" i="9"/>
  <c r="Y1020" i="9"/>
  <c r="Y1019" i="9"/>
  <c r="Y1018" i="9"/>
  <c r="Y1017" i="9"/>
  <c r="Y1016" i="9"/>
  <c r="Y1015" i="9"/>
  <c r="Y1014" i="9"/>
  <c r="Y1013" i="9"/>
  <c r="Y1012" i="9"/>
  <c r="Y1011" i="9"/>
  <c r="Y1010" i="9"/>
  <c r="Y1009" i="9"/>
  <c r="Y1008" i="9"/>
  <c r="Y1007" i="9"/>
  <c r="Y1006" i="9"/>
  <c r="Y1005" i="9"/>
  <c r="Y1004" i="9"/>
  <c r="Y1003" i="9"/>
  <c r="Y1002" i="9"/>
  <c r="Y1001" i="9"/>
  <c r="Y1000" i="9"/>
  <c r="Y999" i="9"/>
  <c r="Y998" i="9"/>
  <c r="Y997" i="9"/>
  <c r="Y996" i="9"/>
  <c r="Y995" i="9"/>
  <c r="Y994" i="9"/>
  <c r="Y993" i="9"/>
  <c r="Y992" i="9"/>
  <c r="Y991" i="9"/>
  <c r="Y990" i="9"/>
  <c r="Y989" i="9"/>
  <c r="Y988" i="9"/>
  <c r="Y987" i="9"/>
  <c r="Y986" i="9"/>
  <c r="Y985" i="9"/>
  <c r="Y984" i="9"/>
  <c r="Y983" i="9"/>
  <c r="Y982" i="9"/>
  <c r="Y981" i="9"/>
  <c r="Y980" i="9"/>
  <c r="Y979" i="9"/>
  <c r="Y978" i="9"/>
  <c r="Y977" i="9"/>
  <c r="Y976" i="9"/>
  <c r="Y975" i="9"/>
  <c r="Y974" i="9"/>
  <c r="Y973" i="9"/>
  <c r="Y972" i="9"/>
  <c r="Y971" i="9"/>
  <c r="Y970" i="9"/>
  <c r="Y969" i="9"/>
  <c r="Y968" i="9"/>
  <c r="Y967" i="9"/>
  <c r="Y966" i="9"/>
  <c r="Y965" i="9"/>
  <c r="Y964" i="9"/>
  <c r="Y963" i="9"/>
  <c r="Y962" i="9"/>
  <c r="Y961" i="9"/>
  <c r="Y960" i="9"/>
  <c r="Y959" i="9"/>
  <c r="Y958" i="9"/>
  <c r="Y957" i="9"/>
  <c r="Y956" i="9"/>
  <c r="Y955" i="9"/>
  <c r="Y954" i="9"/>
  <c r="Y953" i="9"/>
  <c r="Y952" i="9"/>
  <c r="Y951" i="9"/>
  <c r="Y950" i="9"/>
  <c r="Y949" i="9"/>
  <c r="Y948" i="9"/>
  <c r="Y947" i="9"/>
  <c r="Y946" i="9"/>
  <c r="Y945" i="9"/>
  <c r="Y944" i="9"/>
  <c r="Y943" i="9"/>
  <c r="Y942" i="9"/>
  <c r="Y941" i="9"/>
  <c r="Y940" i="9"/>
  <c r="Y939" i="9"/>
  <c r="Y938" i="9"/>
  <c r="Y937" i="9"/>
  <c r="Y936" i="9"/>
  <c r="Y935" i="9"/>
  <c r="Y934" i="9"/>
  <c r="Y933" i="9"/>
  <c r="Y932" i="9"/>
  <c r="Y931" i="9"/>
  <c r="Y930" i="9"/>
  <c r="Y929" i="9"/>
  <c r="Y928" i="9"/>
  <c r="Y927" i="9"/>
  <c r="Y926" i="9"/>
  <c r="Y925" i="9"/>
  <c r="Y924" i="9"/>
  <c r="Y923" i="9"/>
  <c r="Y922" i="9"/>
  <c r="Y921" i="9"/>
  <c r="Y920" i="9"/>
  <c r="Y919" i="9"/>
  <c r="Y918" i="9"/>
  <c r="Y917" i="9"/>
  <c r="Y916" i="9"/>
  <c r="Y915" i="9"/>
  <c r="Y914" i="9"/>
  <c r="Y913" i="9"/>
  <c r="Y912" i="9"/>
  <c r="Y911" i="9"/>
  <c r="Y910" i="9"/>
  <c r="Y909" i="9"/>
  <c r="Y908" i="9"/>
  <c r="Y907" i="9"/>
  <c r="Y906" i="9"/>
  <c r="Y905" i="9"/>
  <c r="Y904" i="9"/>
  <c r="Y903" i="9"/>
  <c r="Y902" i="9"/>
  <c r="Y901" i="9"/>
  <c r="Y900" i="9"/>
  <c r="Y899" i="9"/>
  <c r="Y898" i="9"/>
  <c r="Y897" i="9"/>
  <c r="Y896" i="9"/>
  <c r="Y895" i="9"/>
  <c r="Y894" i="9"/>
  <c r="Y893" i="9"/>
  <c r="Y892" i="9"/>
  <c r="Y891" i="9"/>
  <c r="Y890" i="9"/>
  <c r="Y889" i="9"/>
  <c r="Y888" i="9"/>
  <c r="Y887" i="9"/>
  <c r="Y886" i="9"/>
  <c r="Y885" i="9"/>
  <c r="Y884" i="9"/>
  <c r="Y883" i="9"/>
  <c r="Y882" i="9"/>
  <c r="Y881" i="9"/>
  <c r="Y880" i="9"/>
  <c r="Y879" i="9"/>
  <c r="Y878" i="9"/>
  <c r="Y877" i="9"/>
  <c r="Y876" i="9"/>
  <c r="Y875" i="9"/>
  <c r="Y874" i="9"/>
  <c r="Y873" i="9"/>
  <c r="Y872" i="9"/>
  <c r="Y871" i="9"/>
  <c r="Y870" i="9"/>
  <c r="Y869" i="9"/>
  <c r="Y868" i="9"/>
  <c r="Y867" i="9"/>
  <c r="Y866" i="9"/>
  <c r="Y865" i="9"/>
  <c r="Y864" i="9"/>
  <c r="Y863" i="9"/>
  <c r="Y862" i="9"/>
  <c r="Y861" i="9"/>
  <c r="Y860" i="9"/>
  <c r="Y859" i="9"/>
  <c r="Y858" i="9"/>
  <c r="Y857" i="9"/>
  <c r="Y856" i="9"/>
  <c r="Y855" i="9"/>
  <c r="Y854" i="9"/>
  <c r="Y853" i="9"/>
  <c r="Y852" i="9"/>
  <c r="Y851" i="9"/>
  <c r="Y850" i="9"/>
  <c r="Y849" i="9"/>
  <c r="Y848" i="9"/>
  <c r="Y847" i="9"/>
  <c r="Y846" i="9"/>
  <c r="Y845" i="9"/>
  <c r="Y844" i="9"/>
  <c r="Y843" i="9"/>
  <c r="Y842" i="9"/>
  <c r="Y841" i="9"/>
  <c r="Y840" i="9"/>
  <c r="Y839" i="9"/>
  <c r="Y838" i="9"/>
  <c r="Y837" i="9"/>
  <c r="Y836" i="9"/>
  <c r="Y835" i="9"/>
  <c r="Y834" i="9"/>
  <c r="Y833" i="9"/>
  <c r="Y832" i="9"/>
  <c r="Y831" i="9"/>
  <c r="Y830" i="9"/>
  <c r="Y829" i="9"/>
  <c r="Y828" i="9"/>
  <c r="Y827" i="9"/>
  <c r="Y826" i="9"/>
  <c r="Y825" i="9"/>
  <c r="Y824" i="9"/>
  <c r="Y823" i="9"/>
  <c r="Y822" i="9"/>
  <c r="Y821" i="9"/>
  <c r="Y820" i="9"/>
  <c r="Y819" i="9"/>
  <c r="Y818" i="9"/>
  <c r="Y817" i="9"/>
  <c r="Y816" i="9"/>
  <c r="Y815" i="9"/>
  <c r="Y814" i="9"/>
  <c r="Y813" i="9"/>
  <c r="Y812" i="9"/>
  <c r="Y811" i="9"/>
  <c r="Y810" i="9"/>
  <c r="Y809" i="9"/>
  <c r="Y808" i="9"/>
  <c r="Y807" i="9"/>
  <c r="Y806" i="9"/>
  <c r="Y805" i="9"/>
  <c r="Y804" i="9"/>
  <c r="Y803" i="9"/>
  <c r="Y802" i="9"/>
  <c r="Y801" i="9"/>
  <c r="Y800" i="9"/>
  <c r="Y799" i="9"/>
  <c r="Y798" i="9"/>
  <c r="Y797" i="9"/>
  <c r="Y796" i="9"/>
  <c r="Y795" i="9"/>
  <c r="Y794" i="9"/>
  <c r="Y793" i="9"/>
  <c r="Y792" i="9"/>
  <c r="Y791" i="9"/>
  <c r="Y790" i="9"/>
  <c r="Y789" i="9"/>
  <c r="Y788" i="9"/>
  <c r="Y787" i="9"/>
  <c r="Y786" i="9"/>
  <c r="Y785" i="9"/>
  <c r="Y784" i="9"/>
  <c r="Y783" i="9"/>
  <c r="Y782" i="9"/>
  <c r="Y781" i="9"/>
  <c r="Y780" i="9"/>
  <c r="Y779" i="9"/>
  <c r="Y778" i="9"/>
  <c r="Y777" i="9"/>
  <c r="Y776" i="9"/>
  <c r="Y775" i="9"/>
  <c r="Y774" i="9"/>
  <c r="Y773" i="9"/>
  <c r="Y772" i="9"/>
  <c r="Y771" i="9"/>
  <c r="Y770" i="9"/>
  <c r="Y769" i="9"/>
  <c r="Y768" i="9"/>
  <c r="Y767" i="9"/>
  <c r="Y766" i="9"/>
  <c r="Y765" i="9"/>
  <c r="Y764" i="9"/>
  <c r="Y763" i="9"/>
  <c r="Y762" i="9"/>
  <c r="Y761" i="9"/>
  <c r="Y760" i="9"/>
  <c r="Y759" i="9"/>
  <c r="Y758" i="9"/>
  <c r="Y757" i="9"/>
  <c r="Y756" i="9"/>
  <c r="Y755" i="9"/>
  <c r="Y754" i="9"/>
  <c r="Y753" i="9"/>
  <c r="Y752" i="9"/>
  <c r="Y751" i="9"/>
  <c r="Y750" i="9"/>
  <c r="Y749" i="9"/>
  <c r="Y748" i="9"/>
  <c r="Y747" i="9"/>
  <c r="Y746" i="9"/>
  <c r="Y745" i="9"/>
  <c r="Y744" i="9"/>
  <c r="Y743" i="9"/>
  <c r="Y742" i="9"/>
  <c r="Y741" i="9"/>
  <c r="Y740" i="9"/>
  <c r="Y739" i="9"/>
  <c r="Y738" i="9"/>
  <c r="Y737" i="9"/>
  <c r="Y736" i="9"/>
  <c r="Y735" i="9"/>
  <c r="Y734" i="9"/>
  <c r="Y733" i="9"/>
  <c r="Y732" i="9"/>
  <c r="Y731" i="9"/>
  <c r="Y730" i="9"/>
  <c r="Y729" i="9"/>
  <c r="Y728" i="9"/>
  <c r="Y727" i="9"/>
  <c r="Y726" i="9"/>
  <c r="Y725" i="9"/>
  <c r="Y724" i="9"/>
  <c r="Y723" i="9"/>
  <c r="Y722" i="9"/>
  <c r="Y721" i="9"/>
  <c r="Y720" i="9"/>
  <c r="Y719" i="9"/>
  <c r="Y718" i="9"/>
  <c r="Y717" i="9"/>
  <c r="Y716" i="9"/>
  <c r="Y715" i="9"/>
  <c r="Y714" i="9"/>
  <c r="Y713" i="9"/>
  <c r="Y712" i="9"/>
  <c r="Y711" i="9"/>
  <c r="Y710" i="9"/>
  <c r="Y709" i="9"/>
  <c r="Y708" i="9"/>
  <c r="Y707" i="9"/>
  <c r="Y706" i="9"/>
  <c r="Y705" i="9"/>
  <c r="Y704" i="9"/>
  <c r="Y703" i="9"/>
  <c r="Y702" i="9"/>
  <c r="Y701" i="9"/>
  <c r="Y700" i="9"/>
  <c r="Y699" i="9"/>
  <c r="Y698" i="9"/>
  <c r="Y697" i="9"/>
  <c r="Y696" i="9"/>
  <c r="Y695" i="9"/>
  <c r="Y694" i="9"/>
  <c r="Y693" i="9"/>
  <c r="Y692" i="9"/>
  <c r="Y691" i="9"/>
  <c r="Y690" i="9"/>
  <c r="Y689" i="9"/>
  <c r="Y688" i="9"/>
  <c r="Y687" i="9"/>
  <c r="Y686" i="9"/>
  <c r="Y685" i="9"/>
  <c r="Y684" i="9"/>
  <c r="Y683" i="9"/>
  <c r="Y682" i="9"/>
  <c r="Y681" i="9"/>
  <c r="Y680" i="9"/>
  <c r="Y679" i="9"/>
  <c r="Y678" i="9"/>
  <c r="Y677" i="9"/>
  <c r="Y676" i="9"/>
  <c r="Y675" i="9"/>
  <c r="Y674" i="9"/>
  <c r="Y673" i="9"/>
  <c r="Y672" i="9"/>
  <c r="Y671" i="9"/>
  <c r="Y670" i="9"/>
  <c r="Y669" i="9"/>
  <c r="Y668" i="9"/>
  <c r="Y667" i="9"/>
  <c r="Y666" i="9"/>
  <c r="Y665" i="9"/>
  <c r="Y664" i="9"/>
  <c r="Y663" i="9"/>
  <c r="Y662" i="9"/>
  <c r="Y661" i="9"/>
  <c r="Y660" i="9"/>
  <c r="Y659" i="9"/>
  <c r="Y658" i="9"/>
  <c r="Y657" i="9"/>
  <c r="Y656" i="9"/>
  <c r="Y655" i="9"/>
  <c r="Y654" i="9"/>
  <c r="Y653" i="9"/>
  <c r="Y652" i="9"/>
  <c r="Y651" i="9"/>
  <c r="Y650" i="9"/>
  <c r="Y649" i="9"/>
  <c r="Y648" i="9"/>
  <c r="Y647" i="9"/>
  <c r="Y646" i="9"/>
  <c r="Y645" i="9"/>
  <c r="Y644" i="9"/>
  <c r="Y643" i="9"/>
  <c r="Y642" i="9"/>
  <c r="Y641" i="9"/>
  <c r="Y640" i="9"/>
  <c r="Y639" i="9"/>
  <c r="Y638" i="9"/>
  <c r="Y637" i="9"/>
  <c r="Y636" i="9"/>
  <c r="Y635" i="9"/>
  <c r="Y634" i="9"/>
  <c r="Y633" i="9"/>
  <c r="Y632" i="9"/>
  <c r="Y631" i="9"/>
  <c r="Y630" i="9"/>
  <c r="Y629" i="9"/>
  <c r="Y628" i="9"/>
  <c r="Y627" i="9"/>
  <c r="Y626" i="9"/>
  <c r="Y625" i="9"/>
  <c r="Y624" i="9"/>
  <c r="Y623" i="9"/>
  <c r="Y622" i="9"/>
  <c r="Y621" i="9"/>
  <c r="Y620" i="9"/>
  <c r="Y619" i="9"/>
  <c r="Y618" i="9"/>
  <c r="Y617" i="9"/>
  <c r="Y616" i="9"/>
  <c r="Y615" i="9"/>
  <c r="Y614" i="9"/>
  <c r="Y613" i="9"/>
  <c r="Y612" i="9"/>
  <c r="Y611" i="9"/>
  <c r="Y610" i="9"/>
  <c r="Y609" i="9"/>
  <c r="Y608" i="9"/>
  <c r="Y607" i="9"/>
  <c r="Y606" i="9"/>
  <c r="Y605" i="9"/>
  <c r="Y604" i="9"/>
  <c r="Y603" i="9"/>
  <c r="Y602" i="9"/>
  <c r="Y601" i="9"/>
  <c r="Y600" i="9"/>
  <c r="Y599" i="9"/>
  <c r="Y598" i="9"/>
  <c r="Y597" i="9"/>
  <c r="Y596" i="9"/>
  <c r="Y595" i="9"/>
  <c r="Y594" i="9"/>
  <c r="Y593" i="9"/>
  <c r="Y592" i="9"/>
  <c r="Y591" i="9"/>
  <c r="Y590" i="9"/>
  <c r="Y589" i="9"/>
  <c r="Y588" i="9"/>
  <c r="Y587" i="9"/>
  <c r="Y586" i="9"/>
  <c r="Y585" i="9"/>
  <c r="Y584" i="9"/>
  <c r="Y583" i="9"/>
  <c r="Y582" i="9"/>
  <c r="Y581" i="9"/>
  <c r="Y580" i="9"/>
  <c r="Y579" i="9"/>
  <c r="Y578" i="9"/>
  <c r="Y577" i="9"/>
  <c r="Y576" i="9"/>
  <c r="Y575" i="9"/>
  <c r="Y574" i="9"/>
  <c r="Y573" i="9"/>
  <c r="Y572" i="9"/>
  <c r="Y571" i="9"/>
  <c r="Y570" i="9"/>
  <c r="Y569" i="9"/>
  <c r="Y568" i="9"/>
  <c r="Y567" i="9"/>
  <c r="Y566" i="9"/>
  <c r="Y565" i="9"/>
  <c r="Y564" i="9"/>
  <c r="Y563" i="9"/>
  <c r="Y562" i="9"/>
  <c r="Y561" i="9"/>
  <c r="Y560" i="9"/>
  <c r="Y559" i="9"/>
  <c r="Y558" i="9"/>
  <c r="Y557" i="9"/>
  <c r="Y556" i="9"/>
  <c r="Y555" i="9"/>
  <c r="Y554" i="9"/>
  <c r="Y553" i="9"/>
  <c r="Y552" i="9"/>
  <c r="Y551" i="9"/>
  <c r="Y550" i="9"/>
  <c r="Y549" i="9"/>
  <c r="Y548" i="9"/>
  <c r="Y547" i="9"/>
  <c r="Y546" i="9"/>
  <c r="Y545" i="9"/>
  <c r="Y544" i="9"/>
  <c r="Y543" i="9"/>
  <c r="Y542" i="9"/>
  <c r="Y541" i="9"/>
  <c r="Y540" i="9"/>
  <c r="Y539" i="9"/>
  <c r="Y538" i="9"/>
  <c r="Y537" i="9"/>
  <c r="Y536" i="9"/>
  <c r="Y535" i="9"/>
  <c r="Y534" i="9"/>
  <c r="Y533" i="9"/>
  <c r="Y532" i="9"/>
  <c r="Y531" i="9"/>
  <c r="Y530" i="9"/>
  <c r="Y529" i="9"/>
  <c r="Y528" i="9"/>
  <c r="Y527" i="9"/>
  <c r="Y526" i="9"/>
  <c r="Y525" i="9"/>
  <c r="Y524" i="9"/>
  <c r="Y523" i="9"/>
  <c r="Y522" i="9"/>
  <c r="Y521" i="9"/>
  <c r="Y520" i="9"/>
  <c r="Y519" i="9"/>
  <c r="Y518" i="9"/>
  <c r="Y517" i="9"/>
  <c r="Y516" i="9"/>
  <c r="Y515" i="9"/>
  <c r="Y514" i="9"/>
  <c r="Y513" i="9"/>
  <c r="Y512" i="9"/>
  <c r="Y511" i="9"/>
  <c r="Y510" i="9"/>
  <c r="Y509" i="9"/>
  <c r="Y508" i="9"/>
  <c r="Y507" i="9"/>
  <c r="Y506" i="9"/>
  <c r="Y505" i="9"/>
  <c r="Y504" i="9"/>
  <c r="Y503" i="9"/>
  <c r="Y502" i="9"/>
  <c r="Y501" i="9"/>
  <c r="Y500" i="9"/>
  <c r="Y499" i="9"/>
  <c r="Y498" i="9"/>
  <c r="Y497" i="9"/>
  <c r="Y496" i="9"/>
  <c r="Y495" i="9"/>
  <c r="Y494" i="9"/>
  <c r="Y493" i="9"/>
  <c r="Y492" i="9"/>
  <c r="Y491" i="9"/>
  <c r="Y490" i="9"/>
  <c r="Y489" i="9"/>
  <c r="Y488" i="9"/>
  <c r="Y487" i="9"/>
  <c r="Y486" i="9"/>
  <c r="Y485" i="9"/>
  <c r="Y484" i="9"/>
  <c r="Y483" i="9"/>
  <c r="Y482" i="9"/>
  <c r="Y481" i="9"/>
  <c r="Y480" i="9"/>
  <c r="Y479" i="9"/>
  <c r="Y478" i="9"/>
  <c r="Y477" i="9"/>
  <c r="Y476" i="9"/>
  <c r="Y475" i="9"/>
  <c r="Y474" i="9"/>
  <c r="Y473" i="9"/>
  <c r="Y472" i="9"/>
  <c r="Y471" i="9"/>
  <c r="Y470" i="9"/>
  <c r="Y469" i="9"/>
  <c r="Y468" i="9"/>
  <c r="Y467" i="9"/>
  <c r="Y466" i="9"/>
  <c r="Y465" i="9"/>
  <c r="Y464" i="9"/>
  <c r="Y463" i="9"/>
  <c r="Y462" i="9"/>
  <c r="Y461" i="9"/>
  <c r="Y460" i="9"/>
  <c r="Y459" i="9"/>
  <c r="Y458" i="9"/>
  <c r="Y457" i="9"/>
  <c r="Y456" i="9"/>
  <c r="Y455" i="9"/>
  <c r="Y454" i="9"/>
  <c r="Y453" i="9"/>
  <c r="Y452" i="9"/>
  <c r="Y451" i="9"/>
  <c r="Y450" i="9"/>
  <c r="Y449" i="9"/>
  <c r="Y448" i="9"/>
  <c r="Y447" i="9"/>
  <c r="Y446" i="9"/>
  <c r="Y445" i="9"/>
  <c r="Y444" i="9"/>
  <c r="Y443" i="9"/>
  <c r="Y442" i="9"/>
  <c r="Y441" i="9"/>
  <c r="Y440" i="9"/>
  <c r="Y439" i="9"/>
  <c r="Y438" i="9"/>
  <c r="Y437" i="9"/>
  <c r="Y436" i="9"/>
  <c r="Y435" i="9"/>
  <c r="Y434" i="9"/>
  <c r="Y433" i="9"/>
  <c r="Y432" i="9"/>
  <c r="Y431" i="9"/>
  <c r="Y430" i="9"/>
  <c r="Y429" i="9"/>
  <c r="Y428" i="9"/>
  <c r="Y427" i="9"/>
  <c r="Y426" i="9"/>
  <c r="Y425" i="9"/>
  <c r="Y424" i="9"/>
  <c r="Y423" i="9"/>
  <c r="Y422" i="9"/>
  <c r="Y421" i="9"/>
  <c r="Y420" i="9"/>
  <c r="Y419" i="9"/>
  <c r="Y418" i="9"/>
  <c r="Y417" i="9"/>
  <c r="Y416" i="9"/>
  <c r="Y415" i="9"/>
  <c r="Y414" i="9"/>
  <c r="Y413" i="9"/>
  <c r="Y412" i="9"/>
  <c r="Y411" i="9"/>
  <c r="Y410" i="9"/>
  <c r="Y409" i="9"/>
  <c r="Y408" i="9"/>
  <c r="Y407" i="9"/>
  <c r="Y406" i="9"/>
  <c r="Y405" i="9"/>
  <c r="Y404" i="9"/>
  <c r="Y403" i="9"/>
  <c r="Y402" i="9"/>
  <c r="Y401" i="9"/>
  <c r="Y400" i="9"/>
  <c r="Y399" i="9"/>
  <c r="Y398" i="9"/>
  <c r="Y397" i="9"/>
  <c r="Y396" i="9"/>
  <c r="Y395" i="9"/>
  <c r="Y394" i="9"/>
  <c r="Y393" i="9"/>
  <c r="Y392" i="9"/>
  <c r="Y391" i="9"/>
  <c r="Y390" i="9"/>
  <c r="Y389" i="9"/>
  <c r="Y388" i="9"/>
  <c r="Y387" i="9"/>
  <c r="Y386" i="9"/>
  <c r="Y385" i="9"/>
  <c r="Y384" i="9"/>
  <c r="Y383" i="9"/>
  <c r="Y382" i="9"/>
  <c r="Y381" i="9"/>
  <c r="Y380" i="9"/>
  <c r="Y379" i="9"/>
  <c r="Y378" i="9"/>
  <c r="Y377" i="9"/>
  <c r="Y376" i="9"/>
  <c r="Y375" i="9"/>
  <c r="Y374" i="9"/>
  <c r="Y373" i="9"/>
  <c r="Y372" i="9"/>
  <c r="Y371" i="9"/>
  <c r="Y370" i="9"/>
  <c r="Y369" i="9"/>
  <c r="Y368" i="9"/>
  <c r="Y367" i="9"/>
  <c r="Y366" i="9"/>
  <c r="Y365" i="9"/>
  <c r="Y364" i="9"/>
  <c r="Y363" i="9"/>
  <c r="Y362" i="9"/>
  <c r="Y361" i="9"/>
  <c r="Y360" i="9"/>
  <c r="Y359" i="9"/>
  <c r="Y358" i="9"/>
  <c r="Y357" i="9"/>
  <c r="Y356" i="9"/>
  <c r="Y355" i="9"/>
  <c r="Y354" i="9"/>
  <c r="Y353" i="9"/>
  <c r="Y352" i="9"/>
  <c r="Y351" i="9"/>
  <c r="Y350" i="9"/>
  <c r="Y349" i="9"/>
  <c r="Y348" i="9"/>
  <c r="Y347" i="9"/>
  <c r="Y346" i="9"/>
  <c r="Y345" i="9"/>
  <c r="Y344" i="9"/>
  <c r="Y343" i="9"/>
  <c r="Y342" i="9"/>
  <c r="Y341" i="9"/>
  <c r="Y340" i="9"/>
  <c r="Y339" i="9"/>
  <c r="Y338" i="9"/>
  <c r="Y337" i="9"/>
  <c r="Y336" i="9"/>
  <c r="Y335" i="9"/>
  <c r="Y334" i="9"/>
  <c r="Y333" i="9"/>
  <c r="Y332" i="9"/>
  <c r="Y331" i="9"/>
  <c r="Y330" i="9"/>
  <c r="Y329" i="9"/>
  <c r="Y328" i="9"/>
  <c r="Y327" i="9"/>
  <c r="Y326" i="9"/>
  <c r="Y325" i="9"/>
  <c r="Y324" i="9"/>
  <c r="Y323" i="9"/>
  <c r="Y322" i="9"/>
  <c r="Y321" i="9"/>
  <c r="Y320" i="9"/>
  <c r="Y319" i="9"/>
  <c r="Y318" i="9"/>
  <c r="Y317" i="9"/>
  <c r="Y316" i="9"/>
  <c r="Y315" i="9"/>
  <c r="Y314" i="9"/>
  <c r="Y313" i="9"/>
  <c r="Y312" i="9"/>
  <c r="Y311" i="9"/>
  <c r="Y310" i="9"/>
  <c r="Y309" i="9"/>
  <c r="Y308" i="9"/>
  <c r="Y307" i="9"/>
  <c r="Y306" i="9"/>
  <c r="Y305" i="9"/>
  <c r="Y304" i="9"/>
  <c r="Y303" i="9"/>
  <c r="Y302" i="9"/>
  <c r="Y301" i="9"/>
  <c r="Y300" i="9"/>
  <c r="Y299" i="9"/>
  <c r="Y298" i="9"/>
  <c r="Y297" i="9"/>
  <c r="Y296" i="9"/>
  <c r="Y295" i="9"/>
  <c r="Y294" i="9"/>
  <c r="Y293" i="9"/>
  <c r="Y292" i="9"/>
  <c r="Y291" i="9"/>
  <c r="Y290" i="9"/>
  <c r="Y289" i="9"/>
  <c r="Y288" i="9"/>
  <c r="Y287" i="9"/>
  <c r="Y286" i="9"/>
  <c r="Y285" i="9"/>
  <c r="Y284" i="9"/>
  <c r="Y283" i="9"/>
  <c r="Y282" i="9"/>
  <c r="Y281" i="9"/>
  <c r="Y280" i="9"/>
  <c r="Y279" i="9"/>
  <c r="Y278" i="9"/>
  <c r="Y277" i="9"/>
  <c r="Y276" i="9"/>
  <c r="Y275" i="9"/>
  <c r="Y274" i="9"/>
  <c r="Y273" i="9"/>
  <c r="Y272" i="9"/>
  <c r="Y271" i="9"/>
  <c r="Y270" i="9"/>
  <c r="Y269" i="9"/>
  <c r="Y268" i="9"/>
  <c r="Y267" i="9"/>
  <c r="Y266" i="9"/>
  <c r="Y265" i="9"/>
  <c r="Y264" i="9"/>
  <c r="Y263" i="9"/>
  <c r="Y262" i="9"/>
  <c r="Y261" i="9"/>
  <c r="Y260" i="9"/>
  <c r="Y259" i="9"/>
  <c r="Y258" i="9"/>
  <c r="Y257" i="9"/>
  <c r="Y256" i="9"/>
  <c r="Y255" i="9"/>
  <c r="Y254" i="9"/>
  <c r="Y253" i="9"/>
  <c r="Y252" i="9"/>
  <c r="Y251" i="9"/>
  <c r="Y250" i="9"/>
  <c r="Y249" i="9"/>
  <c r="Y248" i="9"/>
  <c r="Y247" i="9"/>
  <c r="Y246" i="9"/>
  <c r="Y245" i="9"/>
  <c r="Y244" i="9"/>
  <c r="Y243" i="9"/>
  <c r="Y242" i="9"/>
  <c r="Y241" i="9"/>
  <c r="Y240" i="9"/>
  <c r="Y239" i="9"/>
  <c r="Y238" i="9"/>
  <c r="Y237" i="9"/>
  <c r="Y236" i="9"/>
  <c r="Y235" i="9"/>
  <c r="Y234" i="9"/>
  <c r="Y233" i="9"/>
  <c r="Y232" i="9"/>
  <c r="Y231" i="9"/>
  <c r="Y230" i="9"/>
  <c r="Y229" i="9"/>
  <c r="Y228" i="9"/>
  <c r="Y227" i="9"/>
  <c r="Y226" i="9"/>
  <c r="Y225" i="9"/>
  <c r="Y224" i="9"/>
  <c r="Y223" i="9"/>
  <c r="Y222" i="9"/>
  <c r="Y221" i="9"/>
  <c r="Y220" i="9"/>
  <c r="Y219" i="9"/>
  <c r="Y218" i="9"/>
  <c r="Y217" i="9"/>
  <c r="Y216" i="9"/>
  <c r="Y215" i="9"/>
  <c r="Y214" i="9"/>
  <c r="Y213" i="9"/>
  <c r="Y212" i="9"/>
  <c r="Y211" i="9"/>
  <c r="Y210" i="9"/>
  <c r="Y209" i="9"/>
  <c r="Y208" i="9"/>
  <c r="Y207" i="9"/>
  <c r="Y206" i="9"/>
  <c r="Y205" i="9"/>
  <c r="Y204" i="9"/>
  <c r="Y203" i="9"/>
  <c r="Y202" i="9"/>
  <c r="Y201" i="9"/>
  <c r="Y200" i="9"/>
  <c r="Y199" i="9"/>
  <c r="Y198" i="9"/>
  <c r="Y197" i="9"/>
  <c r="Y196" i="9"/>
  <c r="Y195" i="9"/>
  <c r="Y194" i="9"/>
  <c r="Y193" i="9"/>
  <c r="Y192" i="9"/>
  <c r="Y191" i="9"/>
  <c r="Y190" i="9"/>
  <c r="Y189" i="9"/>
  <c r="Y188" i="9"/>
  <c r="Y187" i="9"/>
  <c r="Y186" i="9"/>
  <c r="Y185" i="9"/>
  <c r="Y184" i="9"/>
  <c r="Y183" i="9"/>
  <c r="Y182" i="9"/>
  <c r="Y181" i="9"/>
  <c r="Y180" i="9"/>
  <c r="Y179" i="9"/>
  <c r="Y178" i="9"/>
  <c r="Y177" i="9"/>
  <c r="Y176" i="9"/>
  <c r="Y175" i="9"/>
  <c r="Y174" i="9"/>
  <c r="Y173" i="9"/>
  <c r="Y172" i="9"/>
  <c r="Y171" i="9"/>
  <c r="Y170" i="9"/>
  <c r="Y169" i="9"/>
  <c r="Y168" i="9"/>
  <c r="Y167" i="9"/>
  <c r="Y166" i="9"/>
  <c r="Y165" i="9"/>
  <c r="Y164" i="9"/>
  <c r="Y163" i="9"/>
  <c r="Y162" i="9"/>
  <c r="Y161" i="9"/>
  <c r="Y160" i="9"/>
  <c r="Y159" i="9"/>
  <c r="Y158" i="9"/>
  <c r="Y157" i="9"/>
  <c r="Y156" i="9"/>
  <c r="Y155" i="9"/>
  <c r="Y154" i="9"/>
  <c r="Y153" i="9"/>
  <c r="Y152" i="9"/>
  <c r="Y151" i="9"/>
  <c r="Y150" i="9"/>
  <c r="Y149" i="9"/>
  <c r="Y148" i="9"/>
  <c r="Y147" i="9"/>
  <c r="Y146" i="9"/>
  <c r="Y145" i="9"/>
  <c r="Y144" i="9"/>
  <c r="Y143" i="9"/>
  <c r="Y142" i="9"/>
  <c r="Y141" i="9"/>
  <c r="Y140" i="9"/>
  <c r="Y139" i="9"/>
  <c r="Y138" i="9"/>
  <c r="Y137" i="9"/>
  <c r="Y136" i="9"/>
  <c r="Y135" i="9"/>
  <c r="Y134" i="9"/>
  <c r="Y133" i="9"/>
  <c r="Y132" i="9"/>
  <c r="Y131" i="9"/>
  <c r="Y130" i="9"/>
  <c r="Y129" i="9"/>
  <c r="Y128" i="9"/>
  <c r="Y127" i="9"/>
  <c r="Y126" i="9"/>
  <c r="Y125" i="9"/>
  <c r="Y124" i="9"/>
  <c r="Y123" i="9"/>
  <c r="Y122" i="9"/>
  <c r="Y121" i="9"/>
  <c r="Y120" i="9"/>
  <c r="Y119" i="9"/>
  <c r="Y118" i="9"/>
  <c r="Y117" i="9"/>
  <c r="Y116" i="9"/>
  <c r="Y115" i="9"/>
  <c r="Y114" i="9"/>
  <c r="Y113" i="9"/>
  <c r="Y112" i="9"/>
  <c r="Y111" i="9"/>
  <c r="Y110" i="9"/>
  <c r="Y109" i="9"/>
  <c r="Y108" i="9"/>
  <c r="Y107" i="9"/>
  <c r="Y106" i="9"/>
  <c r="Y105" i="9"/>
  <c r="Y104" i="9"/>
  <c r="Y103" i="9"/>
  <c r="Y102" i="9"/>
  <c r="Y101" i="9"/>
  <c r="Y100" i="9"/>
  <c r="Y99" i="9"/>
  <c r="Y98" i="9"/>
  <c r="Y97" i="9"/>
  <c r="Y96" i="9"/>
  <c r="Y95" i="9"/>
  <c r="Y94" i="9"/>
  <c r="Y93" i="9"/>
  <c r="Y92" i="9"/>
  <c r="Y91" i="9"/>
  <c r="Y90" i="9"/>
  <c r="Y89" i="9"/>
  <c r="Y88" i="9"/>
  <c r="Y87" i="9"/>
  <c r="Y86" i="9"/>
  <c r="Y85" i="9"/>
  <c r="Y84" i="9"/>
  <c r="Y83" i="9"/>
  <c r="Y82" i="9"/>
  <c r="Y81" i="9"/>
  <c r="Y80" i="9"/>
  <c r="Y79" i="9"/>
  <c r="Y78" i="9"/>
  <c r="Y77" i="9"/>
  <c r="Y76" i="9"/>
  <c r="Y75" i="9"/>
  <c r="Y74" i="9"/>
  <c r="Y73" i="9"/>
  <c r="Y72" i="9"/>
  <c r="Y71" i="9"/>
  <c r="Y70" i="9"/>
  <c r="Y69" i="9"/>
  <c r="Y68" i="9"/>
  <c r="Y67" i="9"/>
  <c r="Y66" i="9"/>
  <c r="Y65" i="9"/>
  <c r="Y64" i="9"/>
  <c r="Y63" i="9"/>
  <c r="Y62" i="9"/>
  <c r="Y61" i="9"/>
  <c r="Y60" i="9"/>
  <c r="Y59" i="9"/>
  <c r="Y58" i="9"/>
  <c r="Y57" i="9"/>
  <c r="Y56" i="9"/>
  <c r="Y55" i="9"/>
  <c r="Y54" i="9"/>
  <c r="Y53" i="9"/>
  <c r="Y52" i="9"/>
  <c r="Y51" i="9"/>
  <c r="Y50" i="9"/>
  <c r="Y49" i="9"/>
  <c r="Y48" i="9"/>
  <c r="Y47" i="9"/>
  <c r="Y46" i="9"/>
  <c r="Y45" i="9"/>
  <c r="Y44" i="9"/>
  <c r="Y43" i="9"/>
  <c r="Y42" i="9"/>
  <c r="Y41" i="9"/>
  <c r="Y40" i="9"/>
  <c r="Y39" i="9"/>
  <c r="Y38" i="9"/>
  <c r="Y37" i="9"/>
  <c r="Y36" i="9"/>
  <c r="Y35" i="9"/>
  <c r="Y34" i="9"/>
  <c r="Y33" i="9"/>
  <c r="Y32" i="9"/>
  <c r="Y31" i="9"/>
  <c r="Y30" i="9"/>
  <c r="Y29" i="9"/>
  <c r="Y28" i="9"/>
  <c r="Y27" i="9"/>
  <c r="Y26" i="9"/>
  <c r="Y25" i="9"/>
  <c r="Y24" i="9"/>
  <c r="Y23" i="9"/>
  <c r="Y22" i="9"/>
  <c r="Y21" i="9"/>
  <c r="Y20" i="9"/>
  <c r="Y19" i="9"/>
  <c r="Y18" i="9"/>
  <c r="Y17" i="9"/>
  <c r="Y16" i="9"/>
  <c r="Y15" i="9"/>
  <c r="Y14" i="9"/>
  <c r="Y13" i="9"/>
  <c r="Y12" i="9"/>
  <c r="Y11" i="9"/>
  <c r="Y10" i="9"/>
  <c r="Y9" i="9"/>
  <c r="Y8" i="9"/>
  <c r="Y7" i="9"/>
  <c r="Y6" i="9"/>
  <c r="Y5" i="9"/>
  <c r="Y4" i="9"/>
  <c r="Y3" i="9"/>
  <c r="Y2" i="9"/>
  <c r="E8" i="14"/>
  <c r="G20" i="14"/>
  <c r="G19" i="14"/>
  <c r="C8" i="14"/>
  <c r="D8" i="14"/>
  <c r="G13" i="14"/>
  <c r="G17" i="14"/>
  <c r="G16" i="14"/>
  <c r="G15" i="14"/>
  <c r="G18"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6D97D9-CDBE-B447-A9F5-4CE9E4B40CB2}" keepAlive="1" name="Query - HR data" description="Connection to the 'HR data' query in the workbook." type="5" refreshedVersion="8" background="1" saveData="1">
    <dbPr connection="Provider=Microsoft.Mashup.OleDb.1;Data Source=$Workbook$;Location=&quot;HR data&quot;;Extended Properties=&quot;&quot;" command="SELECT * FROM [HR data]"/>
  </connection>
  <connection id="2" xr16:uid="{740F7BA8-9E8F-924C-9DA0-D5AF6FF645AB}" keepAlive="1" name="Query - HR data (2)" description="Connection to the 'HR data (2)' query in the workbook." type="5" refreshedVersion="8" background="1" saveData="1">
    <dbPr connection="Provider=Microsoft.Mashup.OleDb.1;Data Source=$Workbook$;Location=&quot;HR data (2)&quot;;Extended Properties=&quot;&quot;" command="SELECT * FROM [HR data (2)]"/>
  </connection>
</connections>
</file>

<file path=xl/sharedStrings.xml><?xml version="1.0" encoding="utf-8"?>
<sst xmlns="http://schemas.openxmlformats.org/spreadsheetml/2006/main" count="29559" uniqueCount="99">
  <si>
    <t>Employee Number</t>
  </si>
  <si>
    <t>Attrition</t>
  </si>
  <si>
    <t>Business Travel</t>
  </si>
  <si>
    <t>Age Group</t>
  </si>
  <si>
    <t>Department</t>
  </si>
  <si>
    <t>Education Field</t>
  </si>
  <si>
    <t>Employee Count</t>
  </si>
  <si>
    <t>Gender</t>
  </si>
  <si>
    <t>Job Role</t>
  </si>
  <si>
    <t>Marital Status</t>
  </si>
  <si>
    <t>Over Time</t>
  </si>
  <si>
    <t>Age</t>
  </si>
  <si>
    <t>Distance From Home</t>
  </si>
  <si>
    <t>Education</t>
  </si>
  <si>
    <t>Environment Satisfaction</t>
  </si>
  <si>
    <t>Job Level</t>
  </si>
  <si>
    <t>Job Satisfaction</t>
  </si>
  <si>
    <t>Monthly Income</t>
  </si>
  <si>
    <t>Total Working Years</t>
  </si>
  <si>
    <t>Work Life Balance</t>
  </si>
  <si>
    <t>Years At Company</t>
  </si>
  <si>
    <t>Years In Current Role</t>
  </si>
  <si>
    <t>Years Since Last Promotion</t>
  </si>
  <si>
    <t>Years With Curr Manager</t>
  </si>
  <si>
    <t>Yes</t>
  </si>
  <si>
    <t>Travel_Rarely</t>
  </si>
  <si>
    <t>35 - 44</t>
  </si>
  <si>
    <t>Sales</t>
  </si>
  <si>
    <t>Life Sciences</t>
  </si>
  <si>
    <t>Female</t>
  </si>
  <si>
    <t>Sales Executive</t>
  </si>
  <si>
    <t>Single</t>
  </si>
  <si>
    <t>Associates Degree</t>
  </si>
  <si>
    <t>No</t>
  </si>
  <si>
    <t>Travel_Frequently</t>
  </si>
  <si>
    <t>45 - 54</t>
  </si>
  <si>
    <t>R&amp;D</t>
  </si>
  <si>
    <t>Male</t>
  </si>
  <si>
    <t>Research Scientist</t>
  </si>
  <si>
    <t>Married</t>
  </si>
  <si>
    <t>High School</t>
  </si>
  <si>
    <t>Other</t>
  </si>
  <si>
    <t>Laboratory Technician</t>
  </si>
  <si>
    <t>25 - 34</t>
  </si>
  <si>
    <t>Master's Degree</t>
  </si>
  <si>
    <t>Medical</t>
  </si>
  <si>
    <t>Over 55</t>
  </si>
  <si>
    <t>Bachelor's Degree</t>
  </si>
  <si>
    <t>Divorced</t>
  </si>
  <si>
    <t>Manufacturing Director</t>
  </si>
  <si>
    <t>Healthcare Representative</t>
  </si>
  <si>
    <t>Non-Travel</t>
  </si>
  <si>
    <t>Under 25</t>
  </si>
  <si>
    <t>Manager</t>
  </si>
  <si>
    <t>Sales Representative</t>
  </si>
  <si>
    <t>Research Director</t>
  </si>
  <si>
    <t>Marketing</t>
  </si>
  <si>
    <t>Technical Degree</t>
  </si>
  <si>
    <t>Doctoral Degree</t>
  </si>
  <si>
    <t>HR</t>
  </si>
  <si>
    <t>Human Resources</t>
  </si>
  <si>
    <t>KPI's</t>
  </si>
  <si>
    <t>Count of Employee Number</t>
  </si>
  <si>
    <t>Average of Monthly Income</t>
  </si>
  <si>
    <t>Average of Age</t>
  </si>
  <si>
    <t>Average of Job Satisfaction</t>
  </si>
  <si>
    <t>Average of Total Working Years</t>
  </si>
  <si>
    <t>Average of Years At Company</t>
  </si>
  <si>
    <t>Row Labels</t>
  </si>
  <si>
    <t>Sum of Employee Count</t>
  </si>
  <si>
    <t>Grand Total</t>
  </si>
  <si>
    <t>Count of Attrition</t>
  </si>
  <si>
    <t>attrition rate %</t>
  </si>
  <si>
    <t>Active employee</t>
  </si>
  <si>
    <t>attrition count</t>
  </si>
  <si>
    <t>DONE</t>
  </si>
  <si>
    <t>avf of year at compnay</t>
  </si>
  <si>
    <t>avg job satisfaction</t>
  </si>
  <si>
    <t>avg age</t>
  </si>
  <si>
    <t>emp number</t>
  </si>
  <si>
    <t>avg of monthly salary</t>
  </si>
  <si>
    <t>female</t>
  </si>
  <si>
    <t>male</t>
  </si>
  <si>
    <t>Employees by Department</t>
  </si>
  <si>
    <t>Attrition by Department</t>
  </si>
  <si>
    <t>Attrition by Job Role</t>
  </si>
  <si>
    <t>Average of Attrition2</t>
  </si>
  <si>
    <t>Attrition by Age Group</t>
  </si>
  <si>
    <t>Gender Distribution</t>
  </si>
  <si>
    <t>Salary by Department</t>
  </si>
  <si>
    <t>Job Satisfaction by department</t>
  </si>
  <si>
    <t>Years at Company by department</t>
  </si>
  <si>
    <t>Average of Work Life Balance</t>
  </si>
  <si>
    <t>Attrition2</t>
  </si>
  <si>
    <t>attrition by age group</t>
  </si>
  <si>
    <t>gender distribution</t>
  </si>
  <si>
    <t>Avg salary by dept</t>
  </si>
  <si>
    <t>Job Satisfaction by deparxtment</t>
  </si>
  <si>
    <t xml:space="preserve"> out of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</si>
</sst>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quot;$&quot;#,##0.0"/>
  </numFmts>
  <fonts count="3">
    <font>
      <sz val="12"/>
      <color theme="1"/>
      <name val="Calibri"/>
      <family val="2"/>
      <scheme val="minor"/>
    </font>
    <font>
      <b/>
      <sz val="12"/>
      <color theme="1"/>
      <name val="Calibri"/>
      <family val="2"/>
      <scheme val="minor"/>
    </font>
    <font>
      <b/>
      <sz val="24"/>
      <color theme="1"/>
      <name val="Calibri (Body)"/>
    </font>
  </fonts>
  <fills count="4">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0" fontId="0" fillId="0" borderId="1" xfId="0" applyBorder="1"/>
    <xf numFmtId="0" fontId="1" fillId="0" borderId="1" xfId="0" applyFont="1" applyBorder="1"/>
    <xf numFmtId="0" fontId="0" fillId="0" borderId="0" xfId="0" pivotButton="1"/>
    <xf numFmtId="2" fontId="0" fillId="0" borderId="0" xfId="0" applyNumberFormat="1"/>
    <xf numFmtId="0" fontId="0" fillId="0" borderId="0" xfId="0" applyAlignment="1">
      <alignment horizontal="left"/>
    </xf>
    <xf numFmtId="10" fontId="0" fillId="0" borderId="0" xfId="0" applyNumberFormat="1"/>
    <xf numFmtId="164" fontId="0" fillId="0" borderId="0" xfId="0" applyNumberFormat="1"/>
    <xf numFmtId="0" fontId="1" fillId="0" borderId="0" xfId="0" applyFont="1"/>
    <xf numFmtId="0" fontId="0" fillId="2" borderId="8" xfId="0" applyFill="1" applyBorder="1"/>
    <xf numFmtId="0" fontId="0" fillId="2" borderId="9" xfId="0" applyFill="1" applyBorder="1"/>
    <xf numFmtId="0" fontId="0" fillId="2" borderId="10" xfId="0" applyFill="1" applyBorder="1"/>
    <xf numFmtId="1" fontId="0" fillId="0" borderId="0" xfId="0" applyNumberFormat="1"/>
    <xf numFmtId="165" fontId="0" fillId="0" borderId="0" xfId="0" applyNumberFormat="1"/>
    <xf numFmtId="166" fontId="0" fillId="0" borderId="0" xfId="0" applyNumberFormat="1"/>
    <xf numFmtId="0" fontId="2" fillId="3" borderId="2" xfId="0" applyFont="1"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1" fillId="2" borderId="8" xfId="0" applyFont="1"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1" fillId="3" borderId="3" xfId="0" applyFont="1" applyFill="1" applyBorder="1" applyAlignment="1">
      <alignment horizontal="center"/>
    </xf>
    <xf numFmtId="0" fontId="0" fillId="0" borderId="0" xfId="0" applyAlignment="1">
      <alignment horizontal="center"/>
    </xf>
    <xf numFmtId="0" fontId="1"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92F4"/>
      <color rgb="FFFF814F"/>
      <color rgb="FFFF2E00"/>
      <color rgb="FFFF50EF"/>
      <color rgb="FFCBE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tables!emp by dept</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HR</c:v>
                </c:pt>
                <c:pt idx="1">
                  <c:v>Sales</c:v>
                </c:pt>
                <c:pt idx="2">
                  <c:v>R&amp;D</c:v>
                </c:pt>
              </c:strCache>
            </c:strRef>
          </c:cat>
          <c:val>
            <c:numRef>
              <c:f>'pivot tables'!$B$4:$B$7</c:f>
              <c:numCache>
                <c:formatCode>General</c:formatCode>
                <c:ptCount val="3"/>
                <c:pt idx="0">
                  <c:v>63</c:v>
                </c:pt>
                <c:pt idx="1">
                  <c:v>446</c:v>
                </c:pt>
                <c:pt idx="2">
                  <c:v>961</c:v>
                </c:pt>
              </c:numCache>
            </c:numRef>
          </c:val>
          <c:extLst>
            <c:ext xmlns:c16="http://schemas.microsoft.com/office/drawing/2014/chart" uri="{C3380CC4-5D6E-409C-BE32-E72D297353CC}">
              <c16:uniqueId val="{00000000-DE95-5A41-BAB0-940DD54D05F6}"/>
            </c:ext>
          </c:extLst>
        </c:ser>
        <c:dLbls>
          <c:showLegendKey val="0"/>
          <c:showVal val="0"/>
          <c:showCatName val="0"/>
          <c:showSerName val="0"/>
          <c:showPercent val="0"/>
          <c:showBubbleSize val="0"/>
        </c:dLbls>
        <c:gapWidth val="182"/>
        <c:axId val="645671871"/>
        <c:axId val="753966079"/>
      </c:barChart>
      <c:catAx>
        <c:axId val="64567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753966079"/>
        <c:crosses val="autoZero"/>
        <c:auto val="1"/>
        <c:lblAlgn val="ctr"/>
        <c:lblOffset val="100"/>
        <c:noMultiLvlLbl val="0"/>
      </c:catAx>
      <c:valAx>
        <c:axId val="753966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4567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tables!Attrition by Department</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tables'!$D$4:$D$7</c:f>
              <c:strCache>
                <c:ptCount val="3"/>
                <c:pt idx="0">
                  <c:v>R&amp;D</c:v>
                </c:pt>
                <c:pt idx="1">
                  <c:v>HR</c:v>
                </c:pt>
                <c:pt idx="2">
                  <c:v>Sales</c:v>
                </c:pt>
              </c:strCache>
            </c:strRef>
          </c:cat>
          <c:val>
            <c:numRef>
              <c:f>'pivot tables'!$E$4:$E$7</c:f>
              <c:numCache>
                <c:formatCode>0.00%</c:formatCode>
                <c:ptCount val="3"/>
                <c:pt idx="0">
                  <c:v>0.13839750260145681</c:v>
                </c:pt>
                <c:pt idx="1">
                  <c:v>0.19047619047619047</c:v>
                </c:pt>
                <c:pt idx="2">
                  <c:v>0.20627802690582961</c:v>
                </c:pt>
              </c:numCache>
            </c:numRef>
          </c:val>
          <c:extLst>
            <c:ext xmlns:c16="http://schemas.microsoft.com/office/drawing/2014/chart" uri="{C3380CC4-5D6E-409C-BE32-E72D297353CC}">
              <c16:uniqueId val="{00000000-E58E-6B47-BE51-11EAD35F4EE5}"/>
            </c:ext>
          </c:extLst>
        </c:ser>
        <c:dLbls>
          <c:showLegendKey val="0"/>
          <c:showVal val="0"/>
          <c:showCatName val="0"/>
          <c:showSerName val="0"/>
          <c:showPercent val="0"/>
          <c:showBubbleSize val="0"/>
        </c:dLbls>
        <c:gapWidth val="219"/>
        <c:overlap val="-27"/>
        <c:axId val="624609023"/>
        <c:axId val="624607231"/>
      </c:barChart>
      <c:catAx>
        <c:axId val="62460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24607231"/>
        <c:crosses val="autoZero"/>
        <c:auto val="1"/>
        <c:lblAlgn val="ctr"/>
        <c:lblOffset val="100"/>
        <c:noMultiLvlLbl val="0"/>
      </c:catAx>
      <c:valAx>
        <c:axId val="624607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2460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tables!PivotTable22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tables'!$G$4:$G$13</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 tables'!$H$4:$H$13</c:f>
              <c:numCache>
                <c:formatCode>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3C64-AA48-8516-E39DD181B38F}"/>
            </c:ext>
          </c:extLst>
        </c:ser>
        <c:dLbls>
          <c:showLegendKey val="0"/>
          <c:showVal val="0"/>
          <c:showCatName val="0"/>
          <c:showSerName val="0"/>
          <c:showPercent val="0"/>
          <c:showBubbleSize val="0"/>
        </c:dLbls>
        <c:gapWidth val="182"/>
        <c:axId val="614663487"/>
        <c:axId val="614671999"/>
      </c:barChart>
      <c:catAx>
        <c:axId val="61466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14671999"/>
        <c:crosses val="autoZero"/>
        <c:auto val="1"/>
        <c:lblAlgn val="ctr"/>
        <c:lblOffset val="100"/>
        <c:noMultiLvlLbl val="0"/>
      </c:catAx>
      <c:valAx>
        <c:axId val="6146719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61466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tables!Attrition by Age Group
Attrition by Age Group
</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tables'!$A$19:$A$24</c:f>
              <c:strCache>
                <c:ptCount val="5"/>
                <c:pt idx="0">
                  <c:v>Under 25</c:v>
                </c:pt>
                <c:pt idx="1">
                  <c:v>25 - 34</c:v>
                </c:pt>
                <c:pt idx="2">
                  <c:v>Over 55</c:v>
                </c:pt>
                <c:pt idx="3">
                  <c:v>45 - 54</c:v>
                </c:pt>
                <c:pt idx="4">
                  <c:v>35 - 44</c:v>
                </c:pt>
              </c:strCache>
            </c:strRef>
          </c:cat>
          <c:val>
            <c:numRef>
              <c:f>'pivot tables'!$B$19:$B$24</c:f>
              <c:numCache>
                <c:formatCode>0.00%</c:formatCode>
                <c:ptCount val="5"/>
                <c:pt idx="0">
                  <c:v>0.39175257731958762</c:v>
                </c:pt>
                <c:pt idx="1">
                  <c:v>0.20216606498194944</c:v>
                </c:pt>
                <c:pt idx="2">
                  <c:v>0.15942028985507245</c:v>
                </c:pt>
                <c:pt idx="3">
                  <c:v>0.10204081632653061</c:v>
                </c:pt>
                <c:pt idx="4">
                  <c:v>0.100990099009901</c:v>
                </c:pt>
              </c:numCache>
            </c:numRef>
          </c:val>
          <c:extLst>
            <c:ext xmlns:c16="http://schemas.microsoft.com/office/drawing/2014/chart" uri="{C3380CC4-5D6E-409C-BE32-E72D297353CC}">
              <c16:uniqueId val="{00000000-E952-DD44-B8BF-265F5F38EC56}"/>
            </c:ext>
          </c:extLst>
        </c:ser>
        <c:dLbls>
          <c:showLegendKey val="0"/>
          <c:showVal val="0"/>
          <c:showCatName val="0"/>
          <c:showSerName val="0"/>
          <c:showPercent val="0"/>
          <c:showBubbleSize val="0"/>
        </c:dLbls>
        <c:gapWidth val="219"/>
        <c:overlap val="-27"/>
        <c:axId val="775178431"/>
        <c:axId val="623060159"/>
      </c:barChart>
      <c:catAx>
        <c:axId val="77517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23060159"/>
        <c:crosses val="autoZero"/>
        <c:auto val="1"/>
        <c:lblAlgn val="ctr"/>
        <c:lblOffset val="100"/>
        <c:noMultiLvlLbl val="0"/>
      </c:catAx>
      <c:valAx>
        <c:axId val="62306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77517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tables!Gender Distribution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tables'!$E$18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25-6A42-AB14-D152F83F14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25-6A42-AB14-D152F83F1459}"/>
              </c:ext>
            </c:extLst>
          </c:dPt>
          <c:cat>
            <c:strRef>
              <c:f>'pivot tables'!$D$19:$D$21</c:f>
              <c:strCache>
                <c:ptCount val="2"/>
                <c:pt idx="0">
                  <c:v>Female</c:v>
                </c:pt>
                <c:pt idx="1">
                  <c:v>Male</c:v>
                </c:pt>
              </c:strCache>
            </c:strRef>
          </c:cat>
          <c:val>
            <c:numRef>
              <c:f>'pivot tables'!$E$19:$E$21</c:f>
              <c:numCache>
                <c:formatCode>0.00%</c:formatCode>
                <c:ptCount val="2"/>
                <c:pt idx="0">
                  <c:v>0.4</c:v>
                </c:pt>
                <c:pt idx="1">
                  <c:v>0.6</c:v>
                </c:pt>
              </c:numCache>
            </c:numRef>
          </c:val>
          <c:extLst>
            <c:ext xmlns:c16="http://schemas.microsoft.com/office/drawing/2014/chart" uri="{C3380CC4-5D6E-409C-BE32-E72D297353CC}">
              <c16:uniqueId val="{00000004-1925-6A42-AB14-D152F83F14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tables!Salary by Department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tables'!$G$19:$G$22</c:f>
              <c:strCache>
                <c:ptCount val="3"/>
                <c:pt idx="0">
                  <c:v>R&amp;D</c:v>
                </c:pt>
                <c:pt idx="1">
                  <c:v>HR</c:v>
                </c:pt>
                <c:pt idx="2">
                  <c:v>Sales</c:v>
                </c:pt>
              </c:strCache>
            </c:strRef>
          </c:cat>
          <c:val>
            <c:numRef>
              <c:f>'pivot tables'!$H$19:$H$22</c:f>
              <c:numCache>
                <c:formatCode>0.00</c:formatCode>
                <c:ptCount val="3"/>
                <c:pt idx="0">
                  <c:v>6281.2528616024974</c:v>
                </c:pt>
                <c:pt idx="1">
                  <c:v>6654.5079365079364</c:v>
                </c:pt>
                <c:pt idx="2">
                  <c:v>6959.17264573991</c:v>
                </c:pt>
              </c:numCache>
            </c:numRef>
          </c:val>
          <c:extLst>
            <c:ext xmlns:c16="http://schemas.microsoft.com/office/drawing/2014/chart" uri="{C3380CC4-5D6E-409C-BE32-E72D297353CC}">
              <c16:uniqueId val="{00000000-4DB7-B640-A554-77BB74F52341}"/>
            </c:ext>
          </c:extLst>
        </c:ser>
        <c:dLbls>
          <c:showLegendKey val="0"/>
          <c:showVal val="0"/>
          <c:showCatName val="0"/>
          <c:showSerName val="0"/>
          <c:showPercent val="0"/>
          <c:showBubbleSize val="0"/>
        </c:dLbls>
        <c:gapWidth val="182"/>
        <c:axId val="594593087"/>
        <c:axId val="618225535"/>
      </c:barChart>
      <c:catAx>
        <c:axId val="59459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618225535"/>
        <c:crosses val="autoZero"/>
        <c:auto val="1"/>
        <c:lblAlgn val="ctr"/>
        <c:lblOffset val="100"/>
        <c:noMultiLvlLbl val="0"/>
      </c:catAx>
      <c:valAx>
        <c:axId val="61822553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59459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tables!Job Satisfaction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badi" panose="020B0604020104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badi" panose="020B0604020104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tables'!$A$29:$A$32</c:f>
              <c:strCache>
                <c:ptCount val="3"/>
                <c:pt idx="0">
                  <c:v>HR</c:v>
                </c:pt>
                <c:pt idx="1">
                  <c:v>R&amp;D</c:v>
                </c:pt>
                <c:pt idx="2">
                  <c:v>Sales</c:v>
                </c:pt>
              </c:strCache>
            </c:strRef>
          </c:cat>
          <c:val>
            <c:numRef>
              <c:f>'pivot tables'!$B$29:$B$32</c:f>
              <c:numCache>
                <c:formatCode>0.00</c:formatCode>
                <c:ptCount val="3"/>
                <c:pt idx="0">
                  <c:v>2.6031746031746033</c:v>
                </c:pt>
                <c:pt idx="1">
                  <c:v>2.7263267429760667</c:v>
                </c:pt>
                <c:pt idx="2">
                  <c:v>2.7511210762331837</c:v>
                </c:pt>
              </c:numCache>
            </c:numRef>
          </c:val>
          <c:extLst>
            <c:ext xmlns:c16="http://schemas.microsoft.com/office/drawing/2014/chart" uri="{C3380CC4-5D6E-409C-BE32-E72D297353CC}">
              <c16:uniqueId val="{00000000-EECD-5048-A89D-B46F72A07465}"/>
            </c:ext>
          </c:extLst>
        </c:ser>
        <c:dLbls>
          <c:showLegendKey val="0"/>
          <c:showVal val="0"/>
          <c:showCatName val="0"/>
          <c:showSerName val="0"/>
          <c:showPercent val="0"/>
          <c:showBubbleSize val="0"/>
        </c:dLbls>
        <c:gapWidth val="182"/>
        <c:axId val="586487935"/>
        <c:axId val="584912383"/>
      </c:barChart>
      <c:catAx>
        <c:axId val="58648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584912383"/>
        <c:crosses val="autoZero"/>
        <c:auto val="1"/>
        <c:lblAlgn val="ctr"/>
        <c:lblOffset val="100"/>
        <c:noMultiLvlLbl val="0"/>
      </c:catAx>
      <c:valAx>
        <c:axId val="58491238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58648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tables!Work Life Balance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tables'!$D$29:$D$32</c:f>
              <c:strCache>
                <c:ptCount val="3"/>
                <c:pt idx="0">
                  <c:v>R&amp;D</c:v>
                </c:pt>
                <c:pt idx="1">
                  <c:v>Sales</c:v>
                </c:pt>
                <c:pt idx="2">
                  <c:v>HR</c:v>
                </c:pt>
              </c:strCache>
            </c:strRef>
          </c:cat>
          <c:val>
            <c:numRef>
              <c:f>'pivot tables'!$E$29:$E$32</c:f>
              <c:numCache>
                <c:formatCode>0.00</c:formatCode>
                <c:ptCount val="3"/>
                <c:pt idx="0">
                  <c:v>2.7252861602497398</c:v>
                </c:pt>
                <c:pt idx="1">
                  <c:v>2.8161434977578477</c:v>
                </c:pt>
                <c:pt idx="2">
                  <c:v>2.9206349206349205</c:v>
                </c:pt>
              </c:numCache>
            </c:numRef>
          </c:val>
          <c:extLst>
            <c:ext xmlns:c16="http://schemas.microsoft.com/office/drawing/2014/chart" uri="{C3380CC4-5D6E-409C-BE32-E72D297353CC}">
              <c16:uniqueId val="{00000000-411E-F542-BB73-5B86B81EA9B0}"/>
            </c:ext>
          </c:extLst>
        </c:ser>
        <c:dLbls>
          <c:showLegendKey val="0"/>
          <c:showVal val="0"/>
          <c:showCatName val="0"/>
          <c:showSerName val="0"/>
          <c:showPercent val="0"/>
          <c:showBubbleSize val="0"/>
        </c:dLbls>
        <c:gapWidth val="182"/>
        <c:axId val="618145855"/>
        <c:axId val="618142719"/>
      </c:barChart>
      <c:catAx>
        <c:axId val="61814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618142719"/>
        <c:crosses val="autoZero"/>
        <c:auto val="1"/>
        <c:lblAlgn val="ctr"/>
        <c:lblOffset val="100"/>
        <c:noMultiLvlLbl val="0"/>
      </c:catAx>
      <c:valAx>
        <c:axId val="61814271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1814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tables!Years at Company by department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fld id="{E5224760-D6EB-F343-8141-B8039E77E243}" type="VALUE">
                  <a:rPr lang="en-US" sz="2000" b="1"/>
                  <a:pPr>
                    <a:defRPr sz="2000" b="1"/>
                  </a:pPr>
                  <a:t>[]</a:t>
                </a:fld>
                <a:endParaRPr/>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0"/>
        <c:ser>
          <c:idx val="0"/>
          <c:order val="0"/>
          <c:tx>
            <c:strRef>
              <c:f>'pivot tables'!$H$28</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1-E389-D54D-A751-4B1CF0D7D9F9}"/>
              </c:ext>
            </c:extLst>
          </c:dPt>
          <c:dLbls>
            <c:dLbl>
              <c:idx val="2"/>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fld id="{E5224760-D6EB-F343-8141-B8039E77E243}" type="VALUE">
                      <a:rPr lang="en-US" sz="2000" b="1"/>
                      <a:pPr>
                        <a:defRPr sz="2000" b="1"/>
                      </a:pPr>
                      <a:t>[]</a:t>
                    </a:fld>
                    <a:endParaRPr/>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389-D54D-A751-4B1CF0D7D9F9}"/>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tables'!$G$29:$G$32</c:f>
              <c:strCache>
                <c:ptCount val="3"/>
                <c:pt idx="0">
                  <c:v>R&amp;D</c:v>
                </c:pt>
                <c:pt idx="1">
                  <c:v>HR</c:v>
                </c:pt>
                <c:pt idx="2">
                  <c:v>Sales</c:v>
                </c:pt>
              </c:strCache>
            </c:strRef>
          </c:cat>
          <c:val>
            <c:numRef>
              <c:f>'pivot tables'!$H$29:$H$32</c:f>
              <c:numCache>
                <c:formatCode>0.00</c:formatCode>
                <c:ptCount val="3"/>
                <c:pt idx="0">
                  <c:v>6.8647242455775235</c:v>
                </c:pt>
                <c:pt idx="1">
                  <c:v>7.2380952380952381</c:v>
                </c:pt>
                <c:pt idx="2">
                  <c:v>7.2847533632286998</c:v>
                </c:pt>
              </c:numCache>
            </c:numRef>
          </c:val>
          <c:extLst>
            <c:ext xmlns:c16="http://schemas.microsoft.com/office/drawing/2014/chart" uri="{C3380CC4-5D6E-409C-BE32-E72D297353CC}">
              <c16:uniqueId val="{00000000-E389-D54D-A751-4B1CF0D7D9F9}"/>
            </c:ext>
          </c:extLst>
        </c:ser>
        <c:dLbls>
          <c:showLegendKey val="0"/>
          <c:showVal val="0"/>
          <c:showCatName val="0"/>
          <c:showSerName val="0"/>
          <c:showPercent val="0"/>
          <c:showBubbleSize val="0"/>
        </c:dLbls>
        <c:gapWidth val="182"/>
        <c:axId val="623024703"/>
        <c:axId val="584915519"/>
      </c:barChart>
      <c:catAx>
        <c:axId val="62302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584915519"/>
        <c:crosses val="autoZero"/>
        <c:auto val="1"/>
        <c:lblAlgn val="ctr"/>
        <c:lblOffset val="100"/>
        <c:noMultiLvlLbl val="0"/>
      </c:catAx>
      <c:valAx>
        <c:axId val="58491551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2302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tables!emp by dept</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HR</c:v>
                </c:pt>
                <c:pt idx="1">
                  <c:v>Sales</c:v>
                </c:pt>
                <c:pt idx="2">
                  <c:v>R&amp;D</c:v>
                </c:pt>
              </c:strCache>
            </c:strRef>
          </c:cat>
          <c:val>
            <c:numRef>
              <c:f>'pivot tables'!$B$4:$B$7</c:f>
              <c:numCache>
                <c:formatCode>General</c:formatCode>
                <c:ptCount val="3"/>
                <c:pt idx="0">
                  <c:v>63</c:v>
                </c:pt>
                <c:pt idx="1">
                  <c:v>446</c:v>
                </c:pt>
                <c:pt idx="2">
                  <c:v>961</c:v>
                </c:pt>
              </c:numCache>
            </c:numRef>
          </c:val>
          <c:extLst>
            <c:ext xmlns:c16="http://schemas.microsoft.com/office/drawing/2014/chart" uri="{C3380CC4-5D6E-409C-BE32-E72D297353CC}">
              <c16:uniqueId val="{00000000-1119-E44C-AA61-0741F6A6C051}"/>
            </c:ext>
          </c:extLst>
        </c:ser>
        <c:dLbls>
          <c:showLegendKey val="0"/>
          <c:showVal val="0"/>
          <c:showCatName val="0"/>
          <c:showSerName val="0"/>
          <c:showPercent val="0"/>
          <c:showBubbleSize val="0"/>
        </c:dLbls>
        <c:gapWidth val="182"/>
        <c:axId val="645671871"/>
        <c:axId val="753966079"/>
      </c:barChart>
      <c:catAx>
        <c:axId val="64567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753966079"/>
        <c:crosses val="autoZero"/>
        <c:auto val="1"/>
        <c:lblAlgn val="ctr"/>
        <c:lblOffset val="100"/>
        <c:noMultiLvlLbl val="0"/>
      </c:catAx>
      <c:valAx>
        <c:axId val="753966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4567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tables!Gender Distribution</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solidFill>
              <a:schemeClr val="accent2"/>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92F4">
              <a:alpha val="83922"/>
            </a:srgbClr>
          </a:solidFill>
          <a:ln>
            <a:solidFill>
              <a:schemeClr val="accent2"/>
            </a:solidFill>
          </a:ln>
          <a:effectLst/>
          <a:scene3d>
            <a:camera prst="orthographicFront"/>
            <a:lightRig rig="brightRoom" dir="t"/>
          </a:scene3d>
          <a:sp3d prstMaterial="flat">
            <a:bevelT w="50800" h="101600" prst="angle"/>
            <a:contourClr>
              <a:srgbClr val="000000"/>
            </a:contourClr>
          </a:sp3d>
        </c:spPr>
        <c:dLbl>
          <c:idx val="0"/>
          <c:layout>
            <c:manualLayout>
              <c:x val="0.19578811237984281"/>
              <c:y val="-1.752328275726067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alpha val="89000"/>
            </a:schemeClr>
          </a:solidFill>
          <a:ln>
            <a:solidFill>
              <a:schemeClr val="accent1"/>
            </a:solidFill>
          </a:ln>
          <a:effectLst/>
          <a:scene3d>
            <a:camera prst="orthographicFront"/>
            <a:lightRig rig="brightRoom" dir="t"/>
          </a:scene3d>
          <a:sp3d prstMaterial="flat">
            <a:bevelT w="50800" h="101600" prst="angle"/>
            <a:contourClr>
              <a:srgbClr val="000000"/>
            </a:contourClr>
          </a:sp3d>
        </c:spPr>
        <c:dLbl>
          <c:idx val="0"/>
          <c:layout>
            <c:manualLayout>
              <c:x val="-0.16230415250418984"/>
              <c:y val="-0.1644641855202026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376914260609141"/>
          <c:y val="0.10546878243995522"/>
          <c:w val="0.62857636147454243"/>
          <c:h val="0.77098833384237619"/>
        </c:manualLayout>
      </c:layout>
      <c:doughnutChart>
        <c:varyColors val="1"/>
        <c:ser>
          <c:idx val="0"/>
          <c:order val="0"/>
          <c:tx>
            <c:strRef>
              <c:f>'pivot tables'!$E$18</c:f>
              <c:strCache>
                <c:ptCount val="1"/>
                <c:pt idx="0">
                  <c:v>Total</c:v>
                </c:pt>
              </c:strCache>
            </c:strRef>
          </c:tx>
          <c:spPr>
            <a:ln>
              <a:solidFill>
                <a:schemeClr val="accent2"/>
              </a:solidFill>
            </a:ln>
          </c:spPr>
          <c:dPt>
            <c:idx val="0"/>
            <c:bubble3D val="0"/>
            <c:spPr>
              <a:solidFill>
                <a:srgbClr val="FF92F4">
                  <a:alpha val="83922"/>
                </a:srgbClr>
              </a:solidFill>
              <a:ln>
                <a:solidFill>
                  <a:schemeClr val="accent2"/>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E94-AC45-8E83-CEE6FAD101FE}"/>
              </c:ext>
            </c:extLst>
          </c:dPt>
          <c:dPt>
            <c:idx val="1"/>
            <c:bubble3D val="0"/>
            <c:spPr>
              <a:solidFill>
                <a:schemeClr val="accent1">
                  <a:alpha val="89000"/>
                </a:schemeClr>
              </a:solidFill>
              <a:ln>
                <a:solidFill>
                  <a:schemeClr val="accent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E94-AC45-8E83-CEE6FAD101FE}"/>
              </c:ext>
            </c:extLst>
          </c:dPt>
          <c:dLbls>
            <c:dLbl>
              <c:idx val="0"/>
              <c:layout>
                <c:manualLayout>
                  <c:x val="0.19578811237984281"/>
                  <c:y val="-1.75232827572606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94-AC45-8E83-CEE6FAD101FE}"/>
                </c:ext>
              </c:extLst>
            </c:dLbl>
            <c:dLbl>
              <c:idx val="1"/>
              <c:layout>
                <c:manualLayout>
                  <c:x val="-0.16230415250418984"/>
                  <c:y val="-0.1644641855202026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E94-AC45-8E83-CEE6FAD101F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tables'!$D$19:$D$21</c:f>
              <c:strCache>
                <c:ptCount val="2"/>
                <c:pt idx="0">
                  <c:v>Female</c:v>
                </c:pt>
                <c:pt idx="1">
                  <c:v>Male</c:v>
                </c:pt>
              </c:strCache>
            </c:strRef>
          </c:cat>
          <c:val>
            <c:numRef>
              <c:f>'pivot tables'!$E$19:$E$21</c:f>
              <c:numCache>
                <c:formatCode>0.00%</c:formatCode>
                <c:ptCount val="2"/>
                <c:pt idx="0">
                  <c:v>0.4</c:v>
                </c:pt>
                <c:pt idx="1">
                  <c:v>0.6</c:v>
                </c:pt>
              </c:numCache>
            </c:numRef>
          </c:val>
          <c:extLst>
            <c:ext xmlns:c16="http://schemas.microsoft.com/office/drawing/2014/chart" uri="{C3380CC4-5D6E-409C-BE32-E72D297353CC}">
              <c16:uniqueId val="{00000004-8E94-AC45-8E83-CEE6FAD101FE}"/>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b"/>
      <c:layout>
        <c:manualLayout>
          <c:xMode val="edge"/>
          <c:yMode val="edge"/>
          <c:x val="9.7130446802309006E-2"/>
          <c:y val="0.84716036505387327"/>
          <c:w val="0.6725592648276324"/>
          <c:h val="0.1528397677287671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tables!Attrition by Department</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2E00"/>
          </a:solidFill>
          <a:ln>
            <a:noFill/>
          </a:ln>
          <a:effectLst/>
        </c:spPr>
      </c:pivotFmt>
      <c:pivotFmt>
        <c:idx val="6"/>
        <c:spPr>
          <a:solidFill>
            <a:srgbClr val="FF2E00"/>
          </a:solidFill>
          <a:ln>
            <a:noFill/>
          </a:ln>
          <a:effectLst/>
        </c:spPr>
      </c:pivotFmt>
      <c:pivotFmt>
        <c:idx val="7"/>
        <c:spPr>
          <a:solidFill>
            <a:srgbClr val="FF2E00"/>
          </a:solidFill>
          <a:ln>
            <a:noFill/>
          </a:ln>
          <a:effectLst/>
        </c:spPr>
      </c:pivotFmt>
    </c:pivotFmts>
    <c:plotArea>
      <c:layout>
        <c:manualLayout>
          <c:layoutTarget val="inner"/>
          <c:xMode val="edge"/>
          <c:yMode val="edge"/>
          <c:x val="0.18972042721589188"/>
          <c:y val="0.10340306968654374"/>
          <c:w val="0.81027957278410812"/>
          <c:h val="0.72876701140389388"/>
        </c:manualLayout>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Pt>
            <c:idx val="0"/>
            <c:invertIfNegative val="0"/>
            <c:bubble3D val="0"/>
            <c:spPr>
              <a:solidFill>
                <a:srgbClr val="FF2E00"/>
              </a:solidFill>
              <a:ln>
                <a:noFill/>
              </a:ln>
              <a:effectLst/>
            </c:spPr>
            <c:extLst>
              <c:ext xmlns:c16="http://schemas.microsoft.com/office/drawing/2014/chart" uri="{C3380CC4-5D6E-409C-BE32-E72D297353CC}">
                <c16:uniqueId val="{00000003-9A5D-E744-A93F-89D091AECBEC}"/>
              </c:ext>
            </c:extLst>
          </c:dPt>
          <c:dPt>
            <c:idx val="1"/>
            <c:invertIfNegative val="0"/>
            <c:bubble3D val="0"/>
            <c:spPr>
              <a:solidFill>
                <a:srgbClr val="FF2E00"/>
              </a:solidFill>
              <a:ln>
                <a:noFill/>
              </a:ln>
              <a:effectLst/>
            </c:spPr>
            <c:extLst>
              <c:ext xmlns:c16="http://schemas.microsoft.com/office/drawing/2014/chart" uri="{C3380CC4-5D6E-409C-BE32-E72D297353CC}">
                <c16:uniqueId val="{00000002-9A5D-E744-A93F-89D091AECBEC}"/>
              </c:ext>
            </c:extLst>
          </c:dPt>
          <c:dPt>
            <c:idx val="2"/>
            <c:invertIfNegative val="0"/>
            <c:bubble3D val="0"/>
            <c:spPr>
              <a:solidFill>
                <a:srgbClr val="FF2E00"/>
              </a:solidFill>
              <a:ln>
                <a:noFill/>
              </a:ln>
              <a:effectLst/>
            </c:spPr>
            <c:extLst>
              <c:ext xmlns:c16="http://schemas.microsoft.com/office/drawing/2014/chart" uri="{C3380CC4-5D6E-409C-BE32-E72D297353CC}">
                <c16:uniqueId val="{00000001-9A5D-E744-A93F-89D091AECBEC}"/>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tables'!$D$4:$D$7</c:f>
              <c:strCache>
                <c:ptCount val="3"/>
                <c:pt idx="0">
                  <c:v>R&amp;D</c:v>
                </c:pt>
                <c:pt idx="1">
                  <c:v>HR</c:v>
                </c:pt>
                <c:pt idx="2">
                  <c:v>Sales</c:v>
                </c:pt>
              </c:strCache>
            </c:strRef>
          </c:cat>
          <c:val>
            <c:numRef>
              <c:f>'pivot tables'!$E$4:$E$7</c:f>
              <c:numCache>
                <c:formatCode>0.00%</c:formatCode>
                <c:ptCount val="3"/>
                <c:pt idx="0">
                  <c:v>0.13839750260145681</c:v>
                </c:pt>
                <c:pt idx="1">
                  <c:v>0.19047619047619047</c:v>
                </c:pt>
                <c:pt idx="2">
                  <c:v>0.20627802690582961</c:v>
                </c:pt>
              </c:numCache>
            </c:numRef>
          </c:val>
          <c:extLst>
            <c:ext xmlns:c16="http://schemas.microsoft.com/office/drawing/2014/chart" uri="{C3380CC4-5D6E-409C-BE32-E72D297353CC}">
              <c16:uniqueId val="{00000000-9A5D-E744-A93F-89D091AECBEC}"/>
            </c:ext>
          </c:extLst>
        </c:ser>
        <c:dLbls>
          <c:showLegendKey val="0"/>
          <c:showVal val="0"/>
          <c:showCatName val="0"/>
          <c:showSerName val="0"/>
          <c:showPercent val="0"/>
          <c:showBubbleSize val="0"/>
        </c:dLbls>
        <c:gapWidth val="219"/>
        <c:overlap val="-27"/>
        <c:axId val="624609023"/>
        <c:axId val="624607231"/>
      </c:barChart>
      <c:catAx>
        <c:axId val="62460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24607231"/>
        <c:crosses val="autoZero"/>
        <c:auto val="1"/>
        <c:lblAlgn val="ctr"/>
        <c:lblOffset val="100"/>
        <c:noMultiLvlLbl val="0"/>
      </c:catAx>
      <c:valAx>
        <c:axId val="624607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2460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tables!Attrition by Age Group
Attrition by Age Group
</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8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solidFill>
              <a:srgbClr val="FF81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tables'!$A$19:$A$24</c:f>
              <c:strCache>
                <c:ptCount val="5"/>
                <c:pt idx="0">
                  <c:v>Under 25</c:v>
                </c:pt>
                <c:pt idx="1">
                  <c:v>25 - 34</c:v>
                </c:pt>
                <c:pt idx="2">
                  <c:v>Over 55</c:v>
                </c:pt>
                <c:pt idx="3">
                  <c:v>45 - 54</c:v>
                </c:pt>
                <c:pt idx="4">
                  <c:v>35 - 44</c:v>
                </c:pt>
              </c:strCache>
            </c:strRef>
          </c:cat>
          <c:val>
            <c:numRef>
              <c:f>'pivot tables'!$B$19:$B$24</c:f>
              <c:numCache>
                <c:formatCode>0.00%</c:formatCode>
                <c:ptCount val="5"/>
                <c:pt idx="0">
                  <c:v>0.39175257731958762</c:v>
                </c:pt>
                <c:pt idx="1">
                  <c:v>0.20216606498194944</c:v>
                </c:pt>
                <c:pt idx="2">
                  <c:v>0.15942028985507245</c:v>
                </c:pt>
                <c:pt idx="3">
                  <c:v>0.10204081632653061</c:v>
                </c:pt>
                <c:pt idx="4">
                  <c:v>0.100990099009901</c:v>
                </c:pt>
              </c:numCache>
            </c:numRef>
          </c:val>
          <c:extLst>
            <c:ext xmlns:c16="http://schemas.microsoft.com/office/drawing/2014/chart" uri="{C3380CC4-5D6E-409C-BE32-E72D297353CC}">
              <c16:uniqueId val="{00000000-E65A-984D-AB36-E24386035808}"/>
            </c:ext>
          </c:extLst>
        </c:ser>
        <c:dLbls>
          <c:showLegendKey val="0"/>
          <c:showVal val="0"/>
          <c:showCatName val="0"/>
          <c:showSerName val="0"/>
          <c:showPercent val="0"/>
          <c:showBubbleSize val="0"/>
        </c:dLbls>
        <c:gapWidth val="219"/>
        <c:overlap val="-27"/>
        <c:axId val="775178431"/>
        <c:axId val="623060159"/>
      </c:barChart>
      <c:catAx>
        <c:axId val="77517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23060159"/>
        <c:crosses val="autoZero"/>
        <c:auto val="1"/>
        <c:lblAlgn val="ctr"/>
        <c:lblOffset val="100"/>
        <c:noMultiLvlLbl val="0"/>
      </c:catAx>
      <c:valAx>
        <c:axId val="62306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77517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tables!PivotTable22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158117342283217E-3"/>
              <c:y val="4.4254280971117222E-4"/>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Pt>
            <c:idx val="8"/>
            <c:invertIfNegative val="0"/>
            <c:bubble3D val="0"/>
            <c:spPr>
              <a:solidFill>
                <a:schemeClr val="accent1"/>
              </a:solidFill>
              <a:ln>
                <a:noFill/>
              </a:ln>
              <a:effectLst/>
            </c:spPr>
            <c:extLst>
              <c:ext xmlns:c16="http://schemas.microsoft.com/office/drawing/2014/chart" uri="{C3380CC4-5D6E-409C-BE32-E72D297353CC}">
                <c16:uniqueId val="{00000001-D233-6446-8DD4-0A10DC6F13F7}"/>
              </c:ext>
            </c:extLst>
          </c:dPt>
          <c:dLbls>
            <c:dLbl>
              <c:idx val="8"/>
              <c:layout>
                <c:manualLayout>
                  <c:x val="-1.0158117342283217E-3"/>
                  <c:y val="4.4254280971117222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33-6446-8DD4-0A10DC6F13F7}"/>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tables'!$G$4:$G$13</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 tables'!$H$4:$H$13</c:f>
              <c:numCache>
                <c:formatCode>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D233-6446-8DD4-0A10DC6F13F7}"/>
            </c:ext>
          </c:extLst>
        </c:ser>
        <c:dLbls>
          <c:showLegendKey val="0"/>
          <c:showVal val="0"/>
          <c:showCatName val="0"/>
          <c:showSerName val="0"/>
          <c:showPercent val="0"/>
          <c:showBubbleSize val="0"/>
        </c:dLbls>
        <c:gapWidth val="182"/>
        <c:axId val="614663487"/>
        <c:axId val="614671999"/>
      </c:barChart>
      <c:catAx>
        <c:axId val="61466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14671999"/>
        <c:crosses val="autoZero"/>
        <c:auto val="1"/>
        <c:lblAlgn val="ctr"/>
        <c:lblOffset val="100"/>
        <c:noMultiLvlLbl val="0"/>
      </c:catAx>
      <c:valAx>
        <c:axId val="6146719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61466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tables!Job Satisfaction</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badi" panose="020B0604020104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badi" panose="020B0604020104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s>
    <c:plotArea>
      <c:layout/>
      <c:barChart>
        <c:barDir val="bar"/>
        <c:grouping val="clustered"/>
        <c:varyColors val="0"/>
        <c:ser>
          <c:idx val="0"/>
          <c:order val="0"/>
          <c:tx>
            <c:strRef>
              <c:f>'pivot tables'!$B$28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tables'!$A$29:$A$32</c:f>
              <c:strCache>
                <c:ptCount val="3"/>
                <c:pt idx="0">
                  <c:v>HR</c:v>
                </c:pt>
                <c:pt idx="1">
                  <c:v>R&amp;D</c:v>
                </c:pt>
                <c:pt idx="2">
                  <c:v>Sales</c:v>
                </c:pt>
              </c:strCache>
            </c:strRef>
          </c:cat>
          <c:val>
            <c:numRef>
              <c:f>'pivot tables'!$B$29:$B$32</c:f>
              <c:numCache>
                <c:formatCode>0.00</c:formatCode>
                <c:ptCount val="3"/>
                <c:pt idx="0">
                  <c:v>2.6031746031746033</c:v>
                </c:pt>
                <c:pt idx="1">
                  <c:v>2.7263267429760667</c:v>
                </c:pt>
                <c:pt idx="2">
                  <c:v>2.7511210762331837</c:v>
                </c:pt>
              </c:numCache>
            </c:numRef>
          </c:val>
          <c:extLst>
            <c:ext xmlns:c16="http://schemas.microsoft.com/office/drawing/2014/chart" uri="{C3380CC4-5D6E-409C-BE32-E72D297353CC}">
              <c16:uniqueId val="{00000000-59FD-8842-A3BE-EE65B206DDC2}"/>
            </c:ext>
          </c:extLst>
        </c:ser>
        <c:dLbls>
          <c:showLegendKey val="0"/>
          <c:showVal val="0"/>
          <c:showCatName val="0"/>
          <c:showSerName val="0"/>
          <c:showPercent val="0"/>
          <c:showBubbleSize val="0"/>
        </c:dLbls>
        <c:gapWidth val="182"/>
        <c:axId val="586487935"/>
        <c:axId val="584912383"/>
      </c:barChart>
      <c:catAx>
        <c:axId val="58648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584912383"/>
        <c:crosses val="autoZero"/>
        <c:auto val="1"/>
        <c:lblAlgn val="ctr"/>
        <c:lblOffset val="100"/>
        <c:noMultiLvlLbl val="0"/>
      </c:catAx>
      <c:valAx>
        <c:axId val="58491238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58648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tables!Work Life Balance</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tables'!$D$29:$D$32</c:f>
              <c:strCache>
                <c:ptCount val="3"/>
                <c:pt idx="0">
                  <c:v>R&amp;D</c:v>
                </c:pt>
                <c:pt idx="1">
                  <c:v>Sales</c:v>
                </c:pt>
                <c:pt idx="2">
                  <c:v>HR</c:v>
                </c:pt>
              </c:strCache>
            </c:strRef>
          </c:cat>
          <c:val>
            <c:numRef>
              <c:f>'pivot tables'!$E$29:$E$32</c:f>
              <c:numCache>
                <c:formatCode>0.00</c:formatCode>
                <c:ptCount val="3"/>
                <c:pt idx="0">
                  <c:v>2.7252861602497398</c:v>
                </c:pt>
                <c:pt idx="1">
                  <c:v>2.8161434977578477</c:v>
                </c:pt>
                <c:pt idx="2">
                  <c:v>2.9206349206349205</c:v>
                </c:pt>
              </c:numCache>
            </c:numRef>
          </c:val>
          <c:extLst>
            <c:ext xmlns:c16="http://schemas.microsoft.com/office/drawing/2014/chart" uri="{C3380CC4-5D6E-409C-BE32-E72D297353CC}">
              <c16:uniqueId val="{00000000-BD9D-7942-8E88-F374F50BA45C}"/>
            </c:ext>
          </c:extLst>
        </c:ser>
        <c:dLbls>
          <c:showLegendKey val="0"/>
          <c:showVal val="0"/>
          <c:showCatName val="0"/>
          <c:showSerName val="0"/>
          <c:showPercent val="0"/>
          <c:showBubbleSize val="0"/>
        </c:dLbls>
        <c:gapWidth val="182"/>
        <c:axId val="618145855"/>
        <c:axId val="618142719"/>
      </c:barChart>
      <c:catAx>
        <c:axId val="61814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618142719"/>
        <c:crosses val="autoZero"/>
        <c:auto val="1"/>
        <c:lblAlgn val="ctr"/>
        <c:lblOffset val="100"/>
        <c:noMultiLvlLbl val="0"/>
      </c:catAx>
      <c:valAx>
        <c:axId val="61814271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1814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tables!Years at Company by department</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fld id="{E5224760-D6EB-F343-8141-B8039E77E243}" type="VALUE">
                  <a:rPr lang="en-US" sz="2000" b="1"/>
                  <a:pPr>
                    <a:defRPr sz="2000" b="1" i="0" u="none" strike="noStrike" kern="1200" baseline="0">
                      <a:solidFill>
                        <a:schemeClr val="tx1">
                          <a:lumMod val="75000"/>
                          <a:lumOff val="25000"/>
                        </a:schemeClr>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fld id="{E5224760-D6EB-F343-8141-B8039E77E243}" type="VALUE">
                  <a:rPr lang="en-US" sz="2000" b="1"/>
                  <a:pPr>
                    <a:defRPr sz="2000" b="1" i="0" u="none" strike="noStrike" kern="1200" baseline="0">
                      <a:solidFill>
                        <a:schemeClr val="tx1">
                          <a:lumMod val="75000"/>
                          <a:lumOff val="25000"/>
                        </a:schemeClr>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6.2380492116888363E-2"/>
            </c:manualLayout>
          </c:layout>
          <c:tx>
            <c:rich>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fld id="{E5224760-D6EB-F343-8141-B8039E77E243}" type="VALUE">
                  <a:rPr lang="en-US" sz="1600" b="1"/>
                  <a:pPr>
                    <a:defRPr sz="1600" b="1"/>
                  </a:pPr>
                  <a:t>[]</a:t>
                </a:fld>
                <a:endParaRPr/>
              </a:p>
            </c:rich>
          </c:tx>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 tables'!$H$28</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0-2472-974D-9C1A-658A6B1D4D8A}"/>
              </c:ext>
            </c:extLst>
          </c:dPt>
          <c:dLbls>
            <c:dLbl>
              <c:idx val="2"/>
              <c:layout>
                <c:manualLayout>
                  <c:x val="0"/>
                  <c:y val="-6.2380492116888363E-2"/>
                </c:manualLayout>
              </c:layout>
              <c:tx>
                <c:rich>
                  <a:bodyPr/>
                  <a:lstStyle/>
                  <a:p>
                    <a:fld id="{E5224760-D6EB-F343-8141-B8039E77E243}" type="VALUE">
                      <a:rPr lang="en-US" sz="1600" b="1"/>
                      <a:pPr/>
                      <a:t>[]</a:t>
                    </a:fld>
                    <a:endParaRP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2472-974D-9C1A-658A6B1D4D8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tables'!$G$29:$G$32</c:f>
              <c:strCache>
                <c:ptCount val="3"/>
                <c:pt idx="0">
                  <c:v>R&amp;D</c:v>
                </c:pt>
                <c:pt idx="1">
                  <c:v>HR</c:v>
                </c:pt>
                <c:pt idx="2">
                  <c:v>Sales</c:v>
                </c:pt>
              </c:strCache>
            </c:strRef>
          </c:cat>
          <c:val>
            <c:numRef>
              <c:f>'pivot tables'!$H$29:$H$32</c:f>
              <c:numCache>
                <c:formatCode>0.00</c:formatCode>
                <c:ptCount val="3"/>
                <c:pt idx="0">
                  <c:v>6.8647242455775235</c:v>
                </c:pt>
                <c:pt idx="1">
                  <c:v>7.2380952380952381</c:v>
                </c:pt>
                <c:pt idx="2">
                  <c:v>7.2847533632286998</c:v>
                </c:pt>
              </c:numCache>
            </c:numRef>
          </c:val>
          <c:extLst>
            <c:ext xmlns:c16="http://schemas.microsoft.com/office/drawing/2014/chart" uri="{C3380CC4-5D6E-409C-BE32-E72D297353CC}">
              <c16:uniqueId val="{00000001-2472-974D-9C1A-658A6B1D4D8A}"/>
            </c:ext>
          </c:extLst>
        </c:ser>
        <c:dLbls>
          <c:showLegendKey val="0"/>
          <c:showVal val="0"/>
          <c:showCatName val="0"/>
          <c:showSerName val="0"/>
          <c:showPercent val="0"/>
          <c:showBubbleSize val="0"/>
        </c:dLbls>
        <c:gapWidth val="182"/>
        <c:axId val="623024703"/>
        <c:axId val="584915519"/>
      </c:barChart>
      <c:catAx>
        <c:axId val="62302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584915519"/>
        <c:crosses val="autoZero"/>
        <c:auto val="1"/>
        <c:lblAlgn val="ctr"/>
        <c:lblOffset val="100"/>
        <c:noMultiLvlLbl val="0"/>
      </c:catAx>
      <c:valAx>
        <c:axId val="58491551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2302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[HR_Data_Analytics_Dashboard.xlsx]pivot tables!Salary by Department</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tables'!$G$19:$G$22</c:f>
              <c:strCache>
                <c:ptCount val="3"/>
                <c:pt idx="0">
                  <c:v>R&amp;D</c:v>
                </c:pt>
                <c:pt idx="1">
                  <c:v>HR</c:v>
                </c:pt>
                <c:pt idx="2">
                  <c:v>Sales</c:v>
                </c:pt>
              </c:strCache>
            </c:strRef>
          </c:cat>
          <c:val>
            <c:numRef>
              <c:f>'pivot tables'!$H$19:$H$22</c:f>
              <c:numCache>
                <c:formatCode>0.00</c:formatCode>
                <c:ptCount val="3"/>
                <c:pt idx="0">
                  <c:v>6281.2528616024974</c:v>
                </c:pt>
                <c:pt idx="1">
                  <c:v>6654.5079365079364</c:v>
                </c:pt>
                <c:pt idx="2">
                  <c:v>6959.17264573991</c:v>
                </c:pt>
              </c:numCache>
            </c:numRef>
          </c:val>
          <c:extLst>
            <c:ext xmlns:c16="http://schemas.microsoft.com/office/drawing/2014/chart" uri="{C3380CC4-5D6E-409C-BE32-E72D297353CC}">
              <c16:uniqueId val="{00000000-97E0-754D-BBB3-D11EDB64B361}"/>
            </c:ext>
          </c:extLst>
        </c:ser>
        <c:dLbls>
          <c:showLegendKey val="0"/>
          <c:showVal val="0"/>
          <c:showCatName val="0"/>
          <c:showSerName val="0"/>
          <c:showPercent val="0"/>
          <c:showBubbleSize val="0"/>
        </c:dLbls>
        <c:gapWidth val="182"/>
        <c:axId val="594593087"/>
        <c:axId val="618225535"/>
      </c:barChart>
      <c:catAx>
        <c:axId val="59459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618225535"/>
        <c:crosses val="autoZero"/>
        <c:auto val="1"/>
        <c:lblAlgn val="ctr"/>
        <c:lblOffset val="100"/>
        <c:noMultiLvlLbl val="0"/>
      </c:catAx>
      <c:valAx>
        <c:axId val="61822553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59459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2.xml"/><Relationship Id="rId18" Type="http://schemas.openxmlformats.org/officeDocument/2006/relationships/chart" Target="../charts/chart17.xml"/><Relationship Id="rId3" Type="http://schemas.openxmlformats.org/officeDocument/2006/relationships/image" Target="../media/image3.png"/><Relationship Id="rId21" Type="http://schemas.openxmlformats.org/officeDocument/2006/relationships/image" Target="../media/image12.png"/><Relationship Id="rId7" Type="http://schemas.openxmlformats.org/officeDocument/2006/relationships/image" Target="../media/image7.png"/><Relationship Id="rId12" Type="http://schemas.openxmlformats.org/officeDocument/2006/relationships/chart" Target="../charts/chart11.xml"/><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chart" Target="../charts/chart14.xml"/><Relationship Id="rId23" Type="http://schemas.openxmlformats.org/officeDocument/2006/relationships/image" Target="../media/image14.png"/><Relationship Id="rId10" Type="http://schemas.openxmlformats.org/officeDocument/2006/relationships/image" Target="../media/image10.png"/><Relationship Id="rId19" Type="http://schemas.openxmlformats.org/officeDocument/2006/relationships/chart" Target="../charts/chart18.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3.xml"/><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2</xdr:col>
      <xdr:colOff>386080</xdr:colOff>
      <xdr:row>9</xdr:row>
      <xdr:rowOff>129540</xdr:rowOff>
    </xdr:from>
    <xdr:to>
      <xdr:col>3</xdr:col>
      <xdr:colOff>1158240</xdr:colOff>
      <xdr:row>22</xdr:row>
      <xdr:rowOff>107312</xdr:rowOff>
    </xdr:to>
    <mc:AlternateContent xmlns:mc="http://schemas.openxmlformats.org/markup-compatibility/2006" xmlns:a14="http://schemas.microsoft.com/office/drawing/2010/main">
      <mc:Choice Requires="a14">
        <xdr:graphicFrame macro="">
          <xdr:nvGraphicFramePr>
            <xdr:cNvPr id="2" name="Attrition">
              <a:extLst>
                <a:ext uri="{FF2B5EF4-FFF2-40B4-BE49-F238E27FC236}">
                  <a16:creationId xmlns:a16="http://schemas.microsoft.com/office/drawing/2014/main" id="{CC3B6ECF-D912-7C3C-DB59-AAFA28BB1ECC}"/>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4084320" y="1968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22</xdr:row>
      <xdr:rowOff>93980</xdr:rowOff>
    </xdr:from>
    <xdr:to>
      <xdr:col>1</xdr:col>
      <xdr:colOff>1092200</xdr:colOff>
      <xdr:row>35</xdr:row>
      <xdr:rowOff>71752</xdr:rowOff>
    </xdr:to>
    <mc:AlternateContent xmlns:mc="http://schemas.openxmlformats.org/markup-compatibility/2006" xmlns:a14="http://schemas.microsoft.com/office/drawing/2010/main">
      <mc:Choice Requires="a14">
        <xdr:graphicFrame macro="">
          <xdr:nvGraphicFramePr>
            <xdr:cNvPr id="3" name="Age Group">
              <a:extLst>
                <a:ext uri="{FF2B5EF4-FFF2-40B4-BE49-F238E27FC236}">
                  <a16:creationId xmlns:a16="http://schemas.microsoft.com/office/drawing/2014/main" id="{A45FB46E-F91F-99E0-6017-C7C16256C8A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59080" y="457454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497840</xdr:colOff>
      <xdr:row>23</xdr:row>
      <xdr:rowOff>38100</xdr:rowOff>
    </xdr:from>
    <xdr:to>
      <xdr:col>3</xdr:col>
      <xdr:colOff>91440</xdr:colOff>
      <xdr:row>36</xdr:row>
      <xdr:rowOff>15872</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C08CE260-A613-5431-5492-823AFA4ECB4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336800" y="472186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462280</xdr:colOff>
      <xdr:row>11</xdr:row>
      <xdr:rowOff>63500</xdr:rowOff>
    </xdr:from>
    <xdr:to>
      <xdr:col>2</xdr:col>
      <xdr:colOff>924560</xdr:colOff>
      <xdr:row>22</xdr:row>
      <xdr:rowOff>101600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3F197C4C-A2F3-1BA2-09A8-32E99F32B51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01240" y="2308860"/>
              <a:ext cx="1640840" cy="227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690880</xdr:colOff>
      <xdr:row>10</xdr:row>
      <xdr:rowOff>160020</xdr:rowOff>
    </xdr:from>
    <xdr:to>
      <xdr:col>1</xdr:col>
      <xdr:colOff>975360</xdr:colOff>
      <xdr:row>21</xdr:row>
      <xdr:rowOff>60960</xdr:rowOff>
    </xdr:to>
    <mc:AlternateContent xmlns:mc="http://schemas.openxmlformats.org/markup-compatibility/2006" xmlns:a14="http://schemas.microsoft.com/office/drawing/2010/main">
      <mc:Choice Requires="a14">
        <xdr:graphicFrame macro="">
          <xdr:nvGraphicFramePr>
            <xdr:cNvPr id="6" name="Job Role">
              <a:extLst>
                <a:ext uri="{FF2B5EF4-FFF2-40B4-BE49-F238E27FC236}">
                  <a16:creationId xmlns:a16="http://schemas.microsoft.com/office/drawing/2014/main" id="{F2C480D2-BF90-1576-0015-7EDDAFA40874}"/>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690880" y="2202180"/>
              <a:ext cx="1280160" cy="2136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150215</xdr:rowOff>
    </xdr:from>
    <xdr:to>
      <xdr:col>6</xdr:col>
      <xdr:colOff>437213</xdr:colOff>
      <xdr:row>16</xdr:row>
      <xdr:rowOff>52985</xdr:rowOff>
    </xdr:to>
    <xdr:graphicFrame macro="">
      <xdr:nvGraphicFramePr>
        <xdr:cNvPr id="5" name="Chart 4">
          <a:extLst>
            <a:ext uri="{FF2B5EF4-FFF2-40B4-BE49-F238E27FC236}">
              <a16:creationId xmlns:a16="http://schemas.microsoft.com/office/drawing/2014/main" id="{58A0763B-20DF-B344-85A3-916CE612E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256776</xdr:colOff>
      <xdr:row>3</xdr:row>
      <xdr:rowOff>18806</xdr:rowOff>
    </xdr:from>
    <xdr:to>
      <xdr:col>12</xdr:col>
      <xdr:colOff>745434</xdr:colOff>
      <xdr:row>16</xdr:row>
      <xdr:rowOff>99102</xdr:rowOff>
    </xdr:to>
    <xdr:graphicFrame macro="">
      <xdr:nvGraphicFramePr>
        <xdr:cNvPr id="6" name="Chart 5">
          <a:extLst>
            <a:ext uri="{FF2B5EF4-FFF2-40B4-BE49-F238E27FC236}">
              <a16:creationId xmlns:a16="http://schemas.microsoft.com/office/drawing/2014/main" id="{788515E9-B20D-914E-83F6-55F647676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743086</xdr:colOff>
      <xdr:row>2</xdr:row>
      <xdr:rowOff>40967</xdr:rowOff>
    </xdr:from>
    <xdr:to>
      <xdr:col>23</xdr:col>
      <xdr:colOff>189148</xdr:colOff>
      <xdr:row>20</xdr:row>
      <xdr:rowOff>84667</xdr:rowOff>
    </xdr:to>
    <xdr:graphicFrame macro="">
      <xdr:nvGraphicFramePr>
        <xdr:cNvPr id="7" name="Chart 6">
          <a:extLst>
            <a:ext uri="{FF2B5EF4-FFF2-40B4-BE49-F238E27FC236}">
              <a16:creationId xmlns:a16="http://schemas.microsoft.com/office/drawing/2014/main" id="{32F25A45-2DA5-494F-9474-37D0D8FD1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81935</xdr:colOff>
      <xdr:row>19</xdr:row>
      <xdr:rowOff>81936</xdr:rowOff>
    </xdr:from>
    <xdr:to>
      <xdr:col>5</xdr:col>
      <xdr:colOff>557161</xdr:colOff>
      <xdr:row>32</xdr:row>
      <xdr:rowOff>162232</xdr:rowOff>
    </xdr:to>
    <xdr:graphicFrame macro="">
      <xdr:nvGraphicFramePr>
        <xdr:cNvPr id="8" name="Chart 7">
          <a:extLst>
            <a:ext uri="{FF2B5EF4-FFF2-40B4-BE49-F238E27FC236}">
              <a16:creationId xmlns:a16="http://schemas.microsoft.com/office/drawing/2014/main" id="{C7745DCA-EBC3-C14E-88B8-895398F6B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696452</xdr:colOff>
      <xdr:row>19</xdr:row>
      <xdr:rowOff>54624</xdr:rowOff>
    </xdr:from>
    <xdr:to>
      <xdr:col>10</xdr:col>
      <xdr:colOff>378133</xdr:colOff>
      <xdr:row>32</xdr:row>
      <xdr:rowOff>65070</xdr:rowOff>
    </xdr:to>
    <xdr:graphicFrame macro="">
      <xdr:nvGraphicFramePr>
        <xdr:cNvPr id="9" name="Chart 8">
          <a:extLst>
            <a:ext uri="{FF2B5EF4-FFF2-40B4-BE49-F238E27FC236}">
              <a16:creationId xmlns:a16="http://schemas.microsoft.com/office/drawing/2014/main" id="{62689869-96F4-D041-81BD-5881DC60A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281312</xdr:colOff>
      <xdr:row>22</xdr:row>
      <xdr:rowOff>68280</xdr:rowOff>
    </xdr:from>
    <xdr:to>
      <xdr:col>17</xdr:col>
      <xdr:colOff>648383</xdr:colOff>
      <xdr:row>34</xdr:row>
      <xdr:rowOff>54965</xdr:rowOff>
    </xdr:to>
    <xdr:graphicFrame macro="">
      <xdr:nvGraphicFramePr>
        <xdr:cNvPr id="10" name="Chart 9">
          <a:extLst>
            <a:ext uri="{FF2B5EF4-FFF2-40B4-BE49-F238E27FC236}">
              <a16:creationId xmlns:a16="http://schemas.microsoft.com/office/drawing/2014/main" id="{B167F9A1-DFA2-DC4F-84F0-A808FAC09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115666</xdr:colOff>
      <xdr:row>35</xdr:row>
      <xdr:rowOff>143524</xdr:rowOff>
    </xdr:from>
    <xdr:to>
      <xdr:col>5</xdr:col>
      <xdr:colOff>597037</xdr:colOff>
      <xdr:row>49</xdr:row>
      <xdr:rowOff>20620</xdr:rowOff>
    </xdr:to>
    <xdr:graphicFrame macro="">
      <xdr:nvGraphicFramePr>
        <xdr:cNvPr id="11" name="Chart 10">
          <a:extLst>
            <a:ext uri="{FF2B5EF4-FFF2-40B4-BE49-F238E27FC236}">
              <a16:creationId xmlns:a16="http://schemas.microsoft.com/office/drawing/2014/main" id="{4EFA087A-20AC-8746-B60B-7DDD4DFDB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270933</xdr:colOff>
      <xdr:row>35</xdr:row>
      <xdr:rowOff>169334</xdr:rowOff>
    </xdr:from>
    <xdr:to>
      <xdr:col>13</xdr:col>
      <xdr:colOff>359834</xdr:colOff>
      <xdr:row>47</xdr:row>
      <xdr:rowOff>10584</xdr:rowOff>
    </xdr:to>
    <xdr:graphicFrame macro="">
      <xdr:nvGraphicFramePr>
        <xdr:cNvPr id="13" name="Chart 12">
          <a:extLst>
            <a:ext uri="{FF2B5EF4-FFF2-40B4-BE49-F238E27FC236}">
              <a16:creationId xmlns:a16="http://schemas.microsoft.com/office/drawing/2014/main" id="{84CC399A-85C3-1A4E-8485-C5591657C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23940</xdr:colOff>
      <xdr:row>39</xdr:row>
      <xdr:rowOff>9731</xdr:rowOff>
    </xdr:from>
    <xdr:to>
      <xdr:col>21</xdr:col>
      <xdr:colOff>788276</xdr:colOff>
      <xdr:row>51</xdr:row>
      <xdr:rowOff>35433</xdr:rowOff>
    </xdr:to>
    <xdr:graphicFrame macro="">
      <xdr:nvGraphicFramePr>
        <xdr:cNvPr id="14" name="Chart 13">
          <a:extLst>
            <a:ext uri="{FF2B5EF4-FFF2-40B4-BE49-F238E27FC236}">
              <a16:creationId xmlns:a16="http://schemas.microsoft.com/office/drawing/2014/main" id="{C6052E57-E302-944D-AC20-64476BE48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14941</xdr:colOff>
      <xdr:row>1</xdr:row>
      <xdr:rowOff>2039</xdr:rowOff>
    </xdr:from>
    <xdr:to>
      <xdr:col>21</xdr:col>
      <xdr:colOff>818929</xdr:colOff>
      <xdr:row>48</xdr:row>
      <xdr:rowOff>105832</xdr:rowOff>
    </xdr:to>
    <xdr:sp macro="" textlink="">
      <xdr:nvSpPr>
        <xdr:cNvPr id="3" name="Rectangle 2">
          <a:extLst>
            <a:ext uri="{FF2B5EF4-FFF2-40B4-BE49-F238E27FC236}">
              <a16:creationId xmlns:a16="http://schemas.microsoft.com/office/drawing/2014/main" id="{E5A04044-52F6-E595-BDAA-3586DC8EBC59}"/>
            </a:ext>
          </a:extLst>
        </xdr:cNvPr>
        <xdr:cNvSpPr/>
      </xdr:nvSpPr>
      <xdr:spPr>
        <a:xfrm>
          <a:off x="14941" y="198587"/>
          <a:ext cx="18266488" cy="9341531"/>
        </a:xfrm>
        <a:prstGeom prst="rect">
          <a:avLst/>
        </a:prstGeom>
        <a:solidFill>
          <a:schemeClr val="bg1"/>
        </a:solidFill>
        <a:ln w="2857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0</xdr:col>
      <xdr:colOff>194820</xdr:colOff>
      <xdr:row>1</xdr:row>
      <xdr:rowOff>87258</xdr:rowOff>
    </xdr:from>
    <xdr:to>
      <xdr:col>21</xdr:col>
      <xdr:colOff>550420</xdr:colOff>
      <xdr:row>6</xdr:row>
      <xdr:rowOff>61858</xdr:rowOff>
    </xdr:to>
    <xdr:sp macro="" textlink="">
      <xdr:nvSpPr>
        <xdr:cNvPr id="4" name="Rounded Rectangle 3">
          <a:extLst>
            <a:ext uri="{FF2B5EF4-FFF2-40B4-BE49-F238E27FC236}">
              <a16:creationId xmlns:a16="http://schemas.microsoft.com/office/drawing/2014/main" id="{D6C49F30-9546-3CEB-D565-76D16AEBDA3D}"/>
            </a:ext>
          </a:extLst>
        </xdr:cNvPr>
        <xdr:cNvSpPr/>
      </xdr:nvSpPr>
      <xdr:spPr>
        <a:xfrm>
          <a:off x="194820" y="283806"/>
          <a:ext cx="17818100" cy="957338"/>
        </a:xfrm>
        <a:prstGeom prst="roundRect">
          <a:avLst/>
        </a:prstGeom>
        <a:solidFill>
          <a:schemeClr val="accent1">
            <a:lumMod val="7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444500</xdr:colOff>
      <xdr:row>1</xdr:row>
      <xdr:rowOff>120952</xdr:rowOff>
    </xdr:from>
    <xdr:to>
      <xdr:col>17</xdr:col>
      <xdr:colOff>12700</xdr:colOff>
      <xdr:row>6</xdr:row>
      <xdr:rowOff>45357</xdr:rowOff>
    </xdr:to>
    <xdr:sp macro="" textlink="">
      <xdr:nvSpPr>
        <xdr:cNvPr id="5" name="TextBox 4">
          <a:extLst>
            <a:ext uri="{FF2B5EF4-FFF2-40B4-BE49-F238E27FC236}">
              <a16:creationId xmlns:a16="http://schemas.microsoft.com/office/drawing/2014/main" id="{7471A4E2-25BE-8206-DB72-1FD06A2E933E}"/>
            </a:ext>
          </a:extLst>
        </xdr:cNvPr>
        <xdr:cNvSpPr txBox="1"/>
      </xdr:nvSpPr>
      <xdr:spPr>
        <a:xfrm>
          <a:off x="2939143" y="317500"/>
          <a:ext cx="11209867" cy="907143"/>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cap="none" spc="0">
              <a:ln w="0"/>
              <a:solidFill>
                <a:schemeClr val="bg1"/>
              </a:solidFill>
              <a:effectLst>
                <a:outerShdw blurRad="38100" dist="19050" dir="2700000" algn="tl" rotWithShape="0">
                  <a:schemeClr val="dk1">
                    <a:alpha val="40000"/>
                  </a:schemeClr>
                </a:outerShdw>
              </a:effectLst>
            </a:rPr>
            <a:t>HR DATA ANALYTICS</a:t>
          </a:r>
          <a:r>
            <a:rPr lang="en-US" sz="2800" b="1" cap="none" spc="0" baseline="0">
              <a:ln w="0"/>
              <a:solidFill>
                <a:schemeClr val="bg1"/>
              </a:solidFill>
              <a:effectLst>
                <a:outerShdw blurRad="38100" dist="19050" dir="2700000" algn="tl" rotWithShape="0">
                  <a:schemeClr val="dk1">
                    <a:alpha val="40000"/>
                  </a:schemeClr>
                </a:outerShdw>
              </a:effectLst>
            </a:rPr>
            <a:t>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US" sz="1600" b="1" cap="none" spc="0" baseline="0">
              <a:ln w="0"/>
              <a:solidFill>
                <a:schemeClr val="bg1"/>
              </a:solidFill>
              <a:effectLst>
                <a:outerShdw blurRad="38100" dist="19050" dir="2700000" algn="tl" rotWithShape="0">
                  <a:schemeClr val="dk1">
                    <a:alpha val="40000"/>
                  </a:schemeClr>
                </a:outerShdw>
              </a:effectLst>
            </a:rPr>
            <a:t>Employee Overveiw &amp; Insights</a:t>
          </a:r>
          <a:endParaRPr lang="en-US" sz="1600" b="1" cap="none" spc="0">
            <a:ln w="0"/>
            <a:solidFill>
              <a:schemeClr val="bg1"/>
            </a:solidFill>
            <a:effectLst>
              <a:outerShdw blurRad="38100" dist="19050" dir="2700000" algn="tl" rotWithShape="0">
                <a:schemeClr val="dk1">
                  <a:alpha val="40000"/>
                </a:schemeClr>
              </a:outerShdw>
            </a:effectLst>
          </a:endParaRPr>
        </a:p>
        <a:p>
          <a:endParaRPr lang="en-US" sz="1100" b="1">
            <a:solidFill>
              <a:schemeClr val="bg1"/>
            </a:solidFill>
          </a:endParaRPr>
        </a:p>
      </xdr:txBody>
    </xdr:sp>
    <xdr:clientData/>
  </xdr:twoCellAnchor>
  <xdr:twoCellAnchor>
    <xdr:from>
      <xdr:col>0</xdr:col>
      <xdr:colOff>143434</xdr:colOff>
      <xdr:row>6</xdr:row>
      <xdr:rowOff>141942</xdr:rowOff>
    </xdr:from>
    <xdr:to>
      <xdr:col>2</xdr:col>
      <xdr:colOff>225337</xdr:colOff>
      <xdr:row>15</xdr:row>
      <xdr:rowOff>53820</xdr:rowOff>
    </xdr:to>
    <xdr:sp macro="" textlink="">
      <xdr:nvSpPr>
        <xdr:cNvPr id="6" name="Rounded Rectangle 5">
          <a:extLst>
            <a:ext uri="{FF2B5EF4-FFF2-40B4-BE49-F238E27FC236}">
              <a16:creationId xmlns:a16="http://schemas.microsoft.com/office/drawing/2014/main" id="{AFB969CB-B329-7608-B818-43F70FFB76AB}"/>
            </a:ext>
          </a:extLst>
        </xdr:cNvPr>
        <xdr:cNvSpPr>
          <a:spLocks/>
        </xdr:cNvSpPr>
      </xdr:nvSpPr>
      <xdr:spPr>
        <a:xfrm>
          <a:off x="143434" y="1397001"/>
          <a:ext cx="1725432" cy="1794466"/>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51838</xdr:colOff>
      <xdr:row>6</xdr:row>
      <xdr:rowOff>142551</xdr:rowOff>
    </xdr:from>
    <xdr:to>
      <xdr:col>13</xdr:col>
      <xdr:colOff>133741</xdr:colOff>
      <xdr:row>15</xdr:row>
      <xdr:rowOff>54429</xdr:rowOff>
    </xdr:to>
    <xdr:sp macro="" textlink="">
      <xdr:nvSpPr>
        <xdr:cNvPr id="27" name="Rounded Rectangle 26">
          <a:extLst>
            <a:ext uri="{FF2B5EF4-FFF2-40B4-BE49-F238E27FC236}">
              <a16:creationId xmlns:a16="http://schemas.microsoft.com/office/drawing/2014/main" id="{AE1EE2E9-211C-EB42-8F98-699DF4D94850}"/>
            </a:ext>
          </a:extLst>
        </xdr:cNvPr>
        <xdr:cNvSpPr>
          <a:spLocks/>
        </xdr:cNvSpPr>
      </xdr:nvSpPr>
      <xdr:spPr>
        <a:xfrm>
          <a:off x="9175103" y="1386633"/>
          <a:ext cx="1740679" cy="1778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739321</xdr:colOff>
      <xdr:row>6</xdr:row>
      <xdr:rowOff>144888</xdr:rowOff>
    </xdr:from>
    <xdr:to>
      <xdr:col>10</xdr:col>
      <xdr:colOff>820098</xdr:colOff>
      <xdr:row>15</xdr:row>
      <xdr:rowOff>56766</xdr:rowOff>
    </xdr:to>
    <xdr:sp macro="" textlink="">
      <xdr:nvSpPr>
        <xdr:cNvPr id="28" name="Rounded Rectangle 27">
          <a:extLst>
            <a:ext uri="{FF2B5EF4-FFF2-40B4-BE49-F238E27FC236}">
              <a16:creationId xmlns:a16="http://schemas.microsoft.com/office/drawing/2014/main" id="{707BE6EB-9B80-B746-8D32-14A74C888BC6}"/>
            </a:ext>
          </a:extLst>
        </xdr:cNvPr>
        <xdr:cNvSpPr>
          <a:spLocks/>
        </xdr:cNvSpPr>
      </xdr:nvSpPr>
      <xdr:spPr>
        <a:xfrm>
          <a:off x="7365408" y="1359671"/>
          <a:ext cx="1737299" cy="1734052"/>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615821</xdr:colOff>
      <xdr:row>6</xdr:row>
      <xdr:rowOff>123371</xdr:rowOff>
    </xdr:from>
    <xdr:to>
      <xdr:col>8</xdr:col>
      <xdr:colOff>697725</xdr:colOff>
      <xdr:row>15</xdr:row>
      <xdr:rowOff>35249</xdr:rowOff>
    </xdr:to>
    <xdr:sp macro="" textlink="">
      <xdr:nvSpPr>
        <xdr:cNvPr id="29" name="Rounded Rectangle 28">
          <a:extLst>
            <a:ext uri="{FF2B5EF4-FFF2-40B4-BE49-F238E27FC236}">
              <a16:creationId xmlns:a16="http://schemas.microsoft.com/office/drawing/2014/main" id="{EF001D20-A1D5-1143-80E9-7316820AA978}"/>
            </a:ext>
          </a:extLst>
        </xdr:cNvPr>
        <xdr:cNvSpPr>
          <a:spLocks/>
        </xdr:cNvSpPr>
      </xdr:nvSpPr>
      <xdr:spPr>
        <a:xfrm>
          <a:off x="5592148" y="1367453"/>
          <a:ext cx="1740679" cy="1778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483119</xdr:colOff>
      <xdr:row>6</xdr:row>
      <xdr:rowOff>120261</xdr:rowOff>
    </xdr:from>
    <xdr:to>
      <xdr:col>6</xdr:col>
      <xdr:colOff>565022</xdr:colOff>
      <xdr:row>15</xdr:row>
      <xdr:rowOff>32139</xdr:rowOff>
    </xdr:to>
    <xdr:sp macro="" textlink="">
      <xdr:nvSpPr>
        <xdr:cNvPr id="30" name="Rounded Rectangle 29">
          <a:extLst>
            <a:ext uri="{FF2B5EF4-FFF2-40B4-BE49-F238E27FC236}">
              <a16:creationId xmlns:a16="http://schemas.microsoft.com/office/drawing/2014/main" id="{D6DEF3C8-8BD9-6F44-A2E5-F82AE042503F}"/>
            </a:ext>
          </a:extLst>
        </xdr:cNvPr>
        <xdr:cNvSpPr>
          <a:spLocks/>
        </xdr:cNvSpPr>
      </xdr:nvSpPr>
      <xdr:spPr>
        <a:xfrm>
          <a:off x="3800670" y="1364343"/>
          <a:ext cx="1740679" cy="1778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337456</xdr:colOff>
      <xdr:row>6</xdr:row>
      <xdr:rowOff>159992</xdr:rowOff>
    </xdr:from>
    <xdr:to>
      <xdr:col>4</xdr:col>
      <xdr:colOff>419360</xdr:colOff>
      <xdr:row>15</xdr:row>
      <xdr:rowOff>71870</xdr:rowOff>
    </xdr:to>
    <xdr:sp macro="" textlink="">
      <xdr:nvSpPr>
        <xdr:cNvPr id="31" name="Rounded Rectangle 30">
          <a:extLst>
            <a:ext uri="{FF2B5EF4-FFF2-40B4-BE49-F238E27FC236}">
              <a16:creationId xmlns:a16="http://schemas.microsoft.com/office/drawing/2014/main" id="{326C38C4-5351-A643-B14A-B309F1229F54}"/>
            </a:ext>
          </a:extLst>
        </xdr:cNvPr>
        <xdr:cNvSpPr>
          <a:spLocks/>
        </xdr:cNvSpPr>
      </xdr:nvSpPr>
      <xdr:spPr>
        <a:xfrm>
          <a:off x="1980985" y="1415051"/>
          <a:ext cx="1725434" cy="1794466"/>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178836</xdr:colOff>
      <xdr:row>6</xdr:row>
      <xdr:rowOff>139958</xdr:rowOff>
    </xdr:from>
    <xdr:to>
      <xdr:col>15</xdr:col>
      <xdr:colOff>260740</xdr:colOff>
      <xdr:row>15</xdr:row>
      <xdr:rowOff>51836</xdr:rowOff>
    </xdr:to>
    <xdr:sp macro="" textlink="">
      <xdr:nvSpPr>
        <xdr:cNvPr id="32" name="Rounded Rectangle 31">
          <a:extLst>
            <a:ext uri="{FF2B5EF4-FFF2-40B4-BE49-F238E27FC236}">
              <a16:creationId xmlns:a16="http://schemas.microsoft.com/office/drawing/2014/main" id="{37D8DCA7-DFEE-C44C-A8FF-F74FB4026BEF}"/>
            </a:ext>
          </a:extLst>
        </xdr:cNvPr>
        <xdr:cNvSpPr>
          <a:spLocks/>
        </xdr:cNvSpPr>
      </xdr:nvSpPr>
      <xdr:spPr>
        <a:xfrm>
          <a:off x="10960877" y="1384040"/>
          <a:ext cx="1740679" cy="1778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434910</xdr:colOff>
      <xdr:row>6</xdr:row>
      <xdr:rowOff>136849</xdr:rowOff>
    </xdr:from>
    <xdr:to>
      <xdr:col>19</xdr:col>
      <xdr:colOff>516814</xdr:colOff>
      <xdr:row>15</xdr:row>
      <xdr:rowOff>48727</xdr:rowOff>
    </xdr:to>
    <xdr:sp macro="" textlink="">
      <xdr:nvSpPr>
        <xdr:cNvPr id="33" name="Rounded Rectangle 32">
          <a:extLst>
            <a:ext uri="{FF2B5EF4-FFF2-40B4-BE49-F238E27FC236}">
              <a16:creationId xmlns:a16="http://schemas.microsoft.com/office/drawing/2014/main" id="{C11505F1-F8D8-BA40-B2EB-F0DF6271A533}"/>
            </a:ext>
          </a:extLst>
        </xdr:cNvPr>
        <xdr:cNvSpPr>
          <a:spLocks/>
        </xdr:cNvSpPr>
      </xdr:nvSpPr>
      <xdr:spPr>
        <a:xfrm>
          <a:off x="14534502" y="1380931"/>
          <a:ext cx="1740679" cy="1778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600270</xdr:colOff>
      <xdr:row>6</xdr:row>
      <xdr:rowOff>146698</xdr:rowOff>
    </xdr:from>
    <xdr:to>
      <xdr:col>21</xdr:col>
      <xdr:colOff>682173</xdr:colOff>
      <xdr:row>15</xdr:row>
      <xdr:rowOff>58576</xdr:rowOff>
    </xdr:to>
    <xdr:sp macro="" textlink="">
      <xdr:nvSpPr>
        <xdr:cNvPr id="34" name="Rounded Rectangle 33">
          <a:extLst>
            <a:ext uri="{FF2B5EF4-FFF2-40B4-BE49-F238E27FC236}">
              <a16:creationId xmlns:a16="http://schemas.microsoft.com/office/drawing/2014/main" id="{05128EB5-5715-2E47-AFA2-587B913CA276}"/>
            </a:ext>
          </a:extLst>
        </xdr:cNvPr>
        <xdr:cNvSpPr>
          <a:spLocks/>
        </xdr:cNvSpPr>
      </xdr:nvSpPr>
      <xdr:spPr>
        <a:xfrm>
          <a:off x="16358637" y="1390780"/>
          <a:ext cx="1740679" cy="1778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305318</xdr:colOff>
      <xdr:row>6</xdr:row>
      <xdr:rowOff>123889</xdr:rowOff>
    </xdr:from>
    <xdr:to>
      <xdr:col>17</xdr:col>
      <xdr:colOff>387221</xdr:colOff>
      <xdr:row>15</xdr:row>
      <xdr:rowOff>35767</xdr:rowOff>
    </xdr:to>
    <xdr:sp macro="" textlink="">
      <xdr:nvSpPr>
        <xdr:cNvPr id="35" name="Rounded Rectangle 34">
          <a:extLst>
            <a:ext uri="{FF2B5EF4-FFF2-40B4-BE49-F238E27FC236}">
              <a16:creationId xmlns:a16="http://schemas.microsoft.com/office/drawing/2014/main" id="{386B3F7A-A4B8-E949-8B95-B7F69CA83465}"/>
            </a:ext>
          </a:extLst>
        </xdr:cNvPr>
        <xdr:cNvSpPr>
          <a:spLocks/>
        </xdr:cNvSpPr>
      </xdr:nvSpPr>
      <xdr:spPr>
        <a:xfrm>
          <a:off x="12746134" y="1367971"/>
          <a:ext cx="1740679" cy="177800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183526</xdr:colOff>
      <xdr:row>7</xdr:row>
      <xdr:rowOff>14443</xdr:rowOff>
    </xdr:from>
    <xdr:to>
      <xdr:col>2</xdr:col>
      <xdr:colOff>26893</xdr:colOff>
      <xdr:row>11</xdr:row>
      <xdr:rowOff>30238</xdr:rowOff>
    </xdr:to>
    <xdr:sp macro="" textlink="'KPI''s'!T17">
      <xdr:nvSpPr>
        <xdr:cNvPr id="37" name="TextBox 36">
          <a:extLst>
            <a:ext uri="{FF2B5EF4-FFF2-40B4-BE49-F238E27FC236}">
              <a16:creationId xmlns:a16="http://schemas.microsoft.com/office/drawing/2014/main" id="{2FDC330A-7305-7F84-4BFF-F0C2CEB55804}"/>
            </a:ext>
          </a:extLst>
        </xdr:cNvPr>
        <xdr:cNvSpPr txBox="1"/>
      </xdr:nvSpPr>
      <xdr:spPr>
        <a:xfrm>
          <a:off x="183526" y="1390276"/>
          <a:ext cx="1506462" cy="8019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baseline="0">
              <a:solidFill>
                <a:srgbClr val="000000"/>
              </a:solidFill>
              <a:latin typeface="Calibri"/>
              <a:cs typeface="Calibri"/>
            </a:rPr>
            <a:t>TOTAL </a:t>
          </a:r>
        </a:p>
        <a:p>
          <a:r>
            <a:rPr lang="en-US" sz="2000" b="1" i="0" u="none" strike="noStrike" baseline="0">
              <a:solidFill>
                <a:srgbClr val="000000"/>
              </a:solidFill>
              <a:latin typeface="Calibri"/>
              <a:cs typeface="Calibri"/>
            </a:rPr>
            <a:t>EMPLOYEE</a:t>
          </a:r>
          <a:br>
            <a:rPr lang="en-US" sz="2000" b="1" i="0" u="none" strike="noStrike" baseline="0">
              <a:solidFill>
                <a:srgbClr val="000000"/>
              </a:solidFill>
              <a:latin typeface="Calibri"/>
              <a:cs typeface="Calibri"/>
            </a:rPr>
          </a:br>
          <a:fld id="{4438B2EA-0C4D-9A47-9377-0F362907BE96}" type="TxLink">
            <a:rPr lang="en-US" sz="3200" b="1" i="0" u="none" strike="noStrike" baseline="0">
              <a:solidFill>
                <a:schemeClr val="tx1"/>
              </a:solidFill>
              <a:latin typeface="Calibri"/>
              <a:cs typeface="Calibri"/>
            </a:rPr>
            <a:pPr/>
            <a:t> </a:t>
          </a:fld>
          <a:endParaRPr lang="en-US" sz="3200" b="1" baseline="0">
            <a:solidFill>
              <a:schemeClr val="tx1"/>
            </a:solidFill>
          </a:endParaRPr>
        </a:p>
      </xdr:txBody>
    </xdr:sp>
    <xdr:clientData/>
  </xdr:twoCellAnchor>
  <xdr:twoCellAnchor>
    <xdr:from>
      <xdr:col>2</xdr:col>
      <xdr:colOff>381000</xdr:colOff>
      <xdr:row>7</xdr:row>
      <xdr:rowOff>50800</xdr:rowOff>
    </xdr:from>
    <xdr:to>
      <xdr:col>4</xdr:col>
      <xdr:colOff>190500</xdr:colOff>
      <xdr:row>11</xdr:row>
      <xdr:rowOff>166309</xdr:rowOff>
    </xdr:to>
    <xdr:sp macro="" textlink="'KPI''s'!R8">
      <xdr:nvSpPr>
        <xdr:cNvPr id="39" name="TextBox 38">
          <a:extLst>
            <a:ext uri="{FF2B5EF4-FFF2-40B4-BE49-F238E27FC236}">
              <a16:creationId xmlns:a16="http://schemas.microsoft.com/office/drawing/2014/main" id="{0A9EFD08-58A0-3699-BE55-51D4A0122ACE}"/>
            </a:ext>
          </a:extLst>
        </xdr:cNvPr>
        <xdr:cNvSpPr txBox="1"/>
      </xdr:nvSpPr>
      <xdr:spPr>
        <a:xfrm>
          <a:off x="2044095" y="1426633"/>
          <a:ext cx="1472595" cy="901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rgbClr val="000000"/>
              </a:solidFill>
              <a:latin typeface="Calibri"/>
              <a:cs typeface="Calibri"/>
            </a:rPr>
            <a:t>ATTRITION</a:t>
          </a:r>
          <a:br>
            <a:rPr lang="en-US" sz="2000" b="1" i="0" u="none" strike="noStrike">
              <a:solidFill>
                <a:srgbClr val="000000"/>
              </a:solidFill>
              <a:latin typeface="Calibri"/>
              <a:cs typeface="Calibri"/>
            </a:rPr>
          </a:br>
          <a:r>
            <a:rPr lang="en-US" sz="2000" b="1" i="0" u="none" strike="noStrike">
              <a:solidFill>
                <a:srgbClr val="000000"/>
              </a:solidFill>
              <a:latin typeface="Calibri"/>
              <a:cs typeface="Calibri"/>
            </a:rPr>
            <a:t>COUNT</a:t>
          </a:r>
          <a:br>
            <a:rPr lang="en-US" sz="1200" b="0" i="0" u="none" strike="noStrike">
              <a:solidFill>
                <a:srgbClr val="000000"/>
              </a:solidFill>
              <a:latin typeface="Calibri"/>
              <a:cs typeface="Calibri"/>
            </a:rPr>
          </a:br>
          <a:fld id="{8D46F376-F430-A645-AB15-EF33B5FA6016}" type="TxLink">
            <a:rPr lang="en-US" sz="3200" b="1" i="0" u="none" strike="noStrike">
              <a:solidFill>
                <a:srgbClr val="000000"/>
              </a:solidFill>
              <a:latin typeface="Calibri"/>
              <a:cs typeface="Calibri"/>
            </a:rPr>
            <a:pPr/>
            <a:t> </a:t>
          </a:fld>
          <a:endParaRPr lang="en-US" sz="1100" b="1"/>
        </a:p>
      </xdr:txBody>
    </xdr:sp>
    <xdr:clientData/>
  </xdr:twoCellAnchor>
  <xdr:twoCellAnchor>
    <xdr:from>
      <xdr:col>6</xdr:col>
      <xdr:colOff>659548</xdr:colOff>
      <xdr:row>7</xdr:row>
      <xdr:rowOff>26252</xdr:rowOff>
    </xdr:from>
    <xdr:to>
      <xdr:col>8</xdr:col>
      <xdr:colOff>210900</xdr:colOff>
      <xdr:row>10</xdr:row>
      <xdr:rowOff>167308</xdr:rowOff>
    </xdr:to>
    <xdr:sp macro="" textlink="'KPI''s'!P8">
      <xdr:nvSpPr>
        <xdr:cNvPr id="41" name="TextBox 40">
          <a:extLst>
            <a:ext uri="{FF2B5EF4-FFF2-40B4-BE49-F238E27FC236}">
              <a16:creationId xmlns:a16="http://schemas.microsoft.com/office/drawing/2014/main" id="{9CF74719-CFD4-444B-912C-FF215B6A523D}"/>
            </a:ext>
          </a:extLst>
        </xdr:cNvPr>
        <xdr:cNvSpPr txBox="1"/>
      </xdr:nvSpPr>
      <xdr:spPr>
        <a:xfrm>
          <a:off x="5612548" y="1448652"/>
          <a:ext cx="1202352" cy="750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rgbClr val="000000"/>
              </a:solidFill>
              <a:latin typeface="Calibri"/>
              <a:cs typeface="Calibri"/>
            </a:rPr>
            <a:t>AVERAGE</a:t>
          </a:r>
          <a:br>
            <a:rPr lang="en-US" sz="2000" b="1" i="0" u="none" strike="noStrike" baseline="0">
              <a:solidFill>
                <a:srgbClr val="000000"/>
              </a:solidFill>
              <a:latin typeface="Calibri"/>
              <a:cs typeface="Calibri"/>
            </a:rPr>
          </a:br>
          <a:r>
            <a:rPr lang="en-US" sz="2000" b="1" i="0" u="none" strike="noStrike" baseline="0">
              <a:solidFill>
                <a:srgbClr val="000000"/>
              </a:solidFill>
              <a:latin typeface="Calibri"/>
              <a:cs typeface="Calibri"/>
            </a:rPr>
            <a:t>AGE</a:t>
          </a:r>
          <a:endParaRPr lang="en-US" sz="2000" b="1"/>
        </a:p>
      </xdr:txBody>
    </xdr:sp>
    <xdr:clientData/>
  </xdr:twoCellAnchor>
  <xdr:twoCellAnchor>
    <xdr:from>
      <xdr:col>8</xdr:col>
      <xdr:colOff>734532</xdr:colOff>
      <xdr:row>7</xdr:row>
      <xdr:rowOff>58047</xdr:rowOff>
    </xdr:from>
    <xdr:to>
      <xdr:col>10</xdr:col>
      <xdr:colOff>531332</xdr:colOff>
      <xdr:row>11</xdr:row>
      <xdr:rowOff>151190</xdr:rowOff>
    </xdr:to>
    <xdr:sp macro="" textlink="'KPI''s'!P8">
      <xdr:nvSpPr>
        <xdr:cNvPr id="42" name="TextBox 41">
          <a:extLst>
            <a:ext uri="{FF2B5EF4-FFF2-40B4-BE49-F238E27FC236}">
              <a16:creationId xmlns:a16="http://schemas.microsoft.com/office/drawing/2014/main" id="{23F9A934-725A-A64D-866F-525A46EF0672}"/>
            </a:ext>
          </a:extLst>
        </xdr:cNvPr>
        <xdr:cNvSpPr txBox="1"/>
      </xdr:nvSpPr>
      <xdr:spPr>
        <a:xfrm>
          <a:off x="7386913" y="1433880"/>
          <a:ext cx="1459895" cy="87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AVERAGE</a:t>
          </a:r>
          <a:br>
            <a:rPr lang="en-US" sz="2000" b="1"/>
          </a:br>
          <a:r>
            <a:rPr lang="en-US" sz="2000" b="1"/>
            <a:t>INCOME</a:t>
          </a:r>
        </a:p>
      </xdr:txBody>
    </xdr:sp>
    <xdr:clientData/>
  </xdr:twoCellAnchor>
  <xdr:twoCellAnchor>
    <xdr:from>
      <xdr:col>11</xdr:col>
      <xdr:colOff>46012</xdr:colOff>
      <xdr:row>7</xdr:row>
      <xdr:rowOff>31598</xdr:rowOff>
    </xdr:from>
    <xdr:to>
      <xdr:col>12</xdr:col>
      <xdr:colOff>668312</xdr:colOff>
      <xdr:row>13</xdr:row>
      <xdr:rowOff>30237</xdr:rowOff>
    </xdr:to>
    <xdr:sp macro="" textlink="'KPI''s'!P8">
      <xdr:nvSpPr>
        <xdr:cNvPr id="43" name="TextBox 42">
          <a:extLst>
            <a:ext uri="{FF2B5EF4-FFF2-40B4-BE49-F238E27FC236}">
              <a16:creationId xmlns:a16="http://schemas.microsoft.com/office/drawing/2014/main" id="{00E911EA-2CD7-5342-925B-8083A97E93AB}"/>
            </a:ext>
          </a:extLst>
        </xdr:cNvPr>
        <xdr:cNvSpPr txBox="1"/>
      </xdr:nvSpPr>
      <xdr:spPr>
        <a:xfrm>
          <a:off x="9193036" y="1407431"/>
          <a:ext cx="1453847" cy="1177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AVG</a:t>
          </a:r>
          <a:endParaRPr lang="en-US" sz="2000" b="1" baseline="0"/>
        </a:p>
        <a:p>
          <a:r>
            <a:rPr lang="en-US" sz="2000" b="1" baseline="0"/>
            <a:t>YEARS AT</a:t>
          </a:r>
        </a:p>
        <a:p>
          <a:r>
            <a:rPr lang="en-US" sz="2000" b="1" baseline="0"/>
            <a:t>COMPANY</a:t>
          </a:r>
          <a:endParaRPr lang="en-US" sz="2000" b="1"/>
        </a:p>
      </xdr:txBody>
    </xdr:sp>
    <xdr:clientData/>
  </xdr:twoCellAnchor>
  <xdr:twoCellAnchor>
    <xdr:from>
      <xdr:col>13</xdr:col>
      <xdr:colOff>210973</xdr:colOff>
      <xdr:row>7</xdr:row>
      <xdr:rowOff>92029</xdr:rowOff>
    </xdr:from>
    <xdr:to>
      <xdr:col>15</xdr:col>
      <xdr:colOff>206540</xdr:colOff>
      <xdr:row>10</xdr:row>
      <xdr:rowOff>156449</xdr:rowOff>
    </xdr:to>
    <xdr:sp macro="" textlink="'KPI''s'!P8">
      <xdr:nvSpPr>
        <xdr:cNvPr id="44" name="TextBox 43">
          <a:extLst>
            <a:ext uri="{FF2B5EF4-FFF2-40B4-BE49-F238E27FC236}">
              <a16:creationId xmlns:a16="http://schemas.microsoft.com/office/drawing/2014/main" id="{301A0E52-75AC-5648-8715-6219A4B52EE0}"/>
            </a:ext>
          </a:extLst>
        </xdr:cNvPr>
        <xdr:cNvSpPr txBox="1"/>
      </xdr:nvSpPr>
      <xdr:spPr>
        <a:xfrm>
          <a:off x="10951042" y="1507046"/>
          <a:ext cx="1647886" cy="670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AVG JOB </a:t>
          </a:r>
        </a:p>
        <a:p>
          <a:r>
            <a:rPr lang="en-US" sz="1800" b="1"/>
            <a:t>SATISFACTION</a:t>
          </a:r>
        </a:p>
      </xdr:txBody>
    </xdr:sp>
    <xdr:clientData/>
  </xdr:twoCellAnchor>
  <xdr:twoCellAnchor>
    <xdr:from>
      <xdr:col>15</xdr:col>
      <xdr:colOff>372009</xdr:colOff>
      <xdr:row>7</xdr:row>
      <xdr:rowOff>51106</xdr:rowOff>
    </xdr:from>
    <xdr:to>
      <xdr:col>17</xdr:col>
      <xdr:colOff>168809</xdr:colOff>
      <xdr:row>10</xdr:row>
      <xdr:rowOff>187624</xdr:rowOff>
    </xdr:to>
    <xdr:sp macro="" textlink="'KPI''s'!P8">
      <xdr:nvSpPr>
        <xdr:cNvPr id="45" name="TextBox 44">
          <a:extLst>
            <a:ext uri="{FF2B5EF4-FFF2-40B4-BE49-F238E27FC236}">
              <a16:creationId xmlns:a16="http://schemas.microsoft.com/office/drawing/2014/main" id="{E4A2C8BF-62AA-844A-8B1D-7CF6BC555C59}"/>
            </a:ext>
          </a:extLst>
        </xdr:cNvPr>
        <xdr:cNvSpPr txBox="1"/>
      </xdr:nvSpPr>
      <xdr:spPr>
        <a:xfrm>
          <a:off x="12764397" y="1466123"/>
          <a:ext cx="1449118" cy="74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ACTIVE</a:t>
          </a:r>
          <a:br>
            <a:rPr lang="en-US" sz="2000" b="1"/>
          </a:br>
          <a:r>
            <a:rPr lang="en-US" sz="2000" b="1"/>
            <a:t>EMPLOYEE</a:t>
          </a:r>
        </a:p>
      </xdr:txBody>
    </xdr:sp>
    <xdr:clientData/>
  </xdr:twoCellAnchor>
  <xdr:twoCellAnchor>
    <xdr:from>
      <xdr:col>17</xdr:col>
      <xdr:colOff>501002</xdr:colOff>
      <xdr:row>7</xdr:row>
      <xdr:rowOff>48563</xdr:rowOff>
    </xdr:from>
    <xdr:to>
      <xdr:col>19</xdr:col>
      <xdr:colOff>297802</xdr:colOff>
      <xdr:row>11</xdr:row>
      <xdr:rowOff>125743</xdr:rowOff>
    </xdr:to>
    <xdr:sp macro="" textlink="'KPI''s'!P8">
      <xdr:nvSpPr>
        <xdr:cNvPr id="46" name="TextBox 45">
          <a:extLst>
            <a:ext uri="{FF2B5EF4-FFF2-40B4-BE49-F238E27FC236}">
              <a16:creationId xmlns:a16="http://schemas.microsoft.com/office/drawing/2014/main" id="{2CAD206D-BCA1-4B41-BD4F-2B9D9A5139EE}"/>
            </a:ext>
          </a:extLst>
        </xdr:cNvPr>
        <xdr:cNvSpPr txBox="1"/>
      </xdr:nvSpPr>
      <xdr:spPr>
        <a:xfrm>
          <a:off x="14609319" y="1456880"/>
          <a:ext cx="1456602" cy="881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MALE EMPLOYEE</a:t>
          </a:r>
        </a:p>
      </xdr:txBody>
    </xdr:sp>
    <xdr:clientData/>
  </xdr:twoCellAnchor>
  <xdr:twoCellAnchor>
    <xdr:from>
      <xdr:col>19</xdr:col>
      <xdr:colOff>686711</xdr:colOff>
      <xdr:row>7</xdr:row>
      <xdr:rowOff>20689</xdr:rowOff>
    </xdr:from>
    <xdr:to>
      <xdr:col>21</xdr:col>
      <xdr:colOff>483511</xdr:colOff>
      <xdr:row>11</xdr:row>
      <xdr:rowOff>62872</xdr:rowOff>
    </xdr:to>
    <xdr:sp macro="" textlink="'KPI''s'!P8">
      <xdr:nvSpPr>
        <xdr:cNvPr id="47" name="TextBox 46">
          <a:extLst>
            <a:ext uri="{FF2B5EF4-FFF2-40B4-BE49-F238E27FC236}">
              <a16:creationId xmlns:a16="http://schemas.microsoft.com/office/drawing/2014/main" id="{553A469F-3AEA-304A-A6CF-AAA01B0B99EB}"/>
            </a:ext>
          </a:extLst>
        </xdr:cNvPr>
        <xdr:cNvSpPr txBox="1"/>
      </xdr:nvSpPr>
      <xdr:spPr>
        <a:xfrm>
          <a:off x="16454830" y="1429006"/>
          <a:ext cx="1456602" cy="84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FEMALE EMPLOYEE</a:t>
          </a:r>
        </a:p>
      </xdr:txBody>
    </xdr:sp>
    <xdr:clientData/>
  </xdr:twoCellAnchor>
  <xdr:twoCellAnchor>
    <xdr:from>
      <xdr:col>4</xdr:col>
      <xdr:colOff>542364</xdr:colOff>
      <xdr:row>11</xdr:row>
      <xdr:rowOff>185676</xdr:rowOff>
    </xdr:from>
    <xdr:to>
      <xdr:col>6</xdr:col>
      <xdr:colOff>433294</xdr:colOff>
      <xdr:row>14</xdr:row>
      <xdr:rowOff>74706</xdr:rowOff>
    </xdr:to>
    <xdr:sp macro="" textlink="'KPI''s'!C8">
      <xdr:nvSpPr>
        <xdr:cNvPr id="48" name="TextBox 47">
          <a:extLst>
            <a:ext uri="{FF2B5EF4-FFF2-40B4-BE49-F238E27FC236}">
              <a16:creationId xmlns:a16="http://schemas.microsoft.com/office/drawing/2014/main" id="{C0531A1E-75E2-DE49-A4BF-046CD0826E8A}"/>
            </a:ext>
          </a:extLst>
        </xdr:cNvPr>
        <xdr:cNvSpPr txBox="1"/>
      </xdr:nvSpPr>
      <xdr:spPr>
        <a:xfrm>
          <a:off x="3829423" y="2486617"/>
          <a:ext cx="1534459" cy="516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27B009-BF60-1C4A-9A9D-6436FE0947D1}" type="TxLink">
            <a:rPr lang="en-US" sz="3200" b="1" i="0" u="none" strike="noStrike">
              <a:solidFill>
                <a:srgbClr val="000000"/>
              </a:solidFill>
              <a:latin typeface="Calibri"/>
              <a:cs typeface="Calibri"/>
            </a:rPr>
            <a:pPr/>
            <a:t>16.12</a:t>
          </a:fld>
          <a:r>
            <a:rPr lang="en-US" sz="3200" b="1" i="0" u="none" strike="noStrike">
              <a:solidFill>
                <a:srgbClr val="000000"/>
              </a:solidFill>
              <a:latin typeface="Calibri"/>
              <a:cs typeface="Calibri"/>
            </a:rPr>
            <a:t> %</a:t>
          </a:r>
          <a:endParaRPr lang="en-US" sz="3200" b="1"/>
        </a:p>
      </xdr:txBody>
    </xdr:sp>
    <xdr:clientData/>
  </xdr:twoCellAnchor>
  <xdr:twoCellAnchor>
    <xdr:from>
      <xdr:col>4</xdr:col>
      <xdr:colOff>495300</xdr:colOff>
      <xdr:row>7</xdr:row>
      <xdr:rowOff>17884</xdr:rowOff>
    </xdr:from>
    <xdr:to>
      <xdr:col>6</xdr:col>
      <xdr:colOff>241300</xdr:colOff>
      <xdr:row>10</xdr:row>
      <xdr:rowOff>187445</xdr:rowOff>
    </xdr:to>
    <xdr:sp macro="" textlink="'KPI''s'!P8">
      <xdr:nvSpPr>
        <xdr:cNvPr id="50" name="TextBox 49">
          <a:extLst>
            <a:ext uri="{FF2B5EF4-FFF2-40B4-BE49-F238E27FC236}">
              <a16:creationId xmlns:a16="http://schemas.microsoft.com/office/drawing/2014/main" id="{6AB568ED-2AAD-BD43-B9E3-860B3E363940}"/>
            </a:ext>
          </a:extLst>
        </xdr:cNvPr>
        <xdr:cNvSpPr txBox="1"/>
      </xdr:nvSpPr>
      <xdr:spPr>
        <a:xfrm>
          <a:off x="3797300" y="1440284"/>
          <a:ext cx="1397000" cy="779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rgbClr val="000000"/>
              </a:solidFill>
              <a:latin typeface="Calibri"/>
              <a:cs typeface="Calibri"/>
            </a:rPr>
            <a:t>ATTRITION </a:t>
          </a:r>
          <a:br>
            <a:rPr lang="en-US" sz="2000" b="1" i="0" u="none" strike="noStrike">
              <a:solidFill>
                <a:srgbClr val="000000"/>
              </a:solidFill>
              <a:latin typeface="Calibri"/>
              <a:cs typeface="Calibri"/>
            </a:rPr>
          </a:br>
          <a:r>
            <a:rPr lang="en-US" sz="2000" b="1" i="0" u="none" strike="noStrike">
              <a:solidFill>
                <a:srgbClr val="000000"/>
              </a:solidFill>
              <a:latin typeface="Calibri"/>
              <a:cs typeface="Calibri"/>
            </a:rPr>
            <a:t>RATE</a:t>
          </a:r>
          <a:endParaRPr lang="en-US" sz="2000" b="1"/>
        </a:p>
      </xdr:txBody>
    </xdr:sp>
    <xdr:clientData/>
  </xdr:twoCellAnchor>
  <xdr:twoCellAnchor>
    <xdr:from>
      <xdr:col>0</xdr:col>
      <xdr:colOff>188257</xdr:colOff>
      <xdr:row>11</xdr:row>
      <xdr:rowOff>160846</xdr:rowOff>
    </xdr:from>
    <xdr:to>
      <xdr:col>1</xdr:col>
      <xdr:colOff>493059</xdr:colOff>
      <xdr:row>14</xdr:row>
      <xdr:rowOff>104587</xdr:rowOff>
    </xdr:to>
    <xdr:sp macro="" textlink="'KPI''s'!A4">
      <xdr:nvSpPr>
        <xdr:cNvPr id="51" name="TextBox 50">
          <a:extLst>
            <a:ext uri="{FF2B5EF4-FFF2-40B4-BE49-F238E27FC236}">
              <a16:creationId xmlns:a16="http://schemas.microsoft.com/office/drawing/2014/main" id="{BAA85C60-1239-1C49-9D0A-F806027E347E}"/>
            </a:ext>
          </a:extLst>
        </xdr:cNvPr>
        <xdr:cNvSpPr txBox="1"/>
      </xdr:nvSpPr>
      <xdr:spPr>
        <a:xfrm>
          <a:off x="188257" y="2461787"/>
          <a:ext cx="1126567" cy="5712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A58C6A-F6EC-B544-AF5E-12F9D4389A4B}" type="TxLink">
            <a:rPr lang="en-US" sz="3200" b="1" i="0" u="none" strike="noStrike">
              <a:solidFill>
                <a:srgbClr val="000000"/>
              </a:solidFill>
              <a:latin typeface="Calibri"/>
              <a:cs typeface="Calibri"/>
            </a:rPr>
            <a:pPr/>
            <a:t>1470</a:t>
          </a:fld>
          <a:endParaRPr lang="en-US" sz="3200" b="1"/>
        </a:p>
      </xdr:txBody>
    </xdr:sp>
    <xdr:clientData/>
  </xdr:twoCellAnchor>
  <xdr:twoCellAnchor>
    <xdr:from>
      <xdr:col>2</xdr:col>
      <xdr:colOff>457291</xdr:colOff>
      <xdr:row>11</xdr:row>
      <xdr:rowOff>193838</xdr:rowOff>
    </xdr:from>
    <xdr:to>
      <xdr:col>3</xdr:col>
      <xdr:colOff>508000</xdr:colOff>
      <xdr:row>14</xdr:row>
      <xdr:rowOff>164352</xdr:rowOff>
    </xdr:to>
    <xdr:sp macro="" textlink="'KPI''s'!E8">
      <xdr:nvSpPr>
        <xdr:cNvPr id="52" name="TextBox 51">
          <a:extLst>
            <a:ext uri="{FF2B5EF4-FFF2-40B4-BE49-F238E27FC236}">
              <a16:creationId xmlns:a16="http://schemas.microsoft.com/office/drawing/2014/main" id="{49A1BE20-8D2D-4747-A6FF-F62D309840B1}"/>
            </a:ext>
          </a:extLst>
        </xdr:cNvPr>
        <xdr:cNvSpPr txBox="1"/>
      </xdr:nvSpPr>
      <xdr:spPr>
        <a:xfrm>
          <a:off x="2100820" y="2494779"/>
          <a:ext cx="872474" cy="5980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9D1301-18AD-9448-BAED-2B0DAADD2BC4}" type="TxLink">
            <a:rPr lang="en-US" sz="3200" b="1" i="0" u="none" strike="noStrike">
              <a:solidFill>
                <a:srgbClr val="000000"/>
              </a:solidFill>
              <a:latin typeface="Calibri"/>
              <a:cs typeface="Calibri"/>
            </a:rPr>
            <a:pPr/>
            <a:t>237</a:t>
          </a:fld>
          <a:endParaRPr lang="en-US" sz="3200" b="1"/>
        </a:p>
      </xdr:txBody>
    </xdr:sp>
    <xdr:clientData/>
  </xdr:twoCellAnchor>
  <xdr:twoCellAnchor>
    <xdr:from>
      <xdr:col>7</xdr:col>
      <xdr:colOff>19090</xdr:colOff>
      <xdr:row>11</xdr:row>
      <xdr:rowOff>178874</xdr:rowOff>
    </xdr:from>
    <xdr:to>
      <xdr:col>8</xdr:col>
      <xdr:colOff>711200</xdr:colOff>
      <xdr:row>14</xdr:row>
      <xdr:rowOff>90513</xdr:rowOff>
    </xdr:to>
    <xdr:sp macro="" textlink="'KPI''s'!C4">
      <xdr:nvSpPr>
        <xdr:cNvPr id="53" name="TextBox 52">
          <a:extLst>
            <a:ext uri="{FF2B5EF4-FFF2-40B4-BE49-F238E27FC236}">
              <a16:creationId xmlns:a16="http://schemas.microsoft.com/office/drawing/2014/main" id="{E32B0A36-0A62-2249-AD52-16E034CA10DC}"/>
            </a:ext>
          </a:extLst>
        </xdr:cNvPr>
        <xdr:cNvSpPr txBox="1"/>
      </xdr:nvSpPr>
      <xdr:spPr>
        <a:xfrm>
          <a:off x="5797590" y="2414074"/>
          <a:ext cx="1517610" cy="5212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592C4B-5545-874A-91A4-EF27F23595B2}" type="TxLink">
            <a:rPr lang="en-US" sz="3200" b="1" i="0" u="none" strike="noStrike">
              <a:solidFill>
                <a:srgbClr val="000000"/>
              </a:solidFill>
              <a:latin typeface="Calibri"/>
              <a:cs typeface="Calibri"/>
            </a:rPr>
            <a:pPr/>
            <a:t>37</a:t>
          </a:fld>
          <a:r>
            <a:rPr lang="en-US" sz="3200" b="1" i="0" u="none" strike="noStrike">
              <a:solidFill>
                <a:srgbClr val="000000"/>
              </a:solidFill>
              <a:latin typeface="Calibri"/>
              <a:cs typeface="Calibri"/>
            </a:rPr>
            <a:t> Year</a:t>
          </a:r>
        </a:p>
      </xdr:txBody>
    </xdr:sp>
    <xdr:clientData/>
  </xdr:twoCellAnchor>
  <xdr:twoCellAnchor>
    <xdr:from>
      <xdr:col>8</xdr:col>
      <xdr:colOff>776941</xdr:colOff>
      <xdr:row>12</xdr:row>
      <xdr:rowOff>76225</xdr:rowOff>
    </xdr:from>
    <xdr:to>
      <xdr:col>10</xdr:col>
      <xdr:colOff>776941</xdr:colOff>
      <xdr:row>15</xdr:row>
      <xdr:rowOff>558</xdr:rowOff>
    </xdr:to>
    <xdr:sp macro="" textlink="'KPI''s'!B4">
      <xdr:nvSpPr>
        <xdr:cNvPr id="54" name="TextBox 53">
          <a:extLst>
            <a:ext uri="{FF2B5EF4-FFF2-40B4-BE49-F238E27FC236}">
              <a16:creationId xmlns:a16="http://schemas.microsoft.com/office/drawing/2014/main" id="{2DC7A61D-CC7A-6C4E-A54F-56D3C54A3E71}"/>
            </a:ext>
          </a:extLst>
        </xdr:cNvPr>
        <xdr:cNvSpPr txBox="1"/>
      </xdr:nvSpPr>
      <xdr:spPr>
        <a:xfrm>
          <a:off x="7380941" y="2514625"/>
          <a:ext cx="1651000" cy="5339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CFF456-15F1-9843-9981-F4F856C1B528}" type="TxLink">
            <a:rPr lang="en-US" sz="3200" b="1" i="0" u="none" strike="noStrike">
              <a:solidFill>
                <a:srgbClr val="000000"/>
              </a:solidFill>
              <a:latin typeface="Calibri"/>
              <a:cs typeface="Calibri"/>
            </a:rPr>
            <a:pPr/>
            <a:t>$6,502.9</a:t>
          </a:fld>
          <a:endParaRPr lang="en-US" sz="3200" b="1"/>
        </a:p>
      </xdr:txBody>
    </xdr:sp>
    <xdr:clientData/>
  </xdr:twoCellAnchor>
  <xdr:twoCellAnchor>
    <xdr:from>
      <xdr:col>11</xdr:col>
      <xdr:colOff>195456</xdr:colOff>
      <xdr:row>12</xdr:row>
      <xdr:rowOff>80492</xdr:rowOff>
    </xdr:from>
    <xdr:to>
      <xdr:col>12</xdr:col>
      <xdr:colOff>732118</xdr:colOff>
      <xdr:row>15</xdr:row>
      <xdr:rowOff>50799</xdr:rowOff>
    </xdr:to>
    <xdr:sp macro="" textlink="'KPI''s'!F4">
      <xdr:nvSpPr>
        <xdr:cNvPr id="55" name="TextBox 54">
          <a:extLst>
            <a:ext uri="{FF2B5EF4-FFF2-40B4-BE49-F238E27FC236}">
              <a16:creationId xmlns:a16="http://schemas.microsoft.com/office/drawing/2014/main" id="{04F28339-30EE-3648-97DC-3EA65C90BF3A}"/>
            </a:ext>
          </a:extLst>
        </xdr:cNvPr>
        <xdr:cNvSpPr txBox="1"/>
      </xdr:nvSpPr>
      <xdr:spPr>
        <a:xfrm>
          <a:off x="9275956" y="2518892"/>
          <a:ext cx="1362162" cy="5799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8C23F1-771A-774D-A78C-44441F46AE59}" type="TxLink">
            <a:rPr lang="en-US" sz="3200" b="1" i="0" u="none" strike="noStrike">
              <a:solidFill>
                <a:srgbClr val="000000"/>
              </a:solidFill>
              <a:latin typeface="Calibri"/>
              <a:cs typeface="Calibri"/>
            </a:rPr>
            <a:pPr/>
            <a:t>7.01</a:t>
          </a:fld>
          <a:r>
            <a:rPr lang="en-US" sz="3200" b="1" i="0" u="none" strike="noStrike">
              <a:solidFill>
                <a:srgbClr val="000000"/>
              </a:solidFill>
              <a:latin typeface="Calibri"/>
              <a:cs typeface="Calibri"/>
            </a:rPr>
            <a:t> yr</a:t>
          </a:r>
        </a:p>
        <a:p>
          <a:endParaRPr lang="en-US" sz="3200" b="1"/>
        </a:p>
      </xdr:txBody>
    </xdr:sp>
    <xdr:clientData/>
  </xdr:twoCellAnchor>
  <xdr:twoCellAnchor>
    <xdr:from>
      <xdr:col>13</xdr:col>
      <xdr:colOff>445091</xdr:colOff>
      <xdr:row>12</xdr:row>
      <xdr:rowOff>116267</xdr:rowOff>
    </xdr:from>
    <xdr:to>
      <xdr:col>15</xdr:col>
      <xdr:colOff>50800</xdr:colOff>
      <xdr:row>14</xdr:row>
      <xdr:rowOff>169669</xdr:rowOff>
    </xdr:to>
    <xdr:sp macro="" textlink="'KPI''s'!D4">
      <xdr:nvSpPr>
        <xdr:cNvPr id="56" name="TextBox 55">
          <a:extLst>
            <a:ext uri="{FF2B5EF4-FFF2-40B4-BE49-F238E27FC236}">
              <a16:creationId xmlns:a16="http://schemas.microsoft.com/office/drawing/2014/main" id="{8C1985DB-53BC-8347-A5B5-1372D33D62C2}"/>
            </a:ext>
          </a:extLst>
        </xdr:cNvPr>
        <xdr:cNvSpPr txBox="1"/>
      </xdr:nvSpPr>
      <xdr:spPr>
        <a:xfrm>
          <a:off x="11176591" y="2554667"/>
          <a:ext cx="1256709" cy="459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086B0A-0E22-4C4B-8B59-1956D4B2D7C5}" type="TxLink">
            <a:rPr lang="en-US" sz="3200" b="1" i="0" u="none" strike="noStrike">
              <a:solidFill>
                <a:srgbClr val="000000"/>
              </a:solidFill>
              <a:latin typeface="Calibri"/>
              <a:cs typeface="Calibri"/>
            </a:rPr>
            <a:pPr/>
            <a:t>2.7</a:t>
          </a:fld>
          <a:r>
            <a:rPr lang="en-US" sz="3200" b="1" i="0" u="none" strike="noStrike">
              <a:solidFill>
                <a:srgbClr val="000000"/>
              </a:solidFill>
              <a:latin typeface="Calibri"/>
              <a:cs typeface="Calibri"/>
            </a:rPr>
            <a:t> /5</a:t>
          </a:r>
          <a:endParaRPr lang="en-US" sz="3200" b="1"/>
        </a:p>
      </xdr:txBody>
    </xdr:sp>
    <xdr:clientData/>
  </xdr:twoCellAnchor>
  <xdr:twoCellAnchor>
    <xdr:from>
      <xdr:col>15</xdr:col>
      <xdr:colOff>585884</xdr:colOff>
      <xdr:row>12</xdr:row>
      <xdr:rowOff>87699</xdr:rowOff>
    </xdr:from>
    <xdr:to>
      <xdr:col>17</xdr:col>
      <xdr:colOff>0</xdr:colOff>
      <xdr:row>14</xdr:row>
      <xdr:rowOff>187817</xdr:rowOff>
    </xdr:to>
    <xdr:sp macro="" textlink="'KPI''s'!D8">
      <xdr:nvSpPr>
        <xdr:cNvPr id="57" name="TextBox 56">
          <a:extLst>
            <a:ext uri="{FF2B5EF4-FFF2-40B4-BE49-F238E27FC236}">
              <a16:creationId xmlns:a16="http://schemas.microsoft.com/office/drawing/2014/main" id="{D1210FF7-7140-1747-B136-B4DC0683C163}"/>
            </a:ext>
          </a:extLst>
        </xdr:cNvPr>
        <xdr:cNvSpPr txBox="1"/>
      </xdr:nvSpPr>
      <xdr:spPr>
        <a:xfrm>
          <a:off x="12928138" y="2556150"/>
          <a:ext cx="1059749" cy="511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094B7E-3473-F943-8EC9-87938E0D5F28}" type="TxLink">
            <a:rPr lang="en-US" sz="3200" b="1" i="0" u="none" strike="noStrike">
              <a:solidFill>
                <a:srgbClr val="000000"/>
              </a:solidFill>
              <a:latin typeface="Calibri"/>
              <a:cs typeface="Calibri"/>
            </a:rPr>
            <a:pPr/>
            <a:t>1233</a:t>
          </a:fld>
          <a:endParaRPr lang="en-US" sz="3200" b="1"/>
        </a:p>
      </xdr:txBody>
    </xdr:sp>
    <xdr:clientData/>
  </xdr:twoCellAnchor>
  <xdr:twoCellAnchor>
    <xdr:from>
      <xdr:col>17</xdr:col>
      <xdr:colOff>773680</xdr:colOff>
      <xdr:row>12</xdr:row>
      <xdr:rowOff>169929</xdr:rowOff>
    </xdr:from>
    <xdr:to>
      <xdr:col>19</xdr:col>
      <xdr:colOff>206376</xdr:colOff>
      <xdr:row>15</xdr:row>
      <xdr:rowOff>8944</xdr:rowOff>
    </xdr:to>
    <xdr:sp macro="" textlink="'KPI''s'!I5">
      <xdr:nvSpPr>
        <xdr:cNvPr id="58" name="TextBox 57">
          <a:extLst>
            <a:ext uri="{FF2B5EF4-FFF2-40B4-BE49-F238E27FC236}">
              <a16:creationId xmlns:a16="http://schemas.microsoft.com/office/drawing/2014/main" id="{B1A6C27E-9CB9-B641-9378-DE1114C58C4C}"/>
            </a:ext>
          </a:extLst>
        </xdr:cNvPr>
        <xdr:cNvSpPr txBox="1"/>
      </xdr:nvSpPr>
      <xdr:spPr>
        <a:xfrm>
          <a:off x="14761567" y="2638380"/>
          <a:ext cx="1078330" cy="4561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56B0BD-6753-1C49-A58D-E40DE850EEDD}" type="TxLink">
            <a:rPr lang="en-US" sz="3200" b="1" i="0" u="none" strike="noStrike">
              <a:solidFill>
                <a:srgbClr val="000000"/>
              </a:solidFill>
              <a:latin typeface="Calibri"/>
              <a:cs typeface="Calibri"/>
            </a:rPr>
            <a:pPr/>
            <a:t>882</a:t>
          </a:fld>
          <a:endParaRPr lang="en-US" sz="3200" b="1"/>
        </a:p>
      </xdr:txBody>
    </xdr:sp>
    <xdr:clientData/>
  </xdr:twoCellAnchor>
  <xdr:twoCellAnchor>
    <xdr:from>
      <xdr:col>20</xdr:col>
      <xdr:colOff>150054</xdr:colOff>
      <xdr:row>12</xdr:row>
      <xdr:rowOff>122523</xdr:rowOff>
    </xdr:from>
    <xdr:to>
      <xdr:col>21</xdr:col>
      <xdr:colOff>321028</xdr:colOff>
      <xdr:row>15</xdr:row>
      <xdr:rowOff>56444</xdr:rowOff>
    </xdr:to>
    <xdr:sp macro="" textlink="'KPI''s'!I4">
      <xdr:nvSpPr>
        <xdr:cNvPr id="59" name="TextBox 58">
          <a:extLst>
            <a:ext uri="{FF2B5EF4-FFF2-40B4-BE49-F238E27FC236}">
              <a16:creationId xmlns:a16="http://schemas.microsoft.com/office/drawing/2014/main" id="{E1ADBA87-7F58-4745-A110-3CA9592BF3F0}"/>
            </a:ext>
          </a:extLst>
        </xdr:cNvPr>
        <xdr:cNvSpPr txBox="1"/>
      </xdr:nvSpPr>
      <xdr:spPr>
        <a:xfrm>
          <a:off x="16801165" y="2493190"/>
          <a:ext cx="1003530" cy="5265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196BE9-C06C-B94C-AD85-6EBB40E4CE10}" type="TxLink">
            <a:rPr lang="en-US" sz="3200" b="1" i="0" u="none" strike="noStrike">
              <a:solidFill>
                <a:srgbClr val="000000"/>
              </a:solidFill>
              <a:latin typeface="Calibri"/>
              <a:cs typeface="Calibri"/>
            </a:rPr>
            <a:pPr/>
            <a:t>588</a:t>
          </a:fld>
          <a:endParaRPr lang="en-US" sz="3200" b="1"/>
        </a:p>
      </xdr:txBody>
    </xdr:sp>
    <xdr:clientData/>
  </xdr:twoCellAnchor>
  <xdr:twoCellAnchor editAs="oneCell">
    <xdr:from>
      <xdr:col>3</xdr:col>
      <xdr:colOff>428625</xdr:colOff>
      <xdr:row>9</xdr:row>
      <xdr:rowOff>173459</xdr:rowOff>
    </xdr:from>
    <xdr:to>
      <xdr:col>4</xdr:col>
      <xdr:colOff>191666</xdr:colOff>
      <xdr:row>12</xdr:row>
      <xdr:rowOff>142875</xdr:rowOff>
    </xdr:to>
    <xdr:pic>
      <xdr:nvPicPr>
        <xdr:cNvPr id="61" name="Picture 60">
          <a:extLst>
            <a:ext uri="{FF2B5EF4-FFF2-40B4-BE49-F238E27FC236}">
              <a16:creationId xmlns:a16="http://schemas.microsoft.com/office/drawing/2014/main" id="{D8B376CB-4BB5-0C31-DE7B-A41D50669527}"/>
            </a:ext>
          </a:extLst>
        </xdr:cNvPr>
        <xdr:cNvPicPr>
          <a:picLocks noChangeAspect="1"/>
        </xdr:cNvPicPr>
      </xdr:nvPicPr>
      <xdr:blipFill>
        <a:blip xmlns:r="http://schemas.openxmlformats.org/officeDocument/2006/relationships" r:embed="rId1"/>
        <a:stretch>
          <a:fillRect/>
        </a:stretch>
      </xdr:blipFill>
      <xdr:spPr>
        <a:xfrm>
          <a:off x="2905125" y="2030834"/>
          <a:ext cx="588541" cy="588541"/>
        </a:xfrm>
        <a:prstGeom prst="rect">
          <a:avLst/>
        </a:prstGeom>
      </xdr:spPr>
    </xdr:pic>
    <xdr:clientData/>
  </xdr:twoCellAnchor>
  <xdr:twoCellAnchor editAs="oneCell">
    <xdr:from>
      <xdr:col>5</xdr:col>
      <xdr:colOff>730251</xdr:colOff>
      <xdr:row>9</xdr:row>
      <xdr:rowOff>142875</xdr:rowOff>
    </xdr:from>
    <xdr:to>
      <xdr:col>6</xdr:col>
      <xdr:colOff>477417</xdr:colOff>
      <xdr:row>12</xdr:row>
      <xdr:rowOff>47626</xdr:rowOff>
    </xdr:to>
    <xdr:pic>
      <xdr:nvPicPr>
        <xdr:cNvPr id="62" name="Picture 61">
          <a:extLst>
            <a:ext uri="{FF2B5EF4-FFF2-40B4-BE49-F238E27FC236}">
              <a16:creationId xmlns:a16="http://schemas.microsoft.com/office/drawing/2014/main" id="{05D01E5C-40E0-484B-B7D5-A50B19B63850}"/>
            </a:ext>
          </a:extLst>
        </xdr:cNvPr>
        <xdr:cNvPicPr>
          <a:picLocks noChangeAspect="1"/>
        </xdr:cNvPicPr>
      </xdr:nvPicPr>
      <xdr:blipFill>
        <a:blip xmlns:r="http://schemas.openxmlformats.org/officeDocument/2006/relationships" r:embed="rId2"/>
        <a:stretch>
          <a:fillRect/>
        </a:stretch>
      </xdr:blipFill>
      <xdr:spPr>
        <a:xfrm>
          <a:off x="4857751" y="2000250"/>
          <a:ext cx="572666" cy="523876"/>
        </a:xfrm>
        <a:prstGeom prst="rect">
          <a:avLst/>
        </a:prstGeom>
      </xdr:spPr>
    </xdr:pic>
    <xdr:clientData/>
  </xdr:twoCellAnchor>
  <xdr:twoCellAnchor editAs="oneCell">
    <xdr:from>
      <xdr:col>7</xdr:col>
      <xdr:colOff>666750</xdr:colOff>
      <xdr:row>8</xdr:row>
      <xdr:rowOff>173459</xdr:rowOff>
    </xdr:from>
    <xdr:to>
      <xdr:col>8</xdr:col>
      <xdr:colOff>523875</xdr:colOff>
      <xdr:row>12</xdr:row>
      <xdr:rowOff>30584</xdr:rowOff>
    </xdr:to>
    <xdr:pic>
      <xdr:nvPicPr>
        <xdr:cNvPr id="63" name="Picture 62">
          <a:extLst>
            <a:ext uri="{FF2B5EF4-FFF2-40B4-BE49-F238E27FC236}">
              <a16:creationId xmlns:a16="http://schemas.microsoft.com/office/drawing/2014/main" id="{C7AAB242-F740-CB86-4FD4-CD21792ECAAE}"/>
            </a:ext>
          </a:extLst>
        </xdr:cNvPr>
        <xdr:cNvPicPr>
          <a:picLocks noChangeAspect="1"/>
        </xdr:cNvPicPr>
      </xdr:nvPicPr>
      <xdr:blipFill>
        <a:blip xmlns:r="http://schemas.openxmlformats.org/officeDocument/2006/relationships" r:embed="rId3"/>
        <a:stretch>
          <a:fillRect/>
        </a:stretch>
      </xdr:blipFill>
      <xdr:spPr>
        <a:xfrm>
          <a:off x="6445250" y="1824459"/>
          <a:ext cx="682625" cy="682625"/>
        </a:xfrm>
        <a:prstGeom prst="rect">
          <a:avLst/>
        </a:prstGeom>
      </xdr:spPr>
    </xdr:pic>
    <xdr:clientData/>
  </xdr:twoCellAnchor>
  <xdr:twoCellAnchor editAs="oneCell">
    <xdr:from>
      <xdr:col>10</xdr:col>
      <xdr:colOff>47625</xdr:colOff>
      <xdr:row>9</xdr:row>
      <xdr:rowOff>46459</xdr:rowOff>
    </xdr:from>
    <xdr:to>
      <xdr:col>10</xdr:col>
      <xdr:colOff>698500</xdr:colOff>
      <xdr:row>12</xdr:row>
      <xdr:rowOff>78209</xdr:rowOff>
    </xdr:to>
    <xdr:pic>
      <xdr:nvPicPr>
        <xdr:cNvPr id="64" name="Picture 63">
          <a:extLst>
            <a:ext uri="{FF2B5EF4-FFF2-40B4-BE49-F238E27FC236}">
              <a16:creationId xmlns:a16="http://schemas.microsoft.com/office/drawing/2014/main" id="{EA49CA06-5D23-605D-8999-62656E058ABA}"/>
            </a:ext>
          </a:extLst>
        </xdr:cNvPr>
        <xdr:cNvPicPr>
          <a:picLocks noChangeAspect="1"/>
        </xdr:cNvPicPr>
      </xdr:nvPicPr>
      <xdr:blipFill>
        <a:blip xmlns:r="http://schemas.openxmlformats.org/officeDocument/2006/relationships" r:embed="rId4"/>
        <a:stretch>
          <a:fillRect/>
        </a:stretch>
      </xdr:blipFill>
      <xdr:spPr>
        <a:xfrm>
          <a:off x="8302625" y="1903834"/>
          <a:ext cx="650875" cy="650875"/>
        </a:xfrm>
        <a:prstGeom prst="rect">
          <a:avLst/>
        </a:prstGeom>
      </xdr:spPr>
    </xdr:pic>
    <xdr:clientData/>
  </xdr:twoCellAnchor>
  <xdr:twoCellAnchor editAs="oneCell">
    <xdr:from>
      <xdr:col>12</xdr:col>
      <xdr:colOff>381000</xdr:colOff>
      <xdr:row>7</xdr:row>
      <xdr:rowOff>173459</xdr:rowOff>
    </xdr:from>
    <xdr:to>
      <xdr:col>13</xdr:col>
      <xdr:colOff>47625</xdr:colOff>
      <xdr:row>10</xdr:row>
      <xdr:rowOff>46459</xdr:rowOff>
    </xdr:to>
    <xdr:pic>
      <xdr:nvPicPr>
        <xdr:cNvPr id="65" name="Picture 64">
          <a:extLst>
            <a:ext uri="{FF2B5EF4-FFF2-40B4-BE49-F238E27FC236}">
              <a16:creationId xmlns:a16="http://schemas.microsoft.com/office/drawing/2014/main" id="{E3A8FB88-D5FE-88FC-5CCB-BEE8A7326F85}"/>
            </a:ext>
          </a:extLst>
        </xdr:cNvPr>
        <xdr:cNvPicPr>
          <a:picLocks noChangeAspect="1"/>
        </xdr:cNvPicPr>
      </xdr:nvPicPr>
      <xdr:blipFill>
        <a:blip xmlns:r="http://schemas.openxmlformats.org/officeDocument/2006/relationships" r:embed="rId5"/>
        <a:stretch>
          <a:fillRect/>
        </a:stretch>
      </xdr:blipFill>
      <xdr:spPr>
        <a:xfrm>
          <a:off x="10287000" y="1618084"/>
          <a:ext cx="492125" cy="492125"/>
        </a:xfrm>
        <a:prstGeom prst="rect">
          <a:avLst/>
        </a:prstGeom>
      </xdr:spPr>
    </xdr:pic>
    <xdr:clientData/>
  </xdr:twoCellAnchor>
  <xdr:twoCellAnchor editAs="oneCell">
    <xdr:from>
      <xdr:col>13</xdr:col>
      <xdr:colOff>666750</xdr:colOff>
      <xdr:row>10</xdr:row>
      <xdr:rowOff>62334</xdr:rowOff>
    </xdr:from>
    <xdr:to>
      <xdr:col>14</xdr:col>
      <xdr:colOff>492126</xdr:colOff>
      <xdr:row>12</xdr:row>
      <xdr:rowOff>152015</xdr:rowOff>
    </xdr:to>
    <xdr:pic>
      <xdr:nvPicPr>
        <xdr:cNvPr id="66" name="Picture 65">
          <a:extLst>
            <a:ext uri="{FF2B5EF4-FFF2-40B4-BE49-F238E27FC236}">
              <a16:creationId xmlns:a16="http://schemas.microsoft.com/office/drawing/2014/main" id="{6994A444-86D6-8FCD-7267-547885D98012}"/>
            </a:ext>
          </a:extLst>
        </xdr:cNvPr>
        <xdr:cNvPicPr>
          <a:picLocks noChangeAspect="1"/>
        </xdr:cNvPicPr>
      </xdr:nvPicPr>
      <xdr:blipFill>
        <a:blip xmlns:r="http://schemas.openxmlformats.org/officeDocument/2006/relationships" r:embed="rId6"/>
        <a:stretch>
          <a:fillRect/>
        </a:stretch>
      </xdr:blipFill>
      <xdr:spPr>
        <a:xfrm>
          <a:off x="11398250" y="2126084"/>
          <a:ext cx="650876" cy="502431"/>
        </a:xfrm>
        <a:prstGeom prst="rect">
          <a:avLst/>
        </a:prstGeom>
      </xdr:spPr>
    </xdr:pic>
    <xdr:clientData/>
  </xdr:twoCellAnchor>
  <xdr:twoCellAnchor editAs="oneCell">
    <xdr:from>
      <xdr:col>15</xdr:col>
      <xdr:colOff>762000</xdr:colOff>
      <xdr:row>10</xdr:row>
      <xdr:rowOff>94084</xdr:rowOff>
    </xdr:from>
    <xdr:to>
      <xdr:col>16</xdr:col>
      <xdr:colOff>429791</xdr:colOff>
      <xdr:row>12</xdr:row>
      <xdr:rowOff>174625</xdr:rowOff>
    </xdr:to>
    <xdr:pic>
      <xdr:nvPicPr>
        <xdr:cNvPr id="67" name="Picture 66">
          <a:extLst>
            <a:ext uri="{FF2B5EF4-FFF2-40B4-BE49-F238E27FC236}">
              <a16:creationId xmlns:a16="http://schemas.microsoft.com/office/drawing/2014/main" id="{2744488B-E367-7C74-F975-9F3A3A7545A9}"/>
            </a:ext>
          </a:extLst>
        </xdr:cNvPr>
        <xdr:cNvPicPr>
          <a:picLocks noChangeAspect="1"/>
        </xdr:cNvPicPr>
      </xdr:nvPicPr>
      <xdr:blipFill>
        <a:blip xmlns:r="http://schemas.openxmlformats.org/officeDocument/2006/relationships" r:embed="rId7"/>
        <a:stretch>
          <a:fillRect/>
        </a:stretch>
      </xdr:blipFill>
      <xdr:spPr>
        <a:xfrm>
          <a:off x="13144500" y="2157834"/>
          <a:ext cx="493291" cy="493291"/>
        </a:xfrm>
        <a:prstGeom prst="rect">
          <a:avLst/>
        </a:prstGeom>
      </xdr:spPr>
    </xdr:pic>
    <xdr:clientData/>
  </xdr:twoCellAnchor>
  <xdr:twoCellAnchor editAs="oneCell">
    <xdr:from>
      <xdr:col>17</xdr:col>
      <xdr:colOff>793750</xdr:colOff>
      <xdr:row>10</xdr:row>
      <xdr:rowOff>62334</xdr:rowOff>
    </xdr:from>
    <xdr:to>
      <xdr:col>18</xdr:col>
      <xdr:colOff>587375</xdr:colOff>
      <xdr:row>13</xdr:row>
      <xdr:rowOff>62334</xdr:rowOff>
    </xdr:to>
    <xdr:pic>
      <xdr:nvPicPr>
        <xdr:cNvPr id="68" name="Picture 67">
          <a:extLst>
            <a:ext uri="{FF2B5EF4-FFF2-40B4-BE49-F238E27FC236}">
              <a16:creationId xmlns:a16="http://schemas.microsoft.com/office/drawing/2014/main" id="{DDA7FAA4-C145-003E-5E5C-E102FF2B914F}"/>
            </a:ext>
          </a:extLst>
        </xdr:cNvPr>
        <xdr:cNvPicPr>
          <a:picLocks noChangeAspect="1"/>
        </xdr:cNvPicPr>
      </xdr:nvPicPr>
      <xdr:blipFill>
        <a:blip xmlns:r="http://schemas.openxmlformats.org/officeDocument/2006/relationships" r:embed="rId8"/>
        <a:stretch>
          <a:fillRect/>
        </a:stretch>
      </xdr:blipFill>
      <xdr:spPr>
        <a:xfrm>
          <a:off x="14827250" y="2126084"/>
          <a:ext cx="619125" cy="619125"/>
        </a:xfrm>
        <a:prstGeom prst="rect">
          <a:avLst/>
        </a:prstGeom>
      </xdr:spPr>
    </xdr:pic>
    <xdr:clientData/>
  </xdr:twoCellAnchor>
  <xdr:twoCellAnchor editAs="oneCell">
    <xdr:from>
      <xdr:col>20</xdr:col>
      <xdr:colOff>190501</xdr:colOff>
      <xdr:row>9</xdr:row>
      <xdr:rowOff>205210</xdr:rowOff>
    </xdr:from>
    <xdr:to>
      <xdr:col>21</xdr:col>
      <xdr:colOff>32917</xdr:colOff>
      <xdr:row>13</xdr:row>
      <xdr:rowOff>47626</xdr:rowOff>
    </xdr:to>
    <xdr:pic>
      <xdr:nvPicPr>
        <xdr:cNvPr id="69" name="Picture 68">
          <a:extLst>
            <a:ext uri="{FF2B5EF4-FFF2-40B4-BE49-F238E27FC236}">
              <a16:creationId xmlns:a16="http://schemas.microsoft.com/office/drawing/2014/main" id="{3F592BB0-752C-EF1B-47FF-6729F7FECC98}"/>
            </a:ext>
          </a:extLst>
        </xdr:cNvPr>
        <xdr:cNvPicPr>
          <a:picLocks noChangeAspect="1"/>
        </xdr:cNvPicPr>
      </xdr:nvPicPr>
      <xdr:blipFill>
        <a:blip xmlns:r="http://schemas.openxmlformats.org/officeDocument/2006/relationships" r:embed="rId9"/>
        <a:stretch>
          <a:fillRect/>
        </a:stretch>
      </xdr:blipFill>
      <xdr:spPr>
        <a:xfrm>
          <a:off x="16700501" y="2062585"/>
          <a:ext cx="667916" cy="667916"/>
        </a:xfrm>
        <a:prstGeom prst="rect">
          <a:avLst/>
        </a:prstGeom>
      </xdr:spPr>
    </xdr:pic>
    <xdr:clientData/>
  </xdr:twoCellAnchor>
  <xdr:twoCellAnchor editAs="oneCell">
    <xdr:from>
      <xdr:col>1</xdr:col>
      <xdr:colOff>238126</xdr:colOff>
      <xdr:row>10</xdr:row>
      <xdr:rowOff>1</xdr:rowOff>
    </xdr:from>
    <xdr:to>
      <xdr:col>2</xdr:col>
      <xdr:colOff>174626</xdr:colOff>
      <xdr:row>13</xdr:row>
      <xdr:rowOff>142876</xdr:rowOff>
    </xdr:to>
    <xdr:pic>
      <xdr:nvPicPr>
        <xdr:cNvPr id="70" name="Picture 69">
          <a:extLst>
            <a:ext uri="{FF2B5EF4-FFF2-40B4-BE49-F238E27FC236}">
              <a16:creationId xmlns:a16="http://schemas.microsoft.com/office/drawing/2014/main" id="{B6F79A39-4CF1-14A1-ECB8-E473FDE7A44B}"/>
            </a:ext>
          </a:extLst>
        </xdr:cNvPr>
        <xdr:cNvPicPr>
          <a:picLocks noChangeAspect="1"/>
        </xdr:cNvPicPr>
      </xdr:nvPicPr>
      <xdr:blipFill>
        <a:blip xmlns:r="http://schemas.openxmlformats.org/officeDocument/2006/relationships" r:embed="rId10"/>
        <a:stretch>
          <a:fillRect/>
        </a:stretch>
      </xdr:blipFill>
      <xdr:spPr>
        <a:xfrm>
          <a:off x="1063626" y="2063751"/>
          <a:ext cx="762000" cy="762000"/>
        </a:xfrm>
        <a:prstGeom prst="rect">
          <a:avLst/>
        </a:prstGeom>
      </xdr:spPr>
    </xdr:pic>
    <xdr:clientData/>
  </xdr:twoCellAnchor>
  <xdr:twoCellAnchor>
    <xdr:from>
      <xdr:col>19</xdr:col>
      <xdr:colOff>95250</xdr:colOff>
      <xdr:row>15</xdr:row>
      <xdr:rowOff>127001</xdr:rowOff>
    </xdr:from>
    <xdr:to>
      <xdr:col>21</xdr:col>
      <xdr:colOff>786190</xdr:colOff>
      <xdr:row>48</xdr:row>
      <xdr:rowOff>15119</xdr:rowOff>
    </xdr:to>
    <xdr:sp macro="" textlink="">
      <xdr:nvSpPr>
        <xdr:cNvPr id="71" name="Rounded Rectangle 70">
          <a:extLst>
            <a:ext uri="{FF2B5EF4-FFF2-40B4-BE49-F238E27FC236}">
              <a16:creationId xmlns:a16="http://schemas.microsoft.com/office/drawing/2014/main" id="{82CCAB3C-15CF-D792-3511-BFA6350541B0}"/>
            </a:ext>
          </a:extLst>
        </xdr:cNvPr>
        <xdr:cNvSpPr/>
      </xdr:nvSpPr>
      <xdr:spPr>
        <a:xfrm>
          <a:off x="15894655" y="3075215"/>
          <a:ext cx="2354035" cy="6374190"/>
        </a:xfrm>
        <a:prstGeom prst="roundRect">
          <a:avLst/>
        </a:prstGeom>
        <a:solidFill>
          <a:schemeClr val="accent1">
            <a:lumMod val="75000"/>
          </a:schemeClr>
        </a:solidFill>
        <a:ln w="2857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118534</xdr:colOff>
      <xdr:row>15</xdr:row>
      <xdr:rowOff>152401</xdr:rowOff>
    </xdr:from>
    <xdr:to>
      <xdr:col>3</xdr:col>
      <xdr:colOff>498929</xdr:colOff>
      <xdr:row>27</xdr:row>
      <xdr:rowOff>101601</xdr:rowOff>
    </xdr:to>
    <xdr:sp macro="" textlink="">
      <xdr:nvSpPr>
        <xdr:cNvPr id="72" name="Rounded Rectangle 71">
          <a:extLst>
            <a:ext uri="{FF2B5EF4-FFF2-40B4-BE49-F238E27FC236}">
              <a16:creationId xmlns:a16="http://schemas.microsoft.com/office/drawing/2014/main" id="{D25F034A-693E-BD3C-C548-8A28E41D4D46}"/>
            </a:ext>
          </a:extLst>
        </xdr:cNvPr>
        <xdr:cNvSpPr/>
      </xdr:nvSpPr>
      <xdr:spPr>
        <a:xfrm>
          <a:off x="118534" y="3100615"/>
          <a:ext cx="2875038" cy="2307772"/>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141515</xdr:colOff>
      <xdr:row>17</xdr:row>
      <xdr:rowOff>120952</xdr:rowOff>
    </xdr:from>
    <xdr:to>
      <xdr:col>3</xdr:col>
      <xdr:colOff>287262</xdr:colOff>
      <xdr:row>27</xdr:row>
      <xdr:rowOff>60476</xdr:rowOff>
    </xdr:to>
    <xdr:graphicFrame macro="">
      <xdr:nvGraphicFramePr>
        <xdr:cNvPr id="73" name="Chart 72">
          <a:extLst>
            <a:ext uri="{FF2B5EF4-FFF2-40B4-BE49-F238E27FC236}">
              <a16:creationId xmlns:a16="http://schemas.microsoft.com/office/drawing/2014/main" id="{AD75185C-9C0D-2B45-92EE-1D687A269683}"/>
            </a:ext>
            <a:ext uri="{147F2762-F138-4A5C-976F-8EAC2B608ADB}">
              <a16:predDERef xmlns:a16="http://schemas.microsoft.com/office/drawing/2014/main" pred="{D25F034A-693E-BD3C-C548-8A28E41D4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590851</xdr:colOff>
      <xdr:row>15</xdr:row>
      <xdr:rowOff>180390</xdr:rowOff>
    </xdr:from>
    <xdr:to>
      <xdr:col>6</xdr:col>
      <xdr:colOff>755952</xdr:colOff>
      <xdr:row>27</xdr:row>
      <xdr:rowOff>129590</xdr:rowOff>
    </xdr:to>
    <xdr:sp macro="" textlink="">
      <xdr:nvSpPr>
        <xdr:cNvPr id="77" name="Rounded Rectangle 76">
          <a:extLst>
            <a:ext uri="{FF2B5EF4-FFF2-40B4-BE49-F238E27FC236}">
              <a16:creationId xmlns:a16="http://schemas.microsoft.com/office/drawing/2014/main" id="{F07BF7C4-45E2-C547-A919-88FF6AF19B63}"/>
            </a:ext>
          </a:extLst>
        </xdr:cNvPr>
        <xdr:cNvSpPr/>
      </xdr:nvSpPr>
      <xdr:spPr>
        <a:xfrm>
          <a:off x="3085494" y="3128604"/>
          <a:ext cx="2659744" cy="2307772"/>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531546</xdr:colOff>
      <xdr:row>16</xdr:row>
      <xdr:rowOff>155283</xdr:rowOff>
    </xdr:from>
    <xdr:to>
      <xdr:col>6</xdr:col>
      <xdr:colOff>700879</xdr:colOff>
      <xdr:row>27</xdr:row>
      <xdr:rowOff>87549</xdr:rowOff>
    </xdr:to>
    <xdr:graphicFrame macro="">
      <xdr:nvGraphicFramePr>
        <xdr:cNvPr id="80" name="Chart 79">
          <a:extLst>
            <a:ext uri="{FF2B5EF4-FFF2-40B4-BE49-F238E27FC236}">
              <a16:creationId xmlns:a16="http://schemas.microsoft.com/office/drawing/2014/main" id="{8D40B2C2-5389-2342-97EA-DF314B0A6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780141</xdr:colOff>
      <xdr:row>16</xdr:row>
      <xdr:rowOff>8033</xdr:rowOff>
    </xdr:from>
    <xdr:to>
      <xdr:col>14</xdr:col>
      <xdr:colOff>308319</xdr:colOff>
      <xdr:row>27</xdr:row>
      <xdr:rowOff>153781</xdr:rowOff>
    </xdr:to>
    <xdr:sp macro="" textlink="">
      <xdr:nvSpPr>
        <xdr:cNvPr id="81" name="Rounded Rectangle 80">
          <a:extLst>
            <a:ext uri="{FF2B5EF4-FFF2-40B4-BE49-F238E27FC236}">
              <a16:creationId xmlns:a16="http://schemas.microsoft.com/office/drawing/2014/main" id="{3EACA7F3-6CA0-5344-91D1-E3B5CAA4BC1B}"/>
            </a:ext>
          </a:extLst>
        </xdr:cNvPr>
        <xdr:cNvSpPr/>
      </xdr:nvSpPr>
      <xdr:spPr>
        <a:xfrm>
          <a:off x="8264070" y="3152795"/>
          <a:ext cx="3685916" cy="2307772"/>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377976</xdr:colOff>
      <xdr:row>16</xdr:row>
      <xdr:rowOff>9243</xdr:rowOff>
    </xdr:from>
    <xdr:to>
      <xdr:col>19</xdr:col>
      <xdr:colOff>22267</xdr:colOff>
      <xdr:row>27</xdr:row>
      <xdr:rowOff>154991</xdr:rowOff>
    </xdr:to>
    <xdr:sp macro="" textlink="">
      <xdr:nvSpPr>
        <xdr:cNvPr id="82" name="Rounded Rectangle 81">
          <a:extLst>
            <a:ext uri="{FF2B5EF4-FFF2-40B4-BE49-F238E27FC236}">
              <a16:creationId xmlns:a16="http://schemas.microsoft.com/office/drawing/2014/main" id="{72A4DFCA-F79D-7F47-BF95-8E3190F5189D}"/>
            </a:ext>
          </a:extLst>
        </xdr:cNvPr>
        <xdr:cNvSpPr/>
      </xdr:nvSpPr>
      <xdr:spPr>
        <a:xfrm>
          <a:off x="12019643" y="3154005"/>
          <a:ext cx="3802029" cy="2307772"/>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755954</xdr:colOff>
      <xdr:row>17</xdr:row>
      <xdr:rowOff>136071</xdr:rowOff>
    </xdr:from>
    <xdr:to>
      <xdr:col>14</xdr:col>
      <xdr:colOff>226785</xdr:colOff>
      <xdr:row>27</xdr:row>
      <xdr:rowOff>136071</xdr:rowOff>
    </xdr:to>
    <xdr:graphicFrame macro="">
      <xdr:nvGraphicFramePr>
        <xdr:cNvPr id="83" name="Chart 82">
          <a:extLst>
            <a:ext uri="{FF2B5EF4-FFF2-40B4-BE49-F238E27FC236}">
              <a16:creationId xmlns:a16="http://schemas.microsoft.com/office/drawing/2014/main" id="{B7032474-5C97-574C-BD2A-778CCF0CE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379293</xdr:colOff>
      <xdr:row>17</xdr:row>
      <xdr:rowOff>8462</xdr:rowOff>
    </xdr:from>
    <xdr:to>
      <xdr:col>19</xdr:col>
      <xdr:colOff>61793</xdr:colOff>
      <xdr:row>28</xdr:row>
      <xdr:rowOff>61792</xdr:rowOff>
    </xdr:to>
    <xdr:graphicFrame macro="">
      <xdr:nvGraphicFramePr>
        <xdr:cNvPr id="84" name="Chart 83">
          <a:extLst>
            <a:ext uri="{FF2B5EF4-FFF2-40B4-BE49-F238E27FC236}">
              <a16:creationId xmlns:a16="http://schemas.microsoft.com/office/drawing/2014/main" id="{DDE0B06C-A8DA-CB4A-9948-B2C0539E8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101022</xdr:colOff>
      <xdr:row>28</xdr:row>
      <xdr:rowOff>28862</xdr:rowOff>
    </xdr:from>
    <xdr:to>
      <xdr:col>8</xdr:col>
      <xdr:colOff>362857</xdr:colOff>
      <xdr:row>42</xdr:row>
      <xdr:rowOff>85544</xdr:rowOff>
    </xdr:to>
    <xdr:sp macro="" textlink="">
      <xdr:nvSpPr>
        <xdr:cNvPr id="86" name="Rounded Rectangle 85">
          <a:extLst>
            <a:ext uri="{FF2B5EF4-FFF2-40B4-BE49-F238E27FC236}">
              <a16:creationId xmlns:a16="http://schemas.microsoft.com/office/drawing/2014/main" id="{D9E5FA0C-D4F2-1F30-FC30-01F2E8ACA1CD}"/>
            </a:ext>
          </a:extLst>
        </xdr:cNvPr>
        <xdr:cNvSpPr/>
      </xdr:nvSpPr>
      <xdr:spPr>
        <a:xfrm>
          <a:off x="101022" y="5740572"/>
          <a:ext cx="6842146" cy="2912537"/>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85904</xdr:colOff>
      <xdr:row>29</xdr:row>
      <xdr:rowOff>130847</xdr:rowOff>
    </xdr:from>
    <xdr:to>
      <xdr:col>8</xdr:col>
      <xdr:colOff>181429</xdr:colOff>
      <xdr:row>42</xdr:row>
      <xdr:rowOff>120952</xdr:rowOff>
    </xdr:to>
    <xdr:graphicFrame macro="">
      <xdr:nvGraphicFramePr>
        <xdr:cNvPr id="87" name="Chart 86">
          <a:extLst>
            <a:ext uri="{FF2B5EF4-FFF2-40B4-BE49-F238E27FC236}">
              <a16:creationId xmlns:a16="http://schemas.microsoft.com/office/drawing/2014/main" id="{20F0DA49-77EF-4C45-A60F-7109F1C01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468345</xdr:colOff>
      <xdr:row>27</xdr:row>
      <xdr:rowOff>200750</xdr:rowOff>
    </xdr:from>
    <xdr:to>
      <xdr:col>19</xdr:col>
      <xdr:colOff>41640</xdr:colOff>
      <xdr:row>42</xdr:row>
      <xdr:rowOff>76339</xdr:rowOff>
    </xdr:to>
    <xdr:sp macro="" textlink="">
      <xdr:nvSpPr>
        <xdr:cNvPr id="88" name="Rounded Rectangle 87">
          <a:extLst>
            <a:ext uri="{FF2B5EF4-FFF2-40B4-BE49-F238E27FC236}">
              <a16:creationId xmlns:a16="http://schemas.microsoft.com/office/drawing/2014/main" id="{6CE3FC43-12EC-95A1-0BE7-634F668454DA}"/>
            </a:ext>
          </a:extLst>
        </xdr:cNvPr>
        <xdr:cNvSpPr/>
      </xdr:nvSpPr>
      <xdr:spPr>
        <a:xfrm>
          <a:off x="12856050" y="5634684"/>
          <a:ext cx="2876683" cy="2894442"/>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786192</xdr:colOff>
      <xdr:row>18</xdr:row>
      <xdr:rowOff>15119</xdr:rowOff>
    </xdr:from>
    <xdr:to>
      <xdr:col>9</xdr:col>
      <xdr:colOff>665238</xdr:colOff>
      <xdr:row>27</xdr:row>
      <xdr:rowOff>181428</xdr:rowOff>
    </xdr:to>
    <xdr:graphicFrame macro="">
      <xdr:nvGraphicFramePr>
        <xdr:cNvPr id="89" name="Chart 88">
          <a:extLst>
            <a:ext uri="{FF2B5EF4-FFF2-40B4-BE49-F238E27FC236}">
              <a16:creationId xmlns:a16="http://schemas.microsoft.com/office/drawing/2014/main" id="{C8966A19-48B2-5541-8358-78C8C7C17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817638</xdr:colOff>
      <xdr:row>15</xdr:row>
      <xdr:rowOff>181430</xdr:rowOff>
    </xdr:from>
    <xdr:to>
      <xdr:col>9</xdr:col>
      <xdr:colOff>725715</xdr:colOff>
      <xdr:row>27</xdr:row>
      <xdr:rowOff>122162</xdr:rowOff>
    </xdr:to>
    <xdr:sp macro="" textlink="">
      <xdr:nvSpPr>
        <xdr:cNvPr id="90" name="Rounded Rectangle 89">
          <a:extLst>
            <a:ext uri="{FF2B5EF4-FFF2-40B4-BE49-F238E27FC236}">
              <a16:creationId xmlns:a16="http://schemas.microsoft.com/office/drawing/2014/main" id="{3EBBB0C5-5260-E341-8C07-19C841090D25}"/>
            </a:ext>
          </a:extLst>
        </xdr:cNvPr>
        <xdr:cNvSpPr/>
      </xdr:nvSpPr>
      <xdr:spPr>
        <a:xfrm>
          <a:off x="5806924" y="3129644"/>
          <a:ext cx="2402720" cy="2299304"/>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431195</xdr:colOff>
      <xdr:row>28</xdr:row>
      <xdr:rowOff>14515</xdr:rowOff>
    </xdr:from>
    <xdr:to>
      <xdr:col>11</xdr:col>
      <xdr:colOff>787400</xdr:colOff>
      <xdr:row>42</xdr:row>
      <xdr:rowOff>88900</xdr:rowOff>
    </xdr:to>
    <xdr:sp macro="" textlink="">
      <xdr:nvSpPr>
        <xdr:cNvPr id="92" name="Rounded Rectangle 91">
          <a:extLst>
            <a:ext uri="{FF2B5EF4-FFF2-40B4-BE49-F238E27FC236}">
              <a16:creationId xmlns:a16="http://schemas.microsoft.com/office/drawing/2014/main" id="{BE6551ED-200C-D349-B3AE-F9A77FB85CCC}"/>
            </a:ext>
          </a:extLst>
        </xdr:cNvPr>
        <xdr:cNvSpPr/>
      </xdr:nvSpPr>
      <xdr:spPr>
        <a:xfrm>
          <a:off x="7035195" y="5704115"/>
          <a:ext cx="2832705" cy="2919185"/>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32657</xdr:colOff>
      <xdr:row>28</xdr:row>
      <xdr:rowOff>2419</xdr:rowOff>
    </xdr:from>
    <xdr:to>
      <xdr:col>15</xdr:col>
      <xdr:colOff>423334</xdr:colOff>
      <xdr:row>42</xdr:row>
      <xdr:rowOff>105833</xdr:rowOff>
    </xdr:to>
    <xdr:sp macro="" textlink="">
      <xdr:nvSpPr>
        <xdr:cNvPr id="93" name="Rounded Rectangle 92">
          <a:extLst>
            <a:ext uri="{FF2B5EF4-FFF2-40B4-BE49-F238E27FC236}">
              <a16:creationId xmlns:a16="http://schemas.microsoft.com/office/drawing/2014/main" id="{F25EC0F2-23E4-1948-99F8-7262F098973F}"/>
            </a:ext>
          </a:extLst>
        </xdr:cNvPr>
        <xdr:cNvSpPr/>
      </xdr:nvSpPr>
      <xdr:spPr>
        <a:xfrm>
          <a:off x="10011228" y="5505752"/>
          <a:ext cx="2885320" cy="2855081"/>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67734</xdr:colOff>
      <xdr:row>30</xdr:row>
      <xdr:rowOff>186267</xdr:rowOff>
    </xdr:from>
    <xdr:to>
      <xdr:col>15</xdr:col>
      <xdr:colOff>270934</xdr:colOff>
      <xdr:row>42</xdr:row>
      <xdr:rowOff>152401</xdr:rowOff>
    </xdr:to>
    <xdr:graphicFrame macro="">
      <xdr:nvGraphicFramePr>
        <xdr:cNvPr id="94" name="Chart 93">
          <a:extLst>
            <a:ext uri="{FF2B5EF4-FFF2-40B4-BE49-F238E27FC236}">
              <a16:creationId xmlns:a16="http://schemas.microsoft.com/office/drawing/2014/main" id="{57B416A1-590A-2D44-89A0-2FD11FC58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474134</xdr:colOff>
      <xdr:row>30</xdr:row>
      <xdr:rowOff>135467</xdr:rowOff>
    </xdr:from>
    <xdr:to>
      <xdr:col>18</xdr:col>
      <xdr:colOff>778934</xdr:colOff>
      <xdr:row>41</xdr:row>
      <xdr:rowOff>135467</xdr:rowOff>
    </xdr:to>
    <xdr:graphicFrame macro="">
      <xdr:nvGraphicFramePr>
        <xdr:cNvPr id="95" name="Chart 94">
          <a:extLst>
            <a:ext uri="{FF2B5EF4-FFF2-40B4-BE49-F238E27FC236}">
              <a16:creationId xmlns:a16="http://schemas.microsoft.com/office/drawing/2014/main" id="{F0328003-D02F-A448-ACEE-5BB6A7BEC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19</xdr:col>
      <xdr:colOff>160977</xdr:colOff>
      <xdr:row>16</xdr:row>
      <xdr:rowOff>152140</xdr:rowOff>
    </xdr:from>
    <xdr:to>
      <xdr:col>21</xdr:col>
      <xdr:colOff>654034</xdr:colOff>
      <xdr:row>23</xdr:row>
      <xdr:rowOff>32611</xdr:rowOff>
    </xdr:to>
    <mc:AlternateContent xmlns:mc="http://schemas.openxmlformats.org/markup-compatibility/2006" xmlns:a14="http://schemas.microsoft.com/office/drawing/2010/main">
      <mc:Choice Requires="a14">
        <xdr:graphicFrame macro="">
          <xdr:nvGraphicFramePr>
            <xdr:cNvPr id="96" name="Department 1">
              <a:extLst>
                <a:ext uri="{FF2B5EF4-FFF2-40B4-BE49-F238E27FC236}">
                  <a16:creationId xmlns:a16="http://schemas.microsoft.com/office/drawing/2014/main" id="{F65F84DB-2612-1141-9E13-F228162D39F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845477" y="3454140"/>
              <a:ext cx="2144057" cy="1325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178184</xdr:colOff>
      <xdr:row>23</xdr:row>
      <xdr:rowOff>114395</xdr:rowOff>
    </xdr:from>
    <xdr:to>
      <xdr:col>21</xdr:col>
      <xdr:colOff>620569</xdr:colOff>
      <xdr:row>28</xdr:row>
      <xdr:rowOff>28863</xdr:rowOff>
    </xdr:to>
    <mc:AlternateContent xmlns:mc="http://schemas.openxmlformats.org/markup-compatibility/2006" xmlns:a14="http://schemas.microsoft.com/office/drawing/2010/main">
      <mc:Choice Requires="a14">
        <xdr:graphicFrame macro="">
          <xdr:nvGraphicFramePr>
            <xdr:cNvPr id="97" name="Gender 1">
              <a:extLst>
                <a:ext uri="{FF2B5EF4-FFF2-40B4-BE49-F238E27FC236}">
                  <a16:creationId xmlns:a16="http://schemas.microsoft.com/office/drawing/2014/main" id="{73FEB7B7-D21F-E944-9523-7D74396CD34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862684" y="4861020"/>
              <a:ext cx="2093385" cy="946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180142</xdr:colOff>
      <xdr:row>28</xdr:row>
      <xdr:rowOff>114170</xdr:rowOff>
    </xdr:from>
    <xdr:to>
      <xdr:col>21</xdr:col>
      <xdr:colOff>620569</xdr:colOff>
      <xdr:row>35</xdr:row>
      <xdr:rowOff>183446</xdr:rowOff>
    </xdr:to>
    <mc:AlternateContent xmlns:mc="http://schemas.openxmlformats.org/markup-compatibility/2006" xmlns:a14="http://schemas.microsoft.com/office/drawing/2010/main">
      <mc:Choice Requires="a14">
        <xdr:graphicFrame macro="">
          <xdr:nvGraphicFramePr>
            <xdr:cNvPr id="99" name="Job Role 1">
              <a:extLst>
                <a:ext uri="{FF2B5EF4-FFF2-40B4-BE49-F238E27FC236}">
                  <a16:creationId xmlns:a16="http://schemas.microsoft.com/office/drawing/2014/main" id="{B2ED056B-8522-ED44-890C-F45A89DA1907}"/>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15764100" y="5670420"/>
              <a:ext cx="2080844" cy="1458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189216</xdr:colOff>
      <xdr:row>36</xdr:row>
      <xdr:rowOff>28223</xdr:rowOff>
    </xdr:from>
    <xdr:to>
      <xdr:col>21</xdr:col>
      <xdr:colOff>629867</xdr:colOff>
      <xdr:row>45</xdr:row>
      <xdr:rowOff>98778</xdr:rowOff>
    </xdr:to>
    <mc:AlternateContent xmlns:mc="http://schemas.openxmlformats.org/markup-compatibility/2006" xmlns:a14="http://schemas.microsoft.com/office/drawing/2010/main">
      <mc:Choice Requires="a14">
        <xdr:graphicFrame macro="">
          <xdr:nvGraphicFramePr>
            <xdr:cNvPr id="100" name="Age Group 1">
              <a:extLst>
                <a:ext uri="{FF2B5EF4-FFF2-40B4-BE49-F238E27FC236}">
                  <a16:creationId xmlns:a16="http://schemas.microsoft.com/office/drawing/2014/main" id="{B90ADD9C-BEB2-5F40-A1AF-6A4FE6282246}"/>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5773174" y="7171973"/>
              <a:ext cx="2081068" cy="1856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268112</xdr:colOff>
      <xdr:row>16</xdr:row>
      <xdr:rowOff>70555</xdr:rowOff>
    </xdr:from>
    <xdr:to>
      <xdr:col>3</xdr:col>
      <xdr:colOff>296333</xdr:colOff>
      <xdr:row>18</xdr:row>
      <xdr:rowOff>42333</xdr:rowOff>
    </xdr:to>
    <xdr:sp macro="" textlink="">
      <xdr:nvSpPr>
        <xdr:cNvPr id="2" name="TextBox 1">
          <a:extLst>
            <a:ext uri="{FF2B5EF4-FFF2-40B4-BE49-F238E27FC236}">
              <a16:creationId xmlns:a16="http://schemas.microsoft.com/office/drawing/2014/main" id="{C184096D-CEC6-DE19-2D9B-4C16435AFF46}"/>
            </a:ext>
          </a:extLst>
        </xdr:cNvPr>
        <xdr:cNvSpPr txBox="1"/>
      </xdr:nvSpPr>
      <xdr:spPr>
        <a:xfrm>
          <a:off x="268112" y="3231444"/>
          <a:ext cx="2525888"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EMPLOYEES BY DEPARMENT</a:t>
          </a:r>
        </a:p>
      </xdr:txBody>
    </xdr:sp>
    <xdr:clientData/>
  </xdr:twoCellAnchor>
  <xdr:twoCellAnchor>
    <xdr:from>
      <xdr:col>4</xdr:col>
      <xdr:colOff>166513</xdr:colOff>
      <xdr:row>16</xdr:row>
      <xdr:rowOff>39510</xdr:rowOff>
    </xdr:from>
    <xdr:to>
      <xdr:col>7</xdr:col>
      <xdr:colOff>194734</xdr:colOff>
      <xdr:row>18</xdr:row>
      <xdr:rowOff>11288</xdr:rowOff>
    </xdr:to>
    <xdr:sp macro="" textlink="">
      <xdr:nvSpPr>
        <xdr:cNvPr id="7" name="TextBox 6">
          <a:extLst>
            <a:ext uri="{FF2B5EF4-FFF2-40B4-BE49-F238E27FC236}">
              <a16:creationId xmlns:a16="http://schemas.microsoft.com/office/drawing/2014/main" id="{A8467037-4929-4049-802B-553237B3540B}"/>
            </a:ext>
          </a:extLst>
        </xdr:cNvPr>
        <xdr:cNvSpPr txBox="1"/>
      </xdr:nvSpPr>
      <xdr:spPr>
        <a:xfrm>
          <a:off x="3496735" y="3200399"/>
          <a:ext cx="2525888"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GENDER</a:t>
          </a:r>
          <a:r>
            <a:rPr lang="en-US" sz="1400" b="1" baseline="0">
              <a:solidFill>
                <a:schemeClr val="accent6">
                  <a:lumMod val="75000"/>
                </a:schemeClr>
              </a:solidFill>
            </a:rPr>
            <a:t> DISTRIBUTION</a:t>
          </a:r>
          <a:endParaRPr lang="en-US" sz="1400" b="1">
            <a:solidFill>
              <a:schemeClr val="accent6">
                <a:lumMod val="75000"/>
              </a:schemeClr>
            </a:solidFill>
          </a:endParaRPr>
        </a:p>
      </xdr:txBody>
    </xdr:sp>
    <xdr:clientData/>
  </xdr:twoCellAnchor>
  <xdr:twoCellAnchor>
    <xdr:from>
      <xdr:col>6</xdr:col>
      <xdr:colOff>812802</xdr:colOff>
      <xdr:row>16</xdr:row>
      <xdr:rowOff>149577</xdr:rowOff>
    </xdr:from>
    <xdr:to>
      <xdr:col>9</xdr:col>
      <xdr:colOff>804333</xdr:colOff>
      <xdr:row>18</xdr:row>
      <xdr:rowOff>121355</xdr:rowOff>
    </xdr:to>
    <xdr:sp macro="" textlink="">
      <xdr:nvSpPr>
        <xdr:cNvPr id="8" name="TextBox 7">
          <a:extLst>
            <a:ext uri="{FF2B5EF4-FFF2-40B4-BE49-F238E27FC236}">
              <a16:creationId xmlns:a16="http://schemas.microsoft.com/office/drawing/2014/main" id="{B638E241-6C7C-1740-80FD-456F4C19756A}"/>
            </a:ext>
          </a:extLst>
        </xdr:cNvPr>
        <xdr:cNvSpPr txBox="1"/>
      </xdr:nvSpPr>
      <xdr:spPr>
        <a:xfrm>
          <a:off x="5808135" y="3310466"/>
          <a:ext cx="2489198"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JOB SATISFACTION (OUT OF 5)</a:t>
          </a:r>
        </a:p>
      </xdr:txBody>
    </xdr:sp>
    <xdr:clientData/>
  </xdr:twoCellAnchor>
  <xdr:twoCellAnchor>
    <xdr:from>
      <xdr:col>10</xdr:col>
      <xdr:colOff>668868</xdr:colOff>
      <xdr:row>16</xdr:row>
      <xdr:rowOff>62089</xdr:rowOff>
    </xdr:from>
    <xdr:to>
      <xdr:col>13</xdr:col>
      <xdr:colOff>697090</xdr:colOff>
      <xdr:row>18</xdr:row>
      <xdr:rowOff>33867</xdr:rowOff>
    </xdr:to>
    <xdr:sp macro="" textlink="">
      <xdr:nvSpPr>
        <xdr:cNvPr id="9" name="TextBox 8">
          <a:extLst>
            <a:ext uri="{FF2B5EF4-FFF2-40B4-BE49-F238E27FC236}">
              <a16:creationId xmlns:a16="http://schemas.microsoft.com/office/drawing/2014/main" id="{1D2A9D0E-BB26-144B-B5BE-9F7BAD470B40}"/>
            </a:ext>
          </a:extLst>
        </xdr:cNvPr>
        <xdr:cNvSpPr txBox="1"/>
      </xdr:nvSpPr>
      <xdr:spPr>
        <a:xfrm>
          <a:off x="8994424" y="3222978"/>
          <a:ext cx="2525888"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ATTRITION</a:t>
          </a:r>
          <a:r>
            <a:rPr lang="en-US" sz="1400" b="1" baseline="0">
              <a:solidFill>
                <a:schemeClr val="accent6">
                  <a:lumMod val="75000"/>
                </a:schemeClr>
              </a:solidFill>
            </a:rPr>
            <a:t> </a:t>
          </a:r>
          <a:r>
            <a:rPr lang="en-US" sz="1400" b="1">
              <a:solidFill>
                <a:schemeClr val="accent6">
                  <a:lumMod val="75000"/>
                </a:schemeClr>
              </a:solidFill>
            </a:rPr>
            <a:t> BY DEPARMENT</a:t>
          </a:r>
        </a:p>
      </xdr:txBody>
    </xdr:sp>
    <xdr:clientData/>
  </xdr:twoCellAnchor>
  <xdr:twoCellAnchor>
    <xdr:from>
      <xdr:col>15</xdr:col>
      <xdr:colOff>355602</xdr:colOff>
      <xdr:row>16</xdr:row>
      <xdr:rowOff>45155</xdr:rowOff>
    </xdr:from>
    <xdr:to>
      <xdr:col>18</xdr:col>
      <xdr:colOff>383823</xdr:colOff>
      <xdr:row>18</xdr:row>
      <xdr:rowOff>16933</xdr:rowOff>
    </xdr:to>
    <xdr:sp macro="" textlink="">
      <xdr:nvSpPr>
        <xdr:cNvPr id="10" name="TextBox 9">
          <a:extLst>
            <a:ext uri="{FF2B5EF4-FFF2-40B4-BE49-F238E27FC236}">
              <a16:creationId xmlns:a16="http://schemas.microsoft.com/office/drawing/2014/main" id="{ED9875DF-3793-A44E-8351-092640D89912}"/>
            </a:ext>
          </a:extLst>
        </xdr:cNvPr>
        <xdr:cNvSpPr txBox="1"/>
      </xdr:nvSpPr>
      <xdr:spPr>
        <a:xfrm>
          <a:off x="12843935" y="3206044"/>
          <a:ext cx="2525888"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ATTRITION</a:t>
          </a:r>
          <a:r>
            <a:rPr lang="en-US" sz="1400" b="1" baseline="0">
              <a:solidFill>
                <a:schemeClr val="accent6">
                  <a:lumMod val="75000"/>
                </a:schemeClr>
              </a:solidFill>
            </a:rPr>
            <a:t> BY AGE GROUP</a:t>
          </a:r>
          <a:endParaRPr lang="en-US" sz="1400" b="1">
            <a:solidFill>
              <a:schemeClr val="accent6">
                <a:lumMod val="75000"/>
              </a:schemeClr>
            </a:solidFill>
          </a:endParaRPr>
        </a:p>
      </xdr:txBody>
    </xdr:sp>
    <xdr:clientData/>
  </xdr:twoCellAnchor>
  <xdr:twoCellAnchor>
    <xdr:from>
      <xdr:col>2</xdr:col>
      <xdr:colOff>578558</xdr:colOff>
      <xdr:row>28</xdr:row>
      <xdr:rowOff>98777</xdr:rowOff>
    </xdr:from>
    <xdr:to>
      <xdr:col>5</xdr:col>
      <xdr:colOff>606779</xdr:colOff>
      <xdr:row>30</xdr:row>
      <xdr:rowOff>70555</xdr:rowOff>
    </xdr:to>
    <xdr:sp macro="" textlink="">
      <xdr:nvSpPr>
        <xdr:cNvPr id="11" name="TextBox 10">
          <a:extLst>
            <a:ext uri="{FF2B5EF4-FFF2-40B4-BE49-F238E27FC236}">
              <a16:creationId xmlns:a16="http://schemas.microsoft.com/office/drawing/2014/main" id="{97CC04DC-27D4-5E41-9267-D7515C51E3DC}"/>
            </a:ext>
          </a:extLst>
        </xdr:cNvPr>
        <xdr:cNvSpPr txBox="1"/>
      </xdr:nvSpPr>
      <xdr:spPr>
        <a:xfrm>
          <a:off x="2243669" y="5630333"/>
          <a:ext cx="2525888"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ATTRITIO</a:t>
          </a:r>
          <a:r>
            <a:rPr lang="en-US" sz="1400" b="1" baseline="0">
              <a:solidFill>
                <a:schemeClr val="accent6">
                  <a:lumMod val="75000"/>
                </a:schemeClr>
              </a:solidFill>
            </a:rPr>
            <a:t>N BY JOB ROLE</a:t>
          </a:r>
          <a:endParaRPr lang="en-US" sz="1400" b="1">
            <a:solidFill>
              <a:schemeClr val="accent6">
                <a:lumMod val="75000"/>
              </a:schemeClr>
            </a:solidFill>
          </a:endParaRPr>
        </a:p>
      </xdr:txBody>
    </xdr:sp>
    <xdr:clientData/>
  </xdr:twoCellAnchor>
  <xdr:twoCellAnchor>
    <xdr:from>
      <xdr:col>8</xdr:col>
      <xdr:colOff>589847</xdr:colOff>
      <xdr:row>28</xdr:row>
      <xdr:rowOff>67732</xdr:rowOff>
    </xdr:from>
    <xdr:to>
      <xdr:col>11</xdr:col>
      <xdr:colOff>618068</xdr:colOff>
      <xdr:row>30</xdr:row>
      <xdr:rowOff>190499</xdr:rowOff>
    </xdr:to>
    <xdr:sp macro="" textlink="">
      <xdr:nvSpPr>
        <xdr:cNvPr id="12" name="TextBox 11">
          <a:extLst>
            <a:ext uri="{FF2B5EF4-FFF2-40B4-BE49-F238E27FC236}">
              <a16:creationId xmlns:a16="http://schemas.microsoft.com/office/drawing/2014/main" id="{42B0CFCB-7A52-174B-9A52-8FF4B139090D}"/>
            </a:ext>
          </a:extLst>
        </xdr:cNvPr>
        <xdr:cNvSpPr txBox="1"/>
      </xdr:nvSpPr>
      <xdr:spPr>
        <a:xfrm>
          <a:off x="7193847" y="5757332"/>
          <a:ext cx="2504721"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AVERAGE MONTHLY INCOME BY DEPARTMENT</a:t>
          </a:r>
        </a:p>
      </xdr:txBody>
    </xdr:sp>
    <xdr:clientData/>
  </xdr:twoCellAnchor>
  <xdr:twoCellAnchor>
    <xdr:from>
      <xdr:col>12</xdr:col>
      <xdr:colOff>561624</xdr:colOff>
      <xdr:row>28</xdr:row>
      <xdr:rowOff>40922</xdr:rowOff>
    </xdr:from>
    <xdr:to>
      <xdr:col>14</xdr:col>
      <xdr:colOff>723900</xdr:colOff>
      <xdr:row>30</xdr:row>
      <xdr:rowOff>12700</xdr:rowOff>
    </xdr:to>
    <xdr:sp macro="" textlink="">
      <xdr:nvSpPr>
        <xdr:cNvPr id="13" name="TextBox 12">
          <a:extLst>
            <a:ext uri="{FF2B5EF4-FFF2-40B4-BE49-F238E27FC236}">
              <a16:creationId xmlns:a16="http://schemas.microsoft.com/office/drawing/2014/main" id="{7E0150C7-FFA8-C24C-8412-D7CD9D4777CF}"/>
            </a:ext>
          </a:extLst>
        </xdr:cNvPr>
        <xdr:cNvSpPr txBox="1"/>
      </xdr:nvSpPr>
      <xdr:spPr>
        <a:xfrm>
          <a:off x="10467624" y="5730522"/>
          <a:ext cx="1813276" cy="378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WORK</a:t>
          </a:r>
          <a:r>
            <a:rPr lang="en-US" sz="1400" b="1" baseline="0">
              <a:solidFill>
                <a:schemeClr val="accent6">
                  <a:lumMod val="75000"/>
                </a:schemeClr>
              </a:solidFill>
            </a:rPr>
            <a:t> LIFE BALANCE</a:t>
          </a:r>
        </a:p>
        <a:p>
          <a:endParaRPr lang="en-US" sz="1400" b="1">
            <a:solidFill>
              <a:schemeClr val="accent6">
                <a:lumMod val="75000"/>
              </a:schemeClr>
            </a:solidFill>
          </a:endParaRPr>
        </a:p>
      </xdr:txBody>
    </xdr:sp>
    <xdr:clientData/>
  </xdr:twoCellAnchor>
  <xdr:twoCellAnchor>
    <xdr:from>
      <xdr:col>15</xdr:col>
      <xdr:colOff>738013</xdr:colOff>
      <xdr:row>28</xdr:row>
      <xdr:rowOff>38100</xdr:rowOff>
    </xdr:from>
    <xdr:to>
      <xdr:col>18</xdr:col>
      <xdr:colOff>766234</xdr:colOff>
      <xdr:row>30</xdr:row>
      <xdr:rowOff>165100</xdr:rowOff>
    </xdr:to>
    <xdr:sp macro="" textlink="">
      <xdr:nvSpPr>
        <xdr:cNvPr id="15" name="TextBox 14">
          <a:extLst>
            <a:ext uri="{FF2B5EF4-FFF2-40B4-BE49-F238E27FC236}">
              <a16:creationId xmlns:a16="http://schemas.microsoft.com/office/drawing/2014/main" id="{C886F6D6-63A9-A549-93FD-C839A983F24C}"/>
            </a:ext>
          </a:extLst>
        </xdr:cNvPr>
        <xdr:cNvSpPr txBox="1"/>
      </xdr:nvSpPr>
      <xdr:spPr>
        <a:xfrm>
          <a:off x="13120513" y="5727700"/>
          <a:ext cx="2504721"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AVERAGE YEARTS AT</a:t>
          </a:r>
          <a:r>
            <a:rPr lang="en-US" sz="1400" b="1" baseline="0">
              <a:solidFill>
                <a:schemeClr val="accent6">
                  <a:lumMod val="75000"/>
                </a:schemeClr>
              </a:solidFill>
            </a:rPr>
            <a:t> COMPANY</a:t>
          </a:r>
          <a:endParaRPr lang="en-US" sz="1400" b="1">
            <a:solidFill>
              <a:schemeClr val="accent6">
                <a:lumMod val="75000"/>
              </a:schemeClr>
            </a:solidFill>
          </a:endParaRPr>
        </a:p>
      </xdr:txBody>
    </xdr:sp>
    <xdr:clientData/>
  </xdr:twoCellAnchor>
  <xdr:twoCellAnchor>
    <xdr:from>
      <xdr:col>8</xdr:col>
      <xdr:colOff>389041</xdr:colOff>
      <xdr:row>30</xdr:row>
      <xdr:rowOff>161803</xdr:rowOff>
    </xdr:from>
    <xdr:to>
      <xdr:col>11</xdr:col>
      <xdr:colOff>725667</xdr:colOff>
      <xdr:row>41</xdr:row>
      <xdr:rowOff>85298</xdr:rowOff>
    </xdr:to>
    <xdr:graphicFrame macro="">
      <xdr:nvGraphicFramePr>
        <xdr:cNvPr id="16" name="Chart 15">
          <a:extLst>
            <a:ext uri="{FF2B5EF4-FFF2-40B4-BE49-F238E27FC236}">
              <a16:creationId xmlns:a16="http://schemas.microsoft.com/office/drawing/2014/main" id="{C65CA09D-C272-0649-9948-8D9BF3CBB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5</xdr:col>
      <xdr:colOff>742023</xdr:colOff>
      <xdr:row>1</xdr:row>
      <xdr:rowOff>99887</xdr:rowOff>
    </xdr:from>
    <xdr:to>
      <xdr:col>7</xdr:col>
      <xdr:colOff>28539</xdr:colOff>
      <xdr:row>6</xdr:row>
      <xdr:rowOff>42807</xdr:rowOff>
    </xdr:to>
    <xdr:pic>
      <xdr:nvPicPr>
        <xdr:cNvPr id="17" name="Picture 16">
          <a:extLst>
            <a:ext uri="{FF2B5EF4-FFF2-40B4-BE49-F238E27FC236}">
              <a16:creationId xmlns:a16="http://schemas.microsoft.com/office/drawing/2014/main" id="{4A579E24-127D-EDE4-CCEF-A3CC74994646}"/>
            </a:ext>
          </a:extLst>
        </xdr:cNvPr>
        <xdr:cNvPicPr>
          <a:picLocks noChangeAspect="1"/>
        </xdr:cNvPicPr>
      </xdr:nvPicPr>
      <xdr:blipFill>
        <a:blip xmlns:r="http://schemas.openxmlformats.org/officeDocument/2006/relationships" r:embed="rId20"/>
        <a:stretch>
          <a:fillRect/>
        </a:stretch>
      </xdr:blipFill>
      <xdr:spPr>
        <a:xfrm>
          <a:off x="4880225" y="299662"/>
          <a:ext cx="941797" cy="941797"/>
        </a:xfrm>
        <a:prstGeom prst="rect">
          <a:avLst/>
        </a:prstGeom>
      </xdr:spPr>
    </xdr:pic>
    <xdr:clientData/>
  </xdr:twoCellAnchor>
  <xdr:twoCellAnchor editAs="oneCell">
    <xdr:from>
      <xdr:col>19</xdr:col>
      <xdr:colOff>271123</xdr:colOff>
      <xdr:row>1</xdr:row>
      <xdr:rowOff>128427</xdr:rowOff>
    </xdr:from>
    <xdr:to>
      <xdr:col>20</xdr:col>
      <xdr:colOff>642134</xdr:colOff>
      <xdr:row>6</xdr:row>
      <xdr:rowOff>28537</xdr:rowOff>
    </xdr:to>
    <xdr:pic>
      <xdr:nvPicPr>
        <xdr:cNvPr id="18" name="Picture 17">
          <a:extLst>
            <a:ext uri="{FF2B5EF4-FFF2-40B4-BE49-F238E27FC236}">
              <a16:creationId xmlns:a16="http://schemas.microsoft.com/office/drawing/2014/main" id="{DE1161A4-DF14-DD12-185E-D197322A0DDE}"/>
            </a:ext>
          </a:extLst>
        </xdr:cNvPr>
        <xdr:cNvPicPr>
          <a:picLocks noChangeAspect="1"/>
        </xdr:cNvPicPr>
      </xdr:nvPicPr>
      <xdr:blipFill>
        <a:blip xmlns:r="http://schemas.openxmlformats.org/officeDocument/2006/relationships" r:embed="rId21"/>
        <a:stretch>
          <a:fillRect/>
        </a:stretch>
      </xdr:blipFill>
      <xdr:spPr>
        <a:xfrm>
          <a:off x="15996292" y="328202"/>
          <a:ext cx="1198651" cy="898987"/>
        </a:xfrm>
        <a:prstGeom prst="rect">
          <a:avLst/>
        </a:prstGeom>
      </xdr:spPr>
    </xdr:pic>
    <xdr:clientData/>
  </xdr:twoCellAnchor>
  <xdr:twoCellAnchor editAs="oneCell">
    <xdr:from>
      <xdr:col>3</xdr:col>
      <xdr:colOff>485170</xdr:colOff>
      <xdr:row>22</xdr:row>
      <xdr:rowOff>99888</xdr:rowOff>
    </xdr:from>
    <xdr:to>
      <xdr:col>4</xdr:col>
      <xdr:colOff>271124</xdr:colOff>
      <xdr:row>25</xdr:row>
      <xdr:rowOff>114157</xdr:rowOff>
    </xdr:to>
    <xdr:pic>
      <xdr:nvPicPr>
        <xdr:cNvPr id="19" name="Picture 18">
          <a:extLst>
            <a:ext uri="{FF2B5EF4-FFF2-40B4-BE49-F238E27FC236}">
              <a16:creationId xmlns:a16="http://schemas.microsoft.com/office/drawing/2014/main" id="{485AC7C1-B013-5922-AEAA-89E6609ECDB1}"/>
            </a:ext>
          </a:extLst>
        </xdr:cNvPr>
        <xdr:cNvPicPr>
          <a:picLocks noChangeAspect="1"/>
        </xdr:cNvPicPr>
      </xdr:nvPicPr>
      <xdr:blipFill>
        <a:blip xmlns:r="http://schemas.openxmlformats.org/officeDocument/2006/relationships" r:embed="rId22"/>
        <a:stretch>
          <a:fillRect/>
        </a:stretch>
      </xdr:blipFill>
      <xdr:spPr>
        <a:xfrm>
          <a:off x="2968091" y="4494944"/>
          <a:ext cx="613595" cy="613595"/>
        </a:xfrm>
        <a:prstGeom prst="rect">
          <a:avLst/>
        </a:prstGeom>
      </xdr:spPr>
    </xdr:pic>
    <xdr:clientData/>
  </xdr:twoCellAnchor>
  <xdr:twoCellAnchor editAs="oneCell">
    <xdr:from>
      <xdr:col>6</xdr:col>
      <xdr:colOff>88864</xdr:colOff>
      <xdr:row>22</xdr:row>
      <xdr:rowOff>74897</xdr:rowOff>
    </xdr:from>
    <xdr:to>
      <xdr:col>6</xdr:col>
      <xdr:colOff>742023</xdr:colOff>
      <xdr:row>25</xdr:row>
      <xdr:rowOff>128730</xdr:rowOff>
    </xdr:to>
    <xdr:pic>
      <xdr:nvPicPr>
        <xdr:cNvPr id="20" name="Picture 19">
          <a:extLst>
            <a:ext uri="{FF2B5EF4-FFF2-40B4-BE49-F238E27FC236}">
              <a16:creationId xmlns:a16="http://schemas.microsoft.com/office/drawing/2014/main" id="{DB798921-29B8-979A-AB13-C28A48554579}"/>
            </a:ext>
          </a:extLst>
        </xdr:cNvPr>
        <xdr:cNvPicPr>
          <a:picLocks noChangeAspect="1"/>
        </xdr:cNvPicPr>
      </xdr:nvPicPr>
      <xdr:blipFill>
        <a:blip xmlns:r="http://schemas.openxmlformats.org/officeDocument/2006/relationships" r:embed="rId23"/>
        <a:stretch>
          <a:fillRect/>
        </a:stretch>
      </xdr:blipFill>
      <xdr:spPr>
        <a:xfrm>
          <a:off x="5054707" y="4469953"/>
          <a:ext cx="653159" cy="653159"/>
        </a:xfrm>
        <a:prstGeom prst="rect">
          <a:avLst/>
        </a:prstGeom>
      </xdr:spPr>
    </xdr:pic>
    <xdr:clientData/>
  </xdr:twoCellAnchor>
  <xdr:twoCellAnchor>
    <xdr:from>
      <xdr:col>0</xdr:col>
      <xdr:colOff>74386</xdr:colOff>
      <xdr:row>42</xdr:row>
      <xdr:rowOff>165099</xdr:rowOff>
    </xdr:from>
    <xdr:to>
      <xdr:col>9</xdr:col>
      <xdr:colOff>529166</xdr:colOff>
      <xdr:row>48</xdr:row>
      <xdr:rowOff>15118</xdr:rowOff>
    </xdr:to>
    <xdr:sp macro="" textlink="">
      <xdr:nvSpPr>
        <xdr:cNvPr id="21" name="Rounded Rectangle 20">
          <a:extLst>
            <a:ext uri="{FF2B5EF4-FFF2-40B4-BE49-F238E27FC236}">
              <a16:creationId xmlns:a16="http://schemas.microsoft.com/office/drawing/2014/main" id="{EB7349E3-09DF-AB3F-3280-48993E551749}"/>
            </a:ext>
          </a:extLst>
        </xdr:cNvPr>
        <xdr:cNvSpPr/>
      </xdr:nvSpPr>
      <xdr:spPr>
        <a:xfrm>
          <a:off x="74386" y="8420099"/>
          <a:ext cx="7938709" cy="102930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Key</a:t>
          </a:r>
          <a:r>
            <a:rPr lang="en-US" sz="2000" baseline="0"/>
            <a:t> Insights</a:t>
          </a:r>
          <a:endParaRPr lang="en-US" sz="2000"/>
        </a:p>
      </xdr:txBody>
    </xdr:sp>
    <xdr:clientData/>
  </xdr:twoCellAnchor>
  <xdr:twoCellAnchor>
    <xdr:from>
      <xdr:col>9</xdr:col>
      <xdr:colOff>643466</xdr:colOff>
      <xdr:row>42</xdr:row>
      <xdr:rowOff>135466</xdr:rowOff>
    </xdr:from>
    <xdr:to>
      <xdr:col>19</xdr:col>
      <xdr:colOff>8466</xdr:colOff>
      <xdr:row>48</xdr:row>
      <xdr:rowOff>28423</xdr:rowOff>
    </xdr:to>
    <xdr:sp macro="" textlink="">
      <xdr:nvSpPr>
        <xdr:cNvPr id="22" name="Rounded Rectangle 21">
          <a:extLst>
            <a:ext uri="{FF2B5EF4-FFF2-40B4-BE49-F238E27FC236}">
              <a16:creationId xmlns:a16="http://schemas.microsoft.com/office/drawing/2014/main" id="{3CE5B262-9AD7-5B4B-A4CF-C5790B9ED2F0}"/>
            </a:ext>
          </a:extLst>
        </xdr:cNvPr>
        <xdr:cNvSpPr/>
      </xdr:nvSpPr>
      <xdr:spPr>
        <a:xfrm>
          <a:off x="8111066" y="8669866"/>
          <a:ext cx="7662333" cy="1112157"/>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Recommendations</a:t>
          </a:r>
        </a:p>
      </xdr:txBody>
    </xdr:sp>
    <xdr:clientData/>
  </xdr:twoCellAnchor>
  <xdr:twoCellAnchor>
    <xdr:from>
      <xdr:col>0</xdr:col>
      <xdr:colOff>682388</xdr:colOff>
      <xdr:row>44</xdr:row>
      <xdr:rowOff>168575</xdr:rowOff>
    </xdr:from>
    <xdr:to>
      <xdr:col>9</xdr:col>
      <xdr:colOff>379104</xdr:colOff>
      <xdr:row>47</xdr:row>
      <xdr:rowOff>170597</xdr:rowOff>
    </xdr:to>
    <xdr:sp macro="" textlink="">
      <xdr:nvSpPr>
        <xdr:cNvPr id="23" name="TextBox 22">
          <a:extLst>
            <a:ext uri="{FF2B5EF4-FFF2-40B4-BE49-F238E27FC236}">
              <a16:creationId xmlns:a16="http://schemas.microsoft.com/office/drawing/2014/main" id="{C1EC88D3-225E-41E7-AE12-2C2DC830085F}"/>
            </a:ext>
          </a:extLst>
        </xdr:cNvPr>
        <xdr:cNvSpPr txBox="1"/>
      </xdr:nvSpPr>
      <xdr:spPr>
        <a:xfrm>
          <a:off x="682388" y="9342903"/>
          <a:ext cx="7202985" cy="6275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 Sales has the highest attrition.      • Under 25 attrition is highest.                </a:t>
          </a:r>
        </a:p>
        <a:p>
          <a:r>
            <a:rPr lang="en-US" sz="1600"/>
            <a:t>• R&amp;D has the most employees.      • Sales Representatives are at highest</a:t>
          </a:r>
          <a:r>
            <a:rPr lang="en-US" sz="1600" baseline="0"/>
            <a:t> </a:t>
          </a:r>
          <a:r>
            <a:rPr lang="en-US" sz="1600"/>
            <a:t>risk</a:t>
          </a:r>
          <a:endParaRPr lang="en-US" sz="1600" b="1"/>
        </a:p>
      </xdr:txBody>
    </xdr:sp>
    <xdr:clientData/>
  </xdr:twoCellAnchor>
  <xdr:twoCellAnchor>
    <xdr:from>
      <xdr:col>10</xdr:col>
      <xdr:colOff>246417</xdr:colOff>
      <xdr:row>44</xdr:row>
      <xdr:rowOff>132687</xdr:rowOff>
    </xdr:from>
    <xdr:to>
      <xdr:col>18</xdr:col>
      <xdr:colOff>682388</xdr:colOff>
      <xdr:row>47</xdr:row>
      <xdr:rowOff>151642</xdr:rowOff>
    </xdr:to>
    <xdr:sp macro="" textlink="">
      <xdr:nvSpPr>
        <xdr:cNvPr id="24" name="TextBox 23">
          <a:extLst>
            <a:ext uri="{FF2B5EF4-FFF2-40B4-BE49-F238E27FC236}">
              <a16:creationId xmlns:a16="http://schemas.microsoft.com/office/drawing/2014/main" id="{72738AC2-B3A9-9E4D-42C3-E2635508E9C3}"/>
            </a:ext>
          </a:extLst>
        </xdr:cNvPr>
        <xdr:cNvSpPr txBox="1"/>
      </xdr:nvSpPr>
      <xdr:spPr>
        <a:xfrm>
          <a:off x="8586716" y="9307015"/>
          <a:ext cx="7108209" cy="644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 Focus on Sales retention.                                     • Improve employee engagement.</a:t>
          </a:r>
        </a:p>
        <a:p>
          <a:r>
            <a:rPr lang="en-US" sz="1600"/>
            <a:t>• Increase career growth opportunities.             • Enhance work-life balance.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 Shaikh" refreshedDate="46211.755523032407" createdVersion="8" refreshedVersion="8" minRefreshableVersion="3" recordCount="1470" xr:uid="{DB7EB372-C608-484B-950C-0C97FEB6BC73}">
  <cacheSource type="worksheet">
    <worksheetSource name="HR_data"/>
  </cacheSource>
  <cacheFields count="25">
    <cacheField name="Employee Number" numFmtId="0">
      <sharedItems containsSemiMixedTypes="0" containsString="0" containsNumber="1" containsInteger="1" minValue="1" maxValue="1470"/>
    </cacheField>
    <cacheField name="Attrition" numFmtId="0">
      <sharedItems count="2">
        <s v="Yes"/>
        <s v="No"/>
      </sharedItems>
    </cacheField>
    <cacheField name="Business Travel" numFmtId="0">
      <sharedItems count="3">
        <s v="Travel_Rarely"/>
        <s v="Travel_Frequently"/>
        <s v="Non-Travel"/>
      </sharedItems>
    </cacheField>
    <cacheField name="Age Group" numFmtId="0">
      <sharedItems count="5">
        <s v="35 - 44"/>
        <s v="45 - 54"/>
        <s v="25 - 34"/>
        <s v="Over 55"/>
        <s v="Under 25"/>
      </sharedItems>
    </cacheField>
    <cacheField name="Department" numFmtId="0">
      <sharedItems count="3">
        <s v="Sales"/>
        <s v="R&amp;D"/>
        <s v="HR"/>
      </sharedItems>
    </cacheField>
    <cacheField name="Education Field" numFmtId="0">
      <sharedItems/>
    </cacheField>
    <cacheField name="Employee Count" numFmtId="0">
      <sharedItems containsSemiMixedTypes="0" containsString="0" containsNumber="1" containsInteger="1" minValue="1" maxValue="1"/>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Distance From Home" numFmtId="0">
      <sharedItems containsSemiMixedTypes="0" containsString="0" containsNumber="1" containsInteger="1" minValue="1" maxValue="29"/>
    </cacheField>
    <cacheField name="Education" numFmtId="0">
      <sharedItems/>
    </cacheField>
    <cacheField name="Environment Satisfaction"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ount="4">
        <n v="1"/>
        <n v="3"/>
        <n v="2"/>
        <n v="4"/>
      </sharedItems>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Attrition2"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473926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x v="0"/>
    <x v="0"/>
    <x v="0"/>
    <x v="0"/>
    <s v="Life Sciences"/>
    <n v="1"/>
    <x v="0"/>
    <x v="0"/>
    <s v="Single"/>
    <s v="Yes"/>
    <x v="0"/>
    <n v="1"/>
    <s v="Associates Degree"/>
    <n v="2"/>
    <n v="2"/>
    <x v="0"/>
    <n v="5993"/>
    <n v="8"/>
    <x v="0"/>
    <x v="0"/>
    <n v="4"/>
    <n v="0"/>
    <n v="5"/>
    <n v="1"/>
  </r>
  <r>
    <n v="2"/>
    <x v="1"/>
    <x v="1"/>
    <x v="1"/>
    <x v="1"/>
    <s v="Life Sciences"/>
    <n v="1"/>
    <x v="1"/>
    <x v="1"/>
    <s v="Married"/>
    <s v="No"/>
    <x v="1"/>
    <n v="8"/>
    <s v="High School"/>
    <n v="3"/>
    <n v="2"/>
    <x v="1"/>
    <n v="5130"/>
    <n v="10"/>
    <x v="1"/>
    <x v="1"/>
    <n v="7"/>
    <n v="1"/>
    <n v="7"/>
    <n v="0"/>
  </r>
  <r>
    <n v="3"/>
    <x v="0"/>
    <x v="0"/>
    <x v="0"/>
    <x v="1"/>
    <s v="Other"/>
    <n v="1"/>
    <x v="1"/>
    <x v="2"/>
    <s v="Single"/>
    <s v="Yes"/>
    <x v="2"/>
    <n v="2"/>
    <s v="Associates Degree"/>
    <n v="4"/>
    <n v="1"/>
    <x v="2"/>
    <n v="2090"/>
    <n v="7"/>
    <x v="1"/>
    <x v="2"/>
    <n v="0"/>
    <n v="0"/>
    <n v="0"/>
    <n v="1"/>
  </r>
  <r>
    <n v="4"/>
    <x v="1"/>
    <x v="1"/>
    <x v="2"/>
    <x v="1"/>
    <s v="Life Sciences"/>
    <n v="1"/>
    <x v="0"/>
    <x v="1"/>
    <s v="Married"/>
    <s v="Yes"/>
    <x v="3"/>
    <n v="3"/>
    <s v="Master's Degree"/>
    <n v="4"/>
    <n v="1"/>
    <x v="2"/>
    <n v="2909"/>
    <n v="8"/>
    <x v="1"/>
    <x v="3"/>
    <n v="7"/>
    <n v="3"/>
    <n v="0"/>
    <n v="0"/>
  </r>
  <r>
    <n v="5"/>
    <x v="1"/>
    <x v="0"/>
    <x v="2"/>
    <x v="1"/>
    <s v="Medical"/>
    <n v="1"/>
    <x v="1"/>
    <x v="2"/>
    <s v="Married"/>
    <s v="No"/>
    <x v="4"/>
    <n v="2"/>
    <s v="High School"/>
    <n v="1"/>
    <n v="1"/>
    <x v="1"/>
    <n v="3468"/>
    <n v="6"/>
    <x v="1"/>
    <x v="4"/>
    <n v="2"/>
    <n v="2"/>
    <n v="2"/>
    <n v="0"/>
  </r>
  <r>
    <n v="6"/>
    <x v="1"/>
    <x v="1"/>
    <x v="2"/>
    <x v="1"/>
    <s v="Life Sciences"/>
    <n v="1"/>
    <x v="1"/>
    <x v="2"/>
    <s v="Single"/>
    <s v="No"/>
    <x v="5"/>
    <n v="2"/>
    <s v="Associates Degree"/>
    <n v="4"/>
    <n v="1"/>
    <x v="0"/>
    <n v="3068"/>
    <n v="8"/>
    <x v="2"/>
    <x v="5"/>
    <n v="7"/>
    <n v="3"/>
    <n v="6"/>
    <n v="0"/>
  </r>
  <r>
    <n v="7"/>
    <x v="1"/>
    <x v="0"/>
    <x v="3"/>
    <x v="1"/>
    <s v="Medical"/>
    <n v="1"/>
    <x v="0"/>
    <x v="2"/>
    <s v="Married"/>
    <s v="Yes"/>
    <x v="6"/>
    <n v="3"/>
    <s v="Bachelor's Degree"/>
    <n v="3"/>
    <n v="1"/>
    <x v="3"/>
    <n v="2670"/>
    <n v="12"/>
    <x v="2"/>
    <x v="6"/>
    <n v="0"/>
    <n v="0"/>
    <n v="0"/>
    <n v="0"/>
  </r>
  <r>
    <n v="8"/>
    <x v="1"/>
    <x v="0"/>
    <x v="2"/>
    <x v="1"/>
    <s v="Life Sciences"/>
    <n v="1"/>
    <x v="1"/>
    <x v="2"/>
    <s v="Divorced"/>
    <s v="No"/>
    <x v="7"/>
    <n v="24"/>
    <s v="High School"/>
    <n v="4"/>
    <n v="1"/>
    <x v="2"/>
    <n v="2693"/>
    <n v="1"/>
    <x v="1"/>
    <x v="6"/>
    <n v="0"/>
    <n v="0"/>
    <n v="0"/>
    <n v="0"/>
  </r>
  <r>
    <n v="9"/>
    <x v="1"/>
    <x v="1"/>
    <x v="0"/>
    <x v="1"/>
    <s v="Life Sciences"/>
    <n v="1"/>
    <x v="1"/>
    <x v="3"/>
    <s v="Single"/>
    <s v="No"/>
    <x v="8"/>
    <n v="23"/>
    <s v="Bachelor's Degree"/>
    <n v="4"/>
    <n v="3"/>
    <x v="2"/>
    <n v="9526"/>
    <n v="10"/>
    <x v="1"/>
    <x v="7"/>
    <n v="7"/>
    <n v="1"/>
    <n v="8"/>
    <n v="0"/>
  </r>
  <r>
    <n v="10"/>
    <x v="1"/>
    <x v="0"/>
    <x v="0"/>
    <x v="1"/>
    <s v="Medical"/>
    <n v="1"/>
    <x v="1"/>
    <x v="4"/>
    <s v="Married"/>
    <s v="No"/>
    <x v="9"/>
    <n v="27"/>
    <s v="Bachelor's Degree"/>
    <n v="3"/>
    <n v="2"/>
    <x v="2"/>
    <n v="5237"/>
    <n v="17"/>
    <x v="2"/>
    <x v="5"/>
    <n v="7"/>
    <n v="7"/>
    <n v="7"/>
    <n v="0"/>
  </r>
  <r>
    <n v="11"/>
    <x v="1"/>
    <x v="0"/>
    <x v="0"/>
    <x v="1"/>
    <s v="Medical"/>
    <n v="1"/>
    <x v="1"/>
    <x v="2"/>
    <s v="Married"/>
    <s v="No"/>
    <x v="10"/>
    <n v="16"/>
    <s v="Bachelor's Degree"/>
    <n v="1"/>
    <n v="1"/>
    <x v="1"/>
    <n v="2426"/>
    <n v="6"/>
    <x v="1"/>
    <x v="8"/>
    <n v="4"/>
    <n v="0"/>
    <n v="3"/>
    <n v="0"/>
  </r>
  <r>
    <n v="12"/>
    <x v="1"/>
    <x v="0"/>
    <x v="2"/>
    <x v="1"/>
    <s v="Life Sciences"/>
    <n v="1"/>
    <x v="0"/>
    <x v="2"/>
    <s v="Single"/>
    <s v="Yes"/>
    <x v="11"/>
    <n v="15"/>
    <s v="Associates Degree"/>
    <n v="4"/>
    <n v="2"/>
    <x v="2"/>
    <n v="4193"/>
    <n v="10"/>
    <x v="1"/>
    <x v="7"/>
    <n v="5"/>
    <n v="0"/>
    <n v="8"/>
    <n v="0"/>
  </r>
  <r>
    <n v="13"/>
    <x v="1"/>
    <x v="0"/>
    <x v="2"/>
    <x v="1"/>
    <s v="Life Sciences"/>
    <n v="1"/>
    <x v="1"/>
    <x v="1"/>
    <s v="Divorced"/>
    <s v="No"/>
    <x v="12"/>
    <n v="26"/>
    <s v="High School"/>
    <n v="1"/>
    <n v="1"/>
    <x v="2"/>
    <n v="2911"/>
    <n v="5"/>
    <x v="2"/>
    <x v="8"/>
    <n v="2"/>
    <n v="4"/>
    <n v="3"/>
    <n v="0"/>
  </r>
  <r>
    <n v="14"/>
    <x v="1"/>
    <x v="0"/>
    <x v="2"/>
    <x v="1"/>
    <s v="Medical"/>
    <n v="1"/>
    <x v="1"/>
    <x v="2"/>
    <s v="Divorced"/>
    <s v="No"/>
    <x v="13"/>
    <n v="19"/>
    <s v="Associates Degree"/>
    <n v="2"/>
    <n v="1"/>
    <x v="0"/>
    <n v="2661"/>
    <n v="3"/>
    <x v="1"/>
    <x v="4"/>
    <n v="2"/>
    <n v="1"/>
    <n v="2"/>
    <n v="0"/>
  </r>
  <r>
    <n v="15"/>
    <x v="0"/>
    <x v="0"/>
    <x v="2"/>
    <x v="1"/>
    <s v="Life Sciences"/>
    <n v="1"/>
    <x v="1"/>
    <x v="2"/>
    <s v="Single"/>
    <s v="Yes"/>
    <x v="14"/>
    <n v="24"/>
    <s v="Bachelor's Degree"/>
    <n v="3"/>
    <n v="1"/>
    <x v="2"/>
    <n v="2028"/>
    <n v="6"/>
    <x v="1"/>
    <x v="9"/>
    <n v="2"/>
    <n v="0"/>
    <n v="3"/>
    <n v="1"/>
  </r>
  <r>
    <n v="16"/>
    <x v="1"/>
    <x v="0"/>
    <x v="2"/>
    <x v="1"/>
    <s v="Life Sciences"/>
    <n v="1"/>
    <x v="0"/>
    <x v="3"/>
    <s v="Divorced"/>
    <s v="No"/>
    <x v="11"/>
    <n v="21"/>
    <s v="Master's Degree"/>
    <n v="2"/>
    <n v="3"/>
    <x v="3"/>
    <n v="9980"/>
    <n v="10"/>
    <x v="1"/>
    <x v="1"/>
    <n v="9"/>
    <n v="8"/>
    <n v="8"/>
    <n v="0"/>
  </r>
  <r>
    <n v="17"/>
    <x v="1"/>
    <x v="0"/>
    <x v="2"/>
    <x v="1"/>
    <s v="Life Sciences"/>
    <n v="1"/>
    <x v="1"/>
    <x v="1"/>
    <s v="Divorced"/>
    <s v="Yes"/>
    <x v="5"/>
    <n v="5"/>
    <s v="Associates Degree"/>
    <n v="1"/>
    <n v="1"/>
    <x v="1"/>
    <n v="3298"/>
    <n v="7"/>
    <x v="2"/>
    <x v="0"/>
    <n v="2"/>
    <n v="0"/>
    <n v="5"/>
    <n v="0"/>
  </r>
  <r>
    <n v="18"/>
    <x v="1"/>
    <x v="2"/>
    <x v="4"/>
    <x v="1"/>
    <s v="Medical"/>
    <n v="1"/>
    <x v="1"/>
    <x v="2"/>
    <s v="Divorced"/>
    <s v="Yes"/>
    <x v="15"/>
    <n v="16"/>
    <s v="Associates Degree"/>
    <n v="4"/>
    <n v="1"/>
    <x v="0"/>
    <n v="2935"/>
    <n v="1"/>
    <x v="2"/>
    <x v="6"/>
    <n v="0"/>
    <n v="0"/>
    <n v="0"/>
    <n v="0"/>
  </r>
  <r>
    <n v="19"/>
    <x v="1"/>
    <x v="0"/>
    <x v="1"/>
    <x v="0"/>
    <s v="Life Sciences"/>
    <n v="1"/>
    <x v="0"/>
    <x v="5"/>
    <s v="Married"/>
    <s v="No"/>
    <x v="16"/>
    <n v="2"/>
    <s v="Master's Degree"/>
    <n v="1"/>
    <n v="4"/>
    <x v="0"/>
    <n v="15427"/>
    <n v="31"/>
    <x v="1"/>
    <x v="10"/>
    <n v="8"/>
    <n v="3"/>
    <n v="7"/>
    <n v="0"/>
  </r>
  <r>
    <n v="20"/>
    <x v="1"/>
    <x v="0"/>
    <x v="0"/>
    <x v="1"/>
    <s v="Life Sciences"/>
    <n v="1"/>
    <x v="1"/>
    <x v="1"/>
    <s v="Single"/>
    <s v="Yes"/>
    <x v="8"/>
    <n v="2"/>
    <s v="Bachelor's Degree"/>
    <n v="4"/>
    <n v="1"/>
    <x v="0"/>
    <n v="3944"/>
    <n v="6"/>
    <x v="1"/>
    <x v="11"/>
    <n v="2"/>
    <n v="1"/>
    <n v="2"/>
    <n v="0"/>
  </r>
  <r>
    <n v="21"/>
    <x v="1"/>
    <x v="2"/>
    <x v="4"/>
    <x v="1"/>
    <s v="Other"/>
    <n v="1"/>
    <x v="0"/>
    <x v="3"/>
    <s v="Divorced"/>
    <s v="No"/>
    <x v="17"/>
    <n v="11"/>
    <s v="Associates Degree"/>
    <n v="1"/>
    <n v="2"/>
    <x v="2"/>
    <n v="4011"/>
    <n v="5"/>
    <x v="2"/>
    <x v="9"/>
    <n v="2"/>
    <n v="1"/>
    <n v="3"/>
    <n v="0"/>
  </r>
  <r>
    <n v="22"/>
    <x v="0"/>
    <x v="0"/>
    <x v="0"/>
    <x v="0"/>
    <s v="Life Sciences"/>
    <n v="1"/>
    <x v="1"/>
    <x v="6"/>
    <s v="Single"/>
    <s v="No"/>
    <x v="9"/>
    <n v="9"/>
    <s v="Master's Degree"/>
    <n v="3"/>
    <n v="1"/>
    <x v="3"/>
    <n v="3407"/>
    <n v="10"/>
    <x v="1"/>
    <x v="8"/>
    <n v="3"/>
    <n v="0"/>
    <n v="3"/>
    <n v="1"/>
  </r>
  <r>
    <n v="23"/>
    <x v="1"/>
    <x v="0"/>
    <x v="2"/>
    <x v="1"/>
    <s v="Life Sciences"/>
    <n v="1"/>
    <x v="0"/>
    <x v="7"/>
    <s v="Single"/>
    <s v="No"/>
    <x v="13"/>
    <n v="7"/>
    <s v="Master's Degree"/>
    <n v="1"/>
    <n v="3"/>
    <x v="1"/>
    <n v="11994"/>
    <n v="13"/>
    <x v="1"/>
    <x v="12"/>
    <n v="6"/>
    <n v="2"/>
    <n v="11"/>
    <n v="0"/>
  </r>
  <r>
    <n v="24"/>
    <x v="1"/>
    <x v="0"/>
    <x v="4"/>
    <x v="1"/>
    <s v="Life Sciences"/>
    <n v="1"/>
    <x v="1"/>
    <x v="1"/>
    <s v="Single"/>
    <s v="No"/>
    <x v="18"/>
    <n v="15"/>
    <s v="Associates Degree"/>
    <n v="3"/>
    <n v="1"/>
    <x v="0"/>
    <n v="1232"/>
    <n v="0"/>
    <x v="1"/>
    <x v="2"/>
    <n v="0"/>
    <n v="0"/>
    <n v="0"/>
    <n v="0"/>
  </r>
  <r>
    <n v="25"/>
    <x v="0"/>
    <x v="0"/>
    <x v="2"/>
    <x v="1"/>
    <s v="Medical"/>
    <n v="1"/>
    <x v="1"/>
    <x v="1"/>
    <s v="Single"/>
    <s v="No"/>
    <x v="13"/>
    <n v="6"/>
    <s v="High School"/>
    <n v="2"/>
    <n v="1"/>
    <x v="3"/>
    <n v="2960"/>
    <n v="8"/>
    <x v="1"/>
    <x v="9"/>
    <n v="2"/>
    <n v="1"/>
    <n v="3"/>
    <n v="1"/>
  </r>
  <r>
    <n v="26"/>
    <x v="1"/>
    <x v="0"/>
    <x v="1"/>
    <x v="1"/>
    <s v="Other"/>
    <n v="1"/>
    <x v="0"/>
    <x v="5"/>
    <s v="Divorced"/>
    <s v="No"/>
    <x v="16"/>
    <n v="5"/>
    <s v="Bachelor's Degree"/>
    <n v="3"/>
    <n v="5"/>
    <x v="2"/>
    <n v="19094"/>
    <n v="26"/>
    <x v="2"/>
    <x v="13"/>
    <n v="13"/>
    <n v="4"/>
    <n v="8"/>
    <n v="0"/>
  </r>
  <r>
    <n v="27"/>
    <x v="0"/>
    <x v="1"/>
    <x v="2"/>
    <x v="1"/>
    <s v="Life Sciences"/>
    <n v="1"/>
    <x v="0"/>
    <x v="1"/>
    <s v="Single"/>
    <s v="Yes"/>
    <x v="5"/>
    <n v="16"/>
    <s v="High School"/>
    <n v="2"/>
    <n v="1"/>
    <x v="3"/>
    <n v="3919"/>
    <n v="10"/>
    <x v="1"/>
    <x v="1"/>
    <n v="2"/>
    <n v="6"/>
    <n v="7"/>
    <n v="1"/>
  </r>
  <r>
    <n v="28"/>
    <x v="1"/>
    <x v="0"/>
    <x v="0"/>
    <x v="0"/>
    <s v="Marketing"/>
    <n v="1"/>
    <x v="1"/>
    <x v="0"/>
    <s v="Married"/>
    <s v="No"/>
    <x v="19"/>
    <n v="8"/>
    <s v="Master's Degree"/>
    <n v="3"/>
    <n v="2"/>
    <x v="1"/>
    <n v="6825"/>
    <n v="10"/>
    <x v="1"/>
    <x v="7"/>
    <n v="7"/>
    <n v="4"/>
    <n v="2"/>
    <n v="0"/>
  </r>
  <r>
    <n v="29"/>
    <x v="1"/>
    <x v="0"/>
    <x v="0"/>
    <x v="1"/>
    <s v="Medical"/>
    <n v="1"/>
    <x v="0"/>
    <x v="4"/>
    <s v="Married"/>
    <s v="No"/>
    <x v="20"/>
    <n v="7"/>
    <s v="Master's Degree"/>
    <n v="1"/>
    <n v="3"/>
    <x v="0"/>
    <n v="10248"/>
    <n v="24"/>
    <x v="1"/>
    <x v="14"/>
    <n v="6"/>
    <n v="5"/>
    <n v="17"/>
    <n v="0"/>
  </r>
  <r>
    <n v="30"/>
    <x v="1"/>
    <x v="0"/>
    <x v="1"/>
    <x v="0"/>
    <s v="Marketing"/>
    <n v="1"/>
    <x v="0"/>
    <x v="5"/>
    <s v="Single"/>
    <s v="No"/>
    <x v="21"/>
    <n v="2"/>
    <s v="Master's Degree"/>
    <n v="2"/>
    <n v="5"/>
    <x v="3"/>
    <n v="18947"/>
    <n v="22"/>
    <x v="2"/>
    <x v="4"/>
    <n v="2"/>
    <n v="2"/>
    <n v="1"/>
    <n v="0"/>
  </r>
  <r>
    <n v="31"/>
    <x v="1"/>
    <x v="0"/>
    <x v="2"/>
    <x v="1"/>
    <s v="Medical"/>
    <n v="1"/>
    <x v="1"/>
    <x v="2"/>
    <s v="Single"/>
    <s v="No"/>
    <x v="3"/>
    <n v="2"/>
    <s v="Bachelor's Degree"/>
    <n v="3"/>
    <n v="1"/>
    <x v="0"/>
    <n v="2496"/>
    <n v="7"/>
    <x v="1"/>
    <x v="6"/>
    <n v="1"/>
    <n v="0"/>
    <n v="0"/>
    <n v="0"/>
  </r>
  <r>
    <n v="32"/>
    <x v="1"/>
    <x v="0"/>
    <x v="0"/>
    <x v="1"/>
    <s v="Other"/>
    <n v="1"/>
    <x v="1"/>
    <x v="4"/>
    <s v="Married"/>
    <s v="Yes"/>
    <x v="20"/>
    <n v="10"/>
    <s v="Master's Degree"/>
    <n v="4"/>
    <n v="2"/>
    <x v="0"/>
    <n v="6465"/>
    <n v="9"/>
    <x v="3"/>
    <x v="9"/>
    <n v="2"/>
    <n v="1"/>
    <n v="3"/>
    <n v="0"/>
  </r>
  <r>
    <n v="33"/>
    <x v="1"/>
    <x v="0"/>
    <x v="2"/>
    <x v="1"/>
    <s v="Medical"/>
    <n v="1"/>
    <x v="1"/>
    <x v="2"/>
    <s v="Single"/>
    <s v="No"/>
    <x v="7"/>
    <n v="9"/>
    <s v="Associates Degree"/>
    <n v="4"/>
    <n v="1"/>
    <x v="2"/>
    <n v="2206"/>
    <n v="10"/>
    <x v="1"/>
    <x v="1"/>
    <n v="0"/>
    <n v="1"/>
    <n v="8"/>
    <n v="0"/>
  </r>
  <r>
    <n v="34"/>
    <x v="0"/>
    <x v="0"/>
    <x v="0"/>
    <x v="0"/>
    <s v="Technical Degree"/>
    <n v="1"/>
    <x v="1"/>
    <x v="6"/>
    <s v="Married"/>
    <s v="No"/>
    <x v="22"/>
    <n v="5"/>
    <s v="Bachelor's Degree"/>
    <n v="4"/>
    <n v="2"/>
    <x v="0"/>
    <n v="2086"/>
    <n v="19"/>
    <x v="3"/>
    <x v="6"/>
    <n v="0"/>
    <n v="0"/>
    <n v="0"/>
    <n v="1"/>
  </r>
  <r>
    <n v="35"/>
    <x v="0"/>
    <x v="0"/>
    <x v="4"/>
    <x v="1"/>
    <s v="Medical"/>
    <n v="1"/>
    <x v="1"/>
    <x v="1"/>
    <s v="Married"/>
    <s v="Yes"/>
    <x v="17"/>
    <n v="1"/>
    <s v="Bachelor's Degree"/>
    <n v="2"/>
    <n v="1"/>
    <x v="0"/>
    <n v="2293"/>
    <n v="6"/>
    <x v="2"/>
    <x v="4"/>
    <n v="0"/>
    <n v="2"/>
    <n v="0"/>
    <n v="1"/>
  </r>
  <r>
    <n v="36"/>
    <x v="1"/>
    <x v="0"/>
    <x v="0"/>
    <x v="1"/>
    <s v="Medical"/>
    <n v="1"/>
    <x v="0"/>
    <x v="1"/>
    <s v="Divorced"/>
    <s v="No"/>
    <x v="23"/>
    <n v="2"/>
    <s v="Associates Degree"/>
    <n v="4"/>
    <n v="1"/>
    <x v="2"/>
    <n v="2645"/>
    <n v="6"/>
    <x v="2"/>
    <x v="8"/>
    <n v="3"/>
    <n v="1"/>
    <n v="4"/>
    <n v="0"/>
  </r>
  <r>
    <n v="37"/>
    <x v="0"/>
    <x v="0"/>
    <x v="1"/>
    <x v="0"/>
    <s v="Marketing"/>
    <n v="1"/>
    <x v="1"/>
    <x v="6"/>
    <s v="Married"/>
    <s v="Yes"/>
    <x v="24"/>
    <n v="3"/>
    <s v="Associates Degree"/>
    <n v="1"/>
    <n v="1"/>
    <x v="2"/>
    <n v="2683"/>
    <n v="3"/>
    <x v="1"/>
    <x v="11"/>
    <n v="2"/>
    <n v="0"/>
    <n v="2"/>
    <n v="1"/>
  </r>
  <r>
    <n v="38"/>
    <x v="1"/>
    <x v="0"/>
    <x v="0"/>
    <x v="0"/>
    <s v="Marketing"/>
    <n v="1"/>
    <x v="0"/>
    <x v="6"/>
    <s v="Married"/>
    <s v="No"/>
    <x v="10"/>
    <n v="2"/>
    <s v="Bachelor's Degree"/>
    <n v="4"/>
    <n v="1"/>
    <x v="0"/>
    <n v="2014"/>
    <n v="2"/>
    <x v="1"/>
    <x v="4"/>
    <n v="2"/>
    <n v="2"/>
    <n v="2"/>
    <n v="0"/>
  </r>
  <r>
    <n v="39"/>
    <x v="1"/>
    <x v="0"/>
    <x v="0"/>
    <x v="1"/>
    <s v="Life Sciences"/>
    <n v="1"/>
    <x v="0"/>
    <x v="1"/>
    <s v="Married"/>
    <s v="Yes"/>
    <x v="9"/>
    <n v="5"/>
    <s v="Master's Degree"/>
    <n v="2"/>
    <n v="1"/>
    <x v="3"/>
    <n v="3419"/>
    <n v="6"/>
    <x v="3"/>
    <x v="6"/>
    <n v="1"/>
    <n v="0"/>
    <n v="0"/>
    <n v="0"/>
  </r>
  <r>
    <n v="40"/>
    <x v="1"/>
    <x v="1"/>
    <x v="2"/>
    <x v="0"/>
    <s v="Life Sciences"/>
    <n v="1"/>
    <x v="0"/>
    <x v="0"/>
    <s v="Married"/>
    <s v="No"/>
    <x v="3"/>
    <n v="1"/>
    <s v="Bachelor's Degree"/>
    <n v="3"/>
    <n v="2"/>
    <x v="3"/>
    <n v="5376"/>
    <n v="10"/>
    <x v="1"/>
    <x v="8"/>
    <n v="3"/>
    <n v="1"/>
    <n v="3"/>
    <n v="0"/>
  </r>
  <r>
    <n v="41"/>
    <x v="1"/>
    <x v="0"/>
    <x v="0"/>
    <x v="1"/>
    <s v="Other"/>
    <n v="1"/>
    <x v="1"/>
    <x v="2"/>
    <s v="Divorced"/>
    <s v="No"/>
    <x v="10"/>
    <n v="4"/>
    <s v="Associates Degree"/>
    <n v="3"/>
    <n v="1"/>
    <x v="0"/>
    <n v="1951"/>
    <n v="1"/>
    <x v="1"/>
    <x v="6"/>
    <n v="0"/>
    <n v="0"/>
    <n v="0"/>
    <n v="0"/>
  </r>
  <r>
    <n v="42"/>
    <x v="1"/>
    <x v="0"/>
    <x v="2"/>
    <x v="1"/>
    <s v="Life Sciences"/>
    <n v="1"/>
    <x v="0"/>
    <x v="2"/>
    <s v="Divorced"/>
    <s v="No"/>
    <x v="4"/>
    <n v="2"/>
    <s v="Master's Degree"/>
    <n v="4"/>
    <n v="1"/>
    <x v="3"/>
    <n v="2341"/>
    <n v="1"/>
    <x v="1"/>
    <x v="6"/>
    <n v="0"/>
    <n v="0"/>
    <n v="0"/>
    <n v="0"/>
  </r>
  <r>
    <n v="43"/>
    <x v="0"/>
    <x v="0"/>
    <x v="2"/>
    <x v="1"/>
    <s v="Life Sciences"/>
    <n v="1"/>
    <x v="1"/>
    <x v="2"/>
    <s v="Single"/>
    <s v="No"/>
    <x v="25"/>
    <n v="25"/>
    <s v="Bachelor's Degree"/>
    <n v="1"/>
    <n v="1"/>
    <x v="2"/>
    <n v="2293"/>
    <n v="1"/>
    <x v="2"/>
    <x v="6"/>
    <n v="0"/>
    <n v="0"/>
    <n v="1"/>
    <n v="1"/>
  </r>
  <r>
    <n v="44"/>
    <x v="1"/>
    <x v="1"/>
    <x v="2"/>
    <x v="0"/>
    <s v="Life Sciences"/>
    <n v="1"/>
    <x v="1"/>
    <x v="0"/>
    <s v="Single"/>
    <s v="No"/>
    <x v="4"/>
    <n v="8"/>
    <s v="Bachelor's Degree"/>
    <n v="4"/>
    <n v="3"/>
    <x v="2"/>
    <n v="8726"/>
    <n v="9"/>
    <x v="1"/>
    <x v="7"/>
    <n v="8"/>
    <n v="1"/>
    <n v="7"/>
    <n v="0"/>
  </r>
  <r>
    <n v="45"/>
    <x v="1"/>
    <x v="1"/>
    <x v="2"/>
    <x v="1"/>
    <s v="Medical"/>
    <n v="1"/>
    <x v="0"/>
    <x v="2"/>
    <s v="Single"/>
    <s v="No"/>
    <x v="7"/>
    <n v="1"/>
    <s v="Associates Degree"/>
    <n v="3"/>
    <n v="2"/>
    <x v="0"/>
    <n v="4011"/>
    <n v="12"/>
    <x v="1"/>
    <x v="12"/>
    <n v="8"/>
    <n v="3"/>
    <n v="7"/>
    <n v="0"/>
  </r>
  <r>
    <n v="46"/>
    <x v="0"/>
    <x v="0"/>
    <x v="0"/>
    <x v="1"/>
    <s v="Technical Degree"/>
    <n v="1"/>
    <x v="0"/>
    <x v="7"/>
    <s v="Married"/>
    <s v="No"/>
    <x v="0"/>
    <n v="12"/>
    <s v="Bachelor's Degree"/>
    <n v="2"/>
    <n v="5"/>
    <x v="2"/>
    <n v="19545"/>
    <n v="23"/>
    <x v="1"/>
    <x v="14"/>
    <n v="15"/>
    <n v="15"/>
    <n v="8"/>
    <n v="1"/>
  </r>
  <r>
    <n v="47"/>
    <x v="1"/>
    <x v="2"/>
    <x v="2"/>
    <x v="0"/>
    <s v="Marketing"/>
    <n v="1"/>
    <x v="1"/>
    <x v="0"/>
    <s v="Single"/>
    <s v="No"/>
    <x v="13"/>
    <n v="23"/>
    <s v="Master's Degree"/>
    <n v="2"/>
    <n v="2"/>
    <x v="2"/>
    <n v="4568"/>
    <n v="10"/>
    <x v="1"/>
    <x v="7"/>
    <n v="5"/>
    <n v="8"/>
    <n v="7"/>
    <n v="0"/>
  </r>
  <r>
    <n v="48"/>
    <x v="1"/>
    <x v="0"/>
    <x v="0"/>
    <x v="1"/>
    <s v="Life Sciences"/>
    <n v="1"/>
    <x v="1"/>
    <x v="1"/>
    <s v="Married"/>
    <s v="No"/>
    <x v="2"/>
    <n v="19"/>
    <s v="Associates Degree"/>
    <n v="2"/>
    <n v="1"/>
    <x v="1"/>
    <n v="3022"/>
    <n v="8"/>
    <x v="1"/>
    <x v="6"/>
    <n v="0"/>
    <n v="0"/>
    <n v="0"/>
    <n v="0"/>
  </r>
  <r>
    <n v="49"/>
    <x v="1"/>
    <x v="1"/>
    <x v="1"/>
    <x v="0"/>
    <s v="Marketing"/>
    <n v="1"/>
    <x v="1"/>
    <x v="0"/>
    <s v="Single"/>
    <s v="Yes"/>
    <x v="21"/>
    <n v="5"/>
    <s v="Master's Degree"/>
    <n v="1"/>
    <n v="2"/>
    <x v="0"/>
    <n v="5772"/>
    <n v="14"/>
    <x v="1"/>
    <x v="7"/>
    <n v="6"/>
    <n v="0"/>
    <n v="8"/>
    <n v="0"/>
  </r>
  <r>
    <n v="50"/>
    <x v="1"/>
    <x v="0"/>
    <x v="0"/>
    <x v="1"/>
    <s v="Life Sciences"/>
    <n v="1"/>
    <x v="1"/>
    <x v="2"/>
    <s v="Married"/>
    <s v="No"/>
    <x v="10"/>
    <n v="8"/>
    <s v="High School"/>
    <n v="4"/>
    <n v="1"/>
    <x v="0"/>
    <n v="2269"/>
    <n v="1"/>
    <x v="1"/>
    <x v="6"/>
    <n v="0"/>
    <n v="0"/>
    <n v="1"/>
    <n v="0"/>
  </r>
  <r>
    <n v="51"/>
    <x v="0"/>
    <x v="0"/>
    <x v="1"/>
    <x v="1"/>
    <s v="Life Sciences"/>
    <n v="1"/>
    <x v="1"/>
    <x v="2"/>
    <s v="Single"/>
    <s v="Yes"/>
    <x v="26"/>
    <n v="1"/>
    <s v="Associates Degree"/>
    <n v="1"/>
    <n v="3"/>
    <x v="2"/>
    <n v="5381"/>
    <n v="23"/>
    <x v="1"/>
    <x v="6"/>
    <n v="0"/>
    <n v="0"/>
    <n v="0"/>
    <n v="1"/>
  </r>
  <r>
    <n v="52"/>
    <x v="0"/>
    <x v="0"/>
    <x v="2"/>
    <x v="1"/>
    <s v="Technical Degree"/>
    <n v="1"/>
    <x v="1"/>
    <x v="2"/>
    <s v="Single"/>
    <s v="Yes"/>
    <x v="14"/>
    <n v="5"/>
    <s v="Master's Degree"/>
    <n v="3"/>
    <n v="1"/>
    <x v="2"/>
    <n v="3441"/>
    <n v="2"/>
    <x v="2"/>
    <x v="4"/>
    <n v="2"/>
    <n v="2"/>
    <n v="2"/>
    <n v="1"/>
  </r>
  <r>
    <n v="53"/>
    <x v="1"/>
    <x v="0"/>
    <x v="0"/>
    <x v="0"/>
    <s v="Marketing"/>
    <n v="1"/>
    <x v="0"/>
    <x v="0"/>
    <s v="Divorced"/>
    <s v="Yes"/>
    <x v="20"/>
    <n v="1"/>
    <s v="Doctoral Degree"/>
    <n v="2"/>
    <n v="2"/>
    <x v="3"/>
    <n v="5454"/>
    <n v="9"/>
    <x v="2"/>
    <x v="9"/>
    <n v="3"/>
    <n v="1"/>
    <n v="3"/>
    <n v="0"/>
  </r>
  <r>
    <n v="54"/>
    <x v="1"/>
    <x v="2"/>
    <x v="0"/>
    <x v="1"/>
    <s v="Medical"/>
    <n v="1"/>
    <x v="1"/>
    <x v="4"/>
    <s v="Married"/>
    <s v="Yes"/>
    <x v="10"/>
    <n v="11"/>
    <s v="Associates Degree"/>
    <n v="3"/>
    <n v="3"/>
    <x v="3"/>
    <n v="9884"/>
    <n v="10"/>
    <x v="1"/>
    <x v="9"/>
    <n v="0"/>
    <n v="2"/>
    <n v="3"/>
    <n v="0"/>
  </r>
  <r>
    <n v="55"/>
    <x v="1"/>
    <x v="0"/>
    <x v="2"/>
    <x v="0"/>
    <s v="Marketing"/>
    <n v="1"/>
    <x v="0"/>
    <x v="0"/>
    <s v="Married"/>
    <s v="Yes"/>
    <x v="25"/>
    <n v="23"/>
    <s v="Bachelor's Degree"/>
    <n v="3"/>
    <n v="2"/>
    <x v="0"/>
    <n v="4157"/>
    <n v="5"/>
    <x v="2"/>
    <x v="4"/>
    <n v="2"/>
    <n v="0"/>
    <n v="0"/>
    <n v="0"/>
  </r>
  <r>
    <n v="56"/>
    <x v="1"/>
    <x v="1"/>
    <x v="2"/>
    <x v="1"/>
    <s v="Life Sciences"/>
    <n v="1"/>
    <x v="0"/>
    <x v="7"/>
    <s v="Single"/>
    <s v="Yes"/>
    <x v="3"/>
    <n v="1"/>
    <s v="Associates Degree"/>
    <n v="1"/>
    <n v="3"/>
    <x v="0"/>
    <n v="13458"/>
    <n v="15"/>
    <x v="1"/>
    <x v="15"/>
    <n v="14"/>
    <n v="8"/>
    <n v="12"/>
    <n v="0"/>
  </r>
  <r>
    <n v="57"/>
    <x v="1"/>
    <x v="1"/>
    <x v="0"/>
    <x v="0"/>
    <s v="Life Sciences"/>
    <n v="1"/>
    <x v="1"/>
    <x v="0"/>
    <s v="Married"/>
    <s v="No"/>
    <x v="10"/>
    <n v="18"/>
    <s v="Doctoral Degree"/>
    <n v="2"/>
    <n v="3"/>
    <x v="3"/>
    <n v="9069"/>
    <n v="9"/>
    <x v="2"/>
    <x v="7"/>
    <n v="8"/>
    <n v="1"/>
    <n v="8"/>
    <n v="0"/>
  </r>
  <r>
    <n v="58"/>
    <x v="1"/>
    <x v="0"/>
    <x v="0"/>
    <x v="1"/>
    <s v="Medical"/>
    <n v="1"/>
    <x v="0"/>
    <x v="2"/>
    <s v="Married"/>
    <s v="Yes"/>
    <x v="10"/>
    <n v="23"/>
    <s v="Master's Degree"/>
    <n v="3"/>
    <n v="1"/>
    <x v="3"/>
    <n v="4014"/>
    <n v="4"/>
    <x v="1"/>
    <x v="4"/>
    <n v="2"/>
    <n v="2"/>
    <n v="2"/>
    <n v="0"/>
  </r>
  <r>
    <n v="59"/>
    <x v="1"/>
    <x v="0"/>
    <x v="2"/>
    <x v="1"/>
    <s v="Life Sciences"/>
    <n v="1"/>
    <x v="1"/>
    <x v="2"/>
    <s v="Divorced"/>
    <s v="No"/>
    <x v="12"/>
    <n v="7"/>
    <s v="Master's Degree"/>
    <n v="4"/>
    <n v="2"/>
    <x v="0"/>
    <n v="5915"/>
    <n v="10"/>
    <x v="2"/>
    <x v="5"/>
    <n v="7"/>
    <n v="1"/>
    <n v="7"/>
    <n v="0"/>
  </r>
  <r>
    <n v="60"/>
    <x v="1"/>
    <x v="0"/>
    <x v="0"/>
    <x v="1"/>
    <s v="Life Sciences"/>
    <n v="1"/>
    <x v="1"/>
    <x v="3"/>
    <s v="Divorced"/>
    <s v="No"/>
    <x v="2"/>
    <n v="1"/>
    <s v="Master's Degree"/>
    <n v="1"/>
    <n v="2"/>
    <x v="2"/>
    <n v="5993"/>
    <n v="7"/>
    <x v="3"/>
    <x v="5"/>
    <n v="5"/>
    <n v="0"/>
    <n v="7"/>
    <n v="0"/>
  </r>
  <r>
    <n v="61"/>
    <x v="1"/>
    <x v="0"/>
    <x v="2"/>
    <x v="1"/>
    <s v="Medical"/>
    <n v="1"/>
    <x v="1"/>
    <x v="3"/>
    <s v="Married"/>
    <s v="Yes"/>
    <x v="5"/>
    <n v="1"/>
    <s v="Bachelor's Degree"/>
    <n v="1"/>
    <n v="2"/>
    <x v="0"/>
    <n v="6162"/>
    <n v="9"/>
    <x v="1"/>
    <x v="7"/>
    <n v="8"/>
    <n v="7"/>
    <n v="8"/>
    <n v="0"/>
  </r>
  <r>
    <n v="62"/>
    <x v="1"/>
    <x v="1"/>
    <x v="0"/>
    <x v="1"/>
    <s v="Life Sciences"/>
    <n v="1"/>
    <x v="0"/>
    <x v="2"/>
    <s v="Single"/>
    <s v="No"/>
    <x v="8"/>
    <n v="29"/>
    <s v="Doctoral Degree"/>
    <n v="4"/>
    <n v="2"/>
    <x v="0"/>
    <n v="2406"/>
    <n v="10"/>
    <x v="1"/>
    <x v="1"/>
    <n v="3"/>
    <n v="9"/>
    <n v="9"/>
    <n v="0"/>
  </r>
  <r>
    <n v="63"/>
    <x v="1"/>
    <x v="0"/>
    <x v="1"/>
    <x v="1"/>
    <s v="Medical"/>
    <n v="1"/>
    <x v="0"/>
    <x v="7"/>
    <s v="Divorced"/>
    <s v="Yes"/>
    <x v="24"/>
    <n v="7"/>
    <s v="Associates Degree"/>
    <n v="2"/>
    <n v="5"/>
    <x v="2"/>
    <n v="18740"/>
    <n v="29"/>
    <x v="2"/>
    <x v="16"/>
    <n v="3"/>
    <n v="13"/>
    <n v="8"/>
    <n v="0"/>
  </r>
  <r>
    <n v="64"/>
    <x v="1"/>
    <x v="0"/>
    <x v="3"/>
    <x v="0"/>
    <s v="Life Sciences"/>
    <n v="1"/>
    <x v="0"/>
    <x v="0"/>
    <s v="Single"/>
    <s v="No"/>
    <x v="6"/>
    <n v="25"/>
    <s v="Bachelor's Degree"/>
    <n v="1"/>
    <n v="3"/>
    <x v="3"/>
    <n v="7637"/>
    <n v="28"/>
    <x v="2"/>
    <x v="17"/>
    <n v="16"/>
    <n v="7"/>
    <n v="9"/>
    <n v="0"/>
  </r>
  <r>
    <n v="65"/>
    <x v="1"/>
    <x v="0"/>
    <x v="0"/>
    <x v="1"/>
    <s v="Technical Degree"/>
    <n v="1"/>
    <x v="0"/>
    <x v="4"/>
    <s v="Divorced"/>
    <s v="No"/>
    <x v="9"/>
    <n v="8"/>
    <s v="Bachelor's Degree"/>
    <n v="3"/>
    <n v="3"/>
    <x v="2"/>
    <n v="10096"/>
    <n v="17"/>
    <x v="1"/>
    <x v="18"/>
    <n v="14"/>
    <n v="12"/>
    <n v="8"/>
    <n v="0"/>
  </r>
  <r>
    <n v="66"/>
    <x v="1"/>
    <x v="0"/>
    <x v="3"/>
    <x v="1"/>
    <s v="Medical"/>
    <n v="1"/>
    <x v="0"/>
    <x v="5"/>
    <s v="Divorced"/>
    <s v="Yes"/>
    <x v="27"/>
    <n v="8"/>
    <s v="Bachelor's Degree"/>
    <n v="4"/>
    <n v="4"/>
    <x v="2"/>
    <n v="14756"/>
    <n v="21"/>
    <x v="1"/>
    <x v="8"/>
    <n v="0"/>
    <n v="0"/>
    <n v="2"/>
    <n v="0"/>
  </r>
  <r>
    <n v="67"/>
    <x v="1"/>
    <x v="1"/>
    <x v="0"/>
    <x v="1"/>
    <s v="Life Sciences"/>
    <n v="1"/>
    <x v="1"/>
    <x v="3"/>
    <s v="Single"/>
    <s v="No"/>
    <x v="9"/>
    <n v="11"/>
    <s v="Bachelor's Degree"/>
    <n v="2"/>
    <n v="2"/>
    <x v="1"/>
    <n v="6499"/>
    <n v="6"/>
    <x v="1"/>
    <x v="0"/>
    <n v="5"/>
    <n v="0"/>
    <n v="3"/>
    <n v="0"/>
  </r>
  <r>
    <n v="68"/>
    <x v="1"/>
    <x v="0"/>
    <x v="1"/>
    <x v="1"/>
    <s v="Life Sciences"/>
    <n v="1"/>
    <x v="1"/>
    <x v="1"/>
    <s v="Divorced"/>
    <s v="No"/>
    <x v="28"/>
    <n v="7"/>
    <s v="Bachelor's Degree"/>
    <n v="2"/>
    <n v="3"/>
    <x v="3"/>
    <n v="9724"/>
    <n v="25"/>
    <x v="1"/>
    <x v="6"/>
    <n v="0"/>
    <n v="0"/>
    <n v="0"/>
    <n v="0"/>
  </r>
  <r>
    <n v="69"/>
    <x v="1"/>
    <x v="1"/>
    <x v="0"/>
    <x v="1"/>
    <s v="Medical"/>
    <n v="1"/>
    <x v="1"/>
    <x v="1"/>
    <s v="Married"/>
    <s v="No"/>
    <x v="10"/>
    <n v="1"/>
    <s v="Bachelor's Degree"/>
    <n v="2"/>
    <n v="1"/>
    <x v="3"/>
    <n v="2194"/>
    <n v="5"/>
    <x v="2"/>
    <x v="11"/>
    <n v="2"/>
    <n v="1"/>
    <n v="2"/>
    <n v="0"/>
  </r>
  <r>
    <n v="70"/>
    <x v="0"/>
    <x v="0"/>
    <x v="0"/>
    <x v="1"/>
    <s v="Medical"/>
    <n v="1"/>
    <x v="1"/>
    <x v="1"/>
    <s v="Married"/>
    <s v="Yes"/>
    <x v="9"/>
    <n v="9"/>
    <s v="Bachelor's Degree"/>
    <n v="4"/>
    <n v="1"/>
    <x v="2"/>
    <n v="3388"/>
    <n v="2"/>
    <x v="2"/>
    <x v="6"/>
    <n v="0"/>
    <n v="0"/>
    <n v="0"/>
    <n v="1"/>
  </r>
  <r>
    <n v="71"/>
    <x v="1"/>
    <x v="1"/>
    <x v="3"/>
    <x v="0"/>
    <s v="Life Sciences"/>
    <n v="1"/>
    <x v="0"/>
    <x v="0"/>
    <s v="Single"/>
    <s v="No"/>
    <x v="6"/>
    <n v="1"/>
    <s v="High School"/>
    <n v="1"/>
    <n v="2"/>
    <x v="2"/>
    <n v="5473"/>
    <n v="20"/>
    <x v="2"/>
    <x v="9"/>
    <n v="3"/>
    <n v="1"/>
    <n v="3"/>
    <n v="0"/>
  </r>
  <r>
    <n v="72"/>
    <x v="1"/>
    <x v="0"/>
    <x v="2"/>
    <x v="1"/>
    <s v="Life Sciences"/>
    <n v="1"/>
    <x v="1"/>
    <x v="1"/>
    <s v="Married"/>
    <s v="No"/>
    <x v="11"/>
    <n v="2"/>
    <s v="Bachelor's Degree"/>
    <n v="3"/>
    <n v="1"/>
    <x v="1"/>
    <n v="2703"/>
    <n v="6"/>
    <x v="1"/>
    <x v="8"/>
    <n v="4"/>
    <n v="0"/>
    <n v="4"/>
    <n v="0"/>
  </r>
  <r>
    <n v="73"/>
    <x v="1"/>
    <x v="0"/>
    <x v="2"/>
    <x v="1"/>
    <s v="Medical"/>
    <n v="1"/>
    <x v="1"/>
    <x v="1"/>
    <s v="Single"/>
    <s v="No"/>
    <x v="12"/>
    <n v="1"/>
    <s v="Master's Degree"/>
    <n v="3"/>
    <n v="1"/>
    <x v="1"/>
    <n v="2501"/>
    <n v="1"/>
    <x v="1"/>
    <x v="6"/>
    <n v="1"/>
    <n v="1"/>
    <n v="0"/>
    <n v="0"/>
  </r>
  <r>
    <n v="74"/>
    <x v="1"/>
    <x v="0"/>
    <x v="2"/>
    <x v="1"/>
    <s v="Life Sciences"/>
    <n v="1"/>
    <x v="1"/>
    <x v="1"/>
    <s v="Married"/>
    <s v="No"/>
    <x v="5"/>
    <n v="1"/>
    <s v="Bachelor's Degree"/>
    <n v="2"/>
    <n v="2"/>
    <x v="1"/>
    <n v="6220"/>
    <n v="10"/>
    <x v="1"/>
    <x v="1"/>
    <n v="4"/>
    <n v="0"/>
    <n v="9"/>
    <n v="0"/>
  </r>
  <r>
    <n v="75"/>
    <x v="1"/>
    <x v="0"/>
    <x v="0"/>
    <x v="1"/>
    <s v="Life Sciences"/>
    <n v="1"/>
    <x v="0"/>
    <x v="2"/>
    <s v="Married"/>
    <s v="No"/>
    <x v="9"/>
    <n v="6"/>
    <s v="Bachelor's Degree"/>
    <n v="2"/>
    <n v="1"/>
    <x v="0"/>
    <n v="3038"/>
    <n v="5"/>
    <x v="1"/>
    <x v="6"/>
    <n v="0"/>
    <n v="0"/>
    <n v="0"/>
    <n v="0"/>
  </r>
  <r>
    <n v="76"/>
    <x v="1"/>
    <x v="0"/>
    <x v="2"/>
    <x v="1"/>
    <s v="Life Sciences"/>
    <n v="1"/>
    <x v="0"/>
    <x v="3"/>
    <s v="Single"/>
    <s v="No"/>
    <x v="12"/>
    <n v="8"/>
    <s v="Master's Degree"/>
    <n v="3"/>
    <n v="2"/>
    <x v="0"/>
    <n v="4424"/>
    <n v="11"/>
    <x v="1"/>
    <x v="19"/>
    <n v="7"/>
    <n v="1"/>
    <n v="8"/>
    <n v="0"/>
  </r>
  <r>
    <n v="77"/>
    <x v="1"/>
    <x v="0"/>
    <x v="0"/>
    <x v="0"/>
    <s v="Marketing"/>
    <n v="1"/>
    <x v="1"/>
    <x v="0"/>
    <s v="Single"/>
    <s v="No"/>
    <x v="10"/>
    <n v="1"/>
    <s v="Master's Degree"/>
    <n v="3"/>
    <n v="2"/>
    <x v="3"/>
    <n v="4312"/>
    <n v="16"/>
    <x v="1"/>
    <x v="15"/>
    <n v="13"/>
    <n v="2"/>
    <n v="8"/>
    <n v="0"/>
  </r>
  <r>
    <n v="78"/>
    <x v="1"/>
    <x v="0"/>
    <x v="1"/>
    <x v="1"/>
    <s v="Other"/>
    <n v="1"/>
    <x v="1"/>
    <x v="7"/>
    <s v="Married"/>
    <s v="Yes"/>
    <x v="28"/>
    <n v="6"/>
    <s v="Master's Degree"/>
    <n v="4"/>
    <n v="3"/>
    <x v="3"/>
    <n v="13245"/>
    <n v="17"/>
    <x v="3"/>
    <x v="2"/>
    <n v="0"/>
    <n v="0"/>
    <n v="0"/>
    <n v="0"/>
  </r>
  <r>
    <n v="79"/>
    <x v="1"/>
    <x v="0"/>
    <x v="0"/>
    <x v="1"/>
    <s v="Medical"/>
    <n v="1"/>
    <x v="1"/>
    <x v="7"/>
    <s v="Single"/>
    <s v="No"/>
    <x v="2"/>
    <n v="7"/>
    <s v="Master's Degree"/>
    <n v="1"/>
    <n v="3"/>
    <x v="2"/>
    <n v="13664"/>
    <n v="16"/>
    <x v="3"/>
    <x v="8"/>
    <n v="2"/>
    <n v="0"/>
    <n v="2"/>
    <n v="0"/>
  </r>
  <r>
    <n v="80"/>
    <x v="1"/>
    <x v="0"/>
    <x v="1"/>
    <x v="2"/>
    <s v="Medical"/>
    <n v="1"/>
    <x v="1"/>
    <x v="8"/>
    <s v="Divorced"/>
    <s v="Yes"/>
    <x v="21"/>
    <n v="5"/>
    <s v="Associates Degree"/>
    <n v="2"/>
    <n v="2"/>
    <x v="1"/>
    <n v="5021"/>
    <n v="16"/>
    <x v="1"/>
    <x v="9"/>
    <n v="2"/>
    <n v="0"/>
    <n v="2"/>
    <n v="0"/>
  </r>
  <r>
    <n v="81"/>
    <x v="1"/>
    <x v="0"/>
    <x v="2"/>
    <x v="1"/>
    <s v="Life Sciences"/>
    <n v="1"/>
    <x v="1"/>
    <x v="2"/>
    <s v="Married"/>
    <s v="Yes"/>
    <x v="7"/>
    <n v="1"/>
    <s v="High School"/>
    <n v="4"/>
    <n v="2"/>
    <x v="0"/>
    <n v="5126"/>
    <n v="10"/>
    <x v="2"/>
    <x v="1"/>
    <n v="8"/>
    <n v="3"/>
    <n v="0"/>
    <n v="0"/>
  </r>
  <r>
    <n v="82"/>
    <x v="1"/>
    <x v="0"/>
    <x v="0"/>
    <x v="1"/>
    <s v="Medical"/>
    <n v="1"/>
    <x v="1"/>
    <x v="1"/>
    <s v="Single"/>
    <s v="No"/>
    <x v="10"/>
    <n v="1"/>
    <s v="Bachelor's Degree"/>
    <n v="2"/>
    <n v="1"/>
    <x v="2"/>
    <n v="2859"/>
    <n v="6"/>
    <x v="1"/>
    <x v="0"/>
    <n v="4"/>
    <n v="0"/>
    <n v="4"/>
    <n v="0"/>
  </r>
  <r>
    <n v="83"/>
    <x v="1"/>
    <x v="0"/>
    <x v="3"/>
    <x v="0"/>
    <s v="Life Sciences"/>
    <n v="1"/>
    <x v="1"/>
    <x v="0"/>
    <s v="Married"/>
    <s v="No"/>
    <x v="27"/>
    <n v="1"/>
    <s v="Associates Degree"/>
    <n v="1"/>
    <n v="3"/>
    <x v="0"/>
    <n v="10239"/>
    <n v="24"/>
    <x v="1"/>
    <x v="6"/>
    <n v="0"/>
    <n v="1"/>
    <n v="0"/>
    <n v="0"/>
  </r>
  <r>
    <n v="84"/>
    <x v="1"/>
    <x v="2"/>
    <x v="0"/>
    <x v="1"/>
    <s v="Medical"/>
    <n v="1"/>
    <x v="0"/>
    <x v="1"/>
    <s v="Divorced"/>
    <s v="Yes"/>
    <x v="8"/>
    <n v="6"/>
    <s v="Bachelor's Degree"/>
    <n v="2"/>
    <n v="2"/>
    <x v="0"/>
    <n v="5329"/>
    <n v="17"/>
    <x v="1"/>
    <x v="20"/>
    <n v="11"/>
    <n v="1"/>
    <n v="9"/>
    <n v="0"/>
  </r>
  <r>
    <n v="85"/>
    <x v="1"/>
    <x v="0"/>
    <x v="2"/>
    <x v="1"/>
    <s v="Medical"/>
    <n v="1"/>
    <x v="1"/>
    <x v="3"/>
    <s v="Married"/>
    <s v="No"/>
    <x v="13"/>
    <n v="1"/>
    <s v="Associates Degree"/>
    <n v="1"/>
    <n v="2"/>
    <x v="1"/>
    <n v="4325"/>
    <n v="5"/>
    <x v="1"/>
    <x v="8"/>
    <n v="2"/>
    <n v="1"/>
    <n v="3"/>
    <n v="0"/>
  </r>
  <r>
    <n v="86"/>
    <x v="1"/>
    <x v="0"/>
    <x v="3"/>
    <x v="1"/>
    <s v="Life Sciences"/>
    <n v="1"/>
    <x v="1"/>
    <x v="3"/>
    <s v="Single"/>
    <s v="No"/>
    <x v="29"/>
    <n v="7"/>
    <s v="Bachelor's Degree"/>
    <n v="4"/>
    <n v="3"/>
    <x v="0"/>
    <n v="7260"/>
    <n v="37"/>
    <x v="2"/>
    <x v="0"/>
    <n v="4"/>
    <n v="0"/>
    <n v="2"/>
    <n v="0"/>
  </r>
  <r>
    <n v="87"/>
    <x v="1"/>
    <x v="0"/>
    <x v="4"/>
    <x v="0"/>
    <s v="Technical Degree"/>
    <n v="1"/>
    <x v="1"/>
    <x v="6"/>
    <s v="Divorced"/>
    <s v="No"/>
    <x v="30"/>
    <n v="2"/>
    <s v="High School"/>
    <n v="3"/>
    <n v="1"/>
    <x v="3"/>
    <n v="2322"/>
    <n v="3"/>
    <x v="1"/>
    <x v="2"/>
    <n v="0"/>
    <n v="0"/>
    <n v="0"/>
    <n v="0"/>
  </r>
  <r>
    <n v="88"/>
    <x v="1"/>
    <x v="0"/>
    <x v="1"/>
    <x v="1"/>
    <s v="Life Sciences"/>
    <n v="1"/>
    <x v="1"/>
    <x v="2"/>
    <s v="Married"/>
    <s v="No"/>
    <x v="31"/>
    <n v="9"/>
    <s v="Master's Degree"/>
    <n v="4"/>
    <n v="1"/>
    <x v="0"/>
    <n v="2075"/>
    <n v="10"/>
    <x v="1"/>
    <x v="9"/>
    <n v="2"/>
    <n v="0"/>
    <n v="3"/>
    <n v="0"/>
  </r>
  <r>
    <n v="89"/>
    <x v="1"/>
    <x v="0"/>
    <x v="2"/>
    <x v="1"/>
    <s v="Life Sciences"/>
    <n v="1"/>
    <x v="1"/>
    <x v="4"/>
    <s v="Married"/>
    <s v="No"/>
    <x v="7"/>
    <n v="2"/>
    <s v="Bachelor's Degree"/>
    <n v="3"/>
    <n v="2"/>
    <x v="0"/>
    <n v="4152"/>
    <n v="11"/>
    <x v="1"/>
    <x v="19"/>
    <n v="10"/>
    <n v="10"/>
    <n v="8"/>
    <n v="0"/>
  </r>
  <r>
    <n v="90"/>
    <x v="0"/>
    <x v="0"/>
    <x v="1"/>
    <x v="0"/>
    <s v="Medical"/>
    <n v="1"/>
    <x v="1"/>
    <x v="0"/>
    <s v="Single"/>
    <s v="No"/>
    <x v="21"/>
    <n v="9"/>
    <s v="Associates Degree"/>
    <n v="3"/>
    <n v="3"/>
    <x v="0"/>
    <n v="9619"/>
    <n v="9"/>
    <x v="1"/>
    <x v="7"/>
    <n v="8"/>
    <n v="4"/>
    <n v="7"/>
    <n v="1"/>
  </r>
  <r>
    <n v="91"/>
    <x v="1"/>
    <x v="1"/>
    <x v="0"/>
    <x v="1"/>
    <s v="Life Sciences"/>
    <n v="1"/>
    <x v="1"/>
    <x v="4"/>
    <s v="Married"/>
    <s v="No"/>
    <x v="32"/>
    <n v="1"/>
    <s v="Master's Degree"/>
    <n v="3"/>
    <n v="4"/>
    <x v="1"/>
    <n v="13503"/>
    <n v="22"/>
    <x v="2"/>
    <x v="14"/>
    <n v="3"/>
    <n v="11"/>
    <n v="11"/>
    <n v="0"/>
  </r>
  <r>
    <n v="92"/>
    <x v="1"/>
    <x v="0"/>
    <x v="1"/>
    <x v="0"/>
    <s v="Marketing"/>
    <n v="1"/>
    <x v="1"/>
    <x v="0"/>
    <s v="Single"/>
    <s v="Yes"/>
    <x v="31"/>
    <n v="21"/>
    <s v="Master's Degree"/>
    <n v="3"/>
    <n v="2"/>
    <x v="0"/>
    <n v="5441"/>
    <n v="11"/>
    <x v="0"/>
    <x v="1"/>
    <n v="7"/>
    <n v="1"/>
    <n v="0"/>
    <n v="0"/>
  </r>
  <r>
    <n v="93"/>
    <x v="1"/>
    <x v="0"/>
    <x v="2"/>
    <x v="0"/>
    <s v="Medical"/>
    <n v="1"/>
    <x v="0"/>
    <x v="0"/>
    <s v="Divorced"/>
    <s v="Yes"/>
    <x v="7"/>
    <n v="4"/>
    <s v="Associates Degree"/>
    <n v="3"/>
    <n v="2"/>
    <x v="1"/>
    <n v="5209"/>
    <n v="11"/>
    <x v="2"/>
    <x v="19"/>
    <n v="8"/>
    <n v="2"/>
    <n v="7"/>
    <n v="0"/>
  </r>
  <r>
    <n v="94"/>
    <x v="1"/>
    <x v="1"/>
    <x v="1"/>
    <x v="1"/>
    <s v="Medical"/>
    <n v="1"/>
    <x v="1"/>
    <x v="4"/>
    <s v="Married"/>
    <s v="Yes"/>
    <x v="21"/>
    <n v="1"/>
    <s v="Bachelor's Degree"/>
    <n v="3"/>
    <n v="3"/>
    <x v="3"/>
    <n v="10673"/>
    <n v="21"/>
    <x v="2"/>
    <x v="1"/>
    <n v="9"/>
    <n v="9"/>
    <n v="5"/>
    <n v="0"/>
  </r>
  <r>
    <n v="95"/>
    <x v="1"/>
    <x v="0"/>
    <x v="2"/>
    <x v="0"/>
    <s v="Medical"/>
    <n v="1"/>
    <x v="1"/>
    <x v="0"/>
    <s v="Single"/>
    <s v="No"/>
    <x v="5"/>
    <n v="6"/>
    <s v="Master's Degree"/>
    <n v="2"/>
    <n v="2"/>
    <x v="2"/>
    <n v="5010"/>
    <n v="12"/>
    <x v="1"/>
    <x v="19"/>
    <n v="8"/>
    <n v="5"/>
    <n v="7"/>
    <n v="0"/>
  </r>
  <r>
    <n v="96"/>
    <x v="1"/>
    <x v="0"/>
    <x v="1"/>
    <x v="1"/>
    <s v="Technical Degree"/>
    <n v="1"/>
    <x v="0"/>
    <x v="7"/>
    <s v="Married"/>
    <s v="No"/>
    <x v="33"/>
    <n v="2"/>
    <s v="Master's Degree"/>
    <n v="1"/>
    <n v="3"/>
    <x v="2"/>
    <n v="13549"/>
    <n v="16"/>
    <x v="0"/>
    <x v="9"/>
    <n v="3"/>
    <n v="0"/>
    <n v="3"/>
    <n v="0"/>
  </r>
  <r>
    <n v="97"/>
    <x v="1"/>
    <x v="0"/>
    <x v="4"/>
    <x v="0"/>
    <s v="Other"/>
    <n v="1"/>
    <x v="0"/>
    <x v="0"/>
    <s v="Married"/>
    <s v="No"/>
    <x v="17"/>
    <n v="3"/>
    <s v="Associates Degree"/>
    <n v="1"/>
    <n v="2"/>
    <x v="2"/>
    <n v="4999"/>
    <n v="4"/>
    <x v="2"/>
    <x v="11"/>
    <n v="2"/>
    <n v="0"/>
    <n v="2"/>
    <n v="0"/>
  </r>
  <r>
    <n v="98"/>
    <x v="1"/>
    <x v="2"/>
    <x v="2"/>
    <x v="0"/>
    <s v="Medical"/>
    <n v="1"/>
    <x v="1"/>
    <x v="0"/>
    <s v="Married"/>
    <s v="No"/>
    <x v="14"/>
    <n v="4"/>
    <s v="Bachelor's Degree"/>
    <n v="2"/>
    <n v="2"/>
    <x v="2"/>
    <n v="4221"/>
    <n v="5"/>
    <x v="3"/>
    <x v="8"/>
    <n v="4"/>
    <n v="0"/>
    <n v="4"/>
    <n v="0"/>
  </r>
  <r>
    <n v="99"/>
    <x v="1"/>
    <x v="0"/>
    <x v="3"/>
    <x v="0"/>
    <s v="Medical"/>
    <n v="1"/>
    <x v="1"/>
    <x v="0"/>
    <s v="Single"/>
    <s v="No"/>
    <x v="34"/>
    <n v="10"/>
    <s v="Master's Degree"/>
    <n v="4"/>
    <n v="4"/>
    <x v="2"/>
    <n v="13872"/>
    <n v="38"/>
    <x v="2"/>
    <x v="21"/>
    <n v="10"/>
    <n v="1"/>
    <n v="8"/>
    <n v="0"/>
  </r>
  <r>
    <n v="100"/>
    <x v="1"/>
    <x v="2"/>
    <x v="0"/>
    <x v="1"/>
    <s v="Medical"/>
    <n v="1"/>
    <x v="1"/>
    <x v="2"/>
    <s v="Married"/>
    <s v="No"/>
    <x v="20"/>
    <n v="23"/>
    <s v="Bachelor's Degree"/>
    <n v="2"/>
    <n v="2"/>
    <x v="1"/>
    <n v="2042"/>
    <n v="17"/>
    <x v="3"/>
    <x v="11"/>
    <n v="2"/>
    <n v="1"/>
    <n v="2"/>
    <n v="0"/>
  </r>
  <r>
    <n v="101"/>
    <x v="0"/>
    <x v="0"/>
    <x v="0"/>
    <x v="2"/>
    <s v="Human Resources"/>
    <n v="1"/>
    <x v="1"/>
    <x v="8"/>
    <s v="Divorced"/>
    <s v="Yes"/>
    <x v="2"/>
    <n v="6"/>
    <s v="Master's Degree"/>
    <n v="3"/>
    <n v="1"/>
    <x v="3"/>
    <n v="2073"/>
    <n v="7"/>
    <x v="1"/>
    <x v="11"/>
    <n v="2"/>
    <n v="0"/>
    <n v="2"/>
    <n v="1"/>
  </r>
  <r>
    <n v="102"/>
    <x v="1"/>
    <x v="0"/>
    <x v="2"/>
    <x v="1"/>
    <s v="Life Sciences"/>
    <n v="1"/>
    <x v="1"/>
    <x v="1"/>
    <s v="Single"/>
    <s v="No"/>
    <x v="5"/>
    <n v="1"/>
    <s v="High School"/>
    <n v="4"/>
    <n v="1"/>
    <x v="3"/>
    <n v="2956"/>
    <n v="1"/>
    <x v="1"/>
    <x v="6"/>
    <n v="0"/>
    <n v="0"/>
    <n v="0"/>
    <n v="0"/>
  </r>
  <r>
    <n v="103"/>
    <x v="0"/>
    <x v="1"/>
    <x v="4"/>
    <x v="1"/>
    <s v="Life Sciences"/>
    <n v="1"/>
    <x v="0"/>
    <x v="2"/>
    <s v="Single"/>
    <s v="Yes"/>
    <x v="35"/>
    <n v="6"/>
    <s v="Bachelor's Degree"/>
    <n v="4"/>
    <n v="1"/>
    <x v="0"/>
    <n v="2926"/>
    <n v="1"/>
    <x v="1"/>
    <x v="6"/>
    <n v="0"/>
    <n v="1"/>
    <n v="0"/>
    <n v="1"/>
  </r>
  <r>
    <n v="104"/>
    <x v="1"/>
    <x v="0"/>
    <x v="2"/>
    <x v="1"/>
    <s v="Other"/>
    <n v="1"/>
    <x v="0"/>
    <x v="1"/>
    <s v="Single"/>
    <s v="No"/>
    <x v="13"/>
    <n v="6"/>
    <s v="Master's Degree"/>
    <n v="1"/>
    <n v="2"/>
    <x v="2"/>
    <n v="4809"/>
    <n v="16"/>
    <x v="1"/>
    <x v="22"/>
    <n v="13"/>
    <n v="2"/>
    <n v="10"/>
    <n v="0"/>
  </r>
  <r>
    <n v="105"/>
    <x v="1"/>
    <x v="2"/>
    <x v="0"/>
    <x v="1"/>
    <s v="Life Sciences"/>
    <n v="1"/>
    <x v="1"/>
    <x v="4"/>
    <s v="Divorced"/>
    <s v="No"/>
    <x v="2"/>
    <n v="2"/>
    <s v="Associates Degree"/>
    <n v="3"/>
    <n v="2"/>
    <x v="0"/>
    <n v="5163"/>
    <n v="17"/>
    <x v="3"/>
    <x v="6"/>
    <n v="0"/>
    <n v="0"/>
    <n v="0"/>
    <n v="0"/>
  </r>
  <r>
    <n v="106"/>
    <x v="1"/>
    <x v="2"/>
    <x v="3"/>
    <x v="2"/>
    <s v="Human Resources"/>
    <n v="1"/>
    <x v="0"/>
    <x v="5"/>
    <s v="Married"/>
    <s v="No"/>
    <x v="6"/>
    <n v="2"/>
    <s v="Master's Degree"/>
    <n v="3"/>
    <n v="5"/>
    <x v="0"/>
    <n v="18844"/>
    <n v="30"/>
    <x v="1"/>
    <x v="11"/>
    <n v="2"/>
    <n v="2"/>
    <n v="2"/>
    <n v="0"/>
  </r>
  <r>
    <n v="107"/>
    <x v="1"/>
    <x v="1"/>
    <x v="1"/>
    <x v="1"/>
    <s v="Life Sciences"/>
    <n v="1"/>
    <x v="0"/>
    <x v="7"/>
    <s v="Married"/>
    <s v="Yes"/>
    <x v="24"/>
    <n v="1"/>
    <s v="Bachelor's Degree"/>
    <n v="1"/>
    <n v="5"/>
    <x v="1"/>
    <n v="18172"/>
    <n v="28"/>
    <x v="2"/>
    <x v="3"/>
    <n v="3"/>
    <n v="0"/>
    <n v="7"/>
    <n v="0"/>
  </r>
  <r>
    <n v="108"/>
    <x v="0"/>
    <x v="0"/>
    <x v="2"/>
    <x v="0"/>
    <s v="Marketing"/>
    <n v="1"/>
    <x v="1"/>
    <x v="0"/>
    <s v="Single"/>
    <s v="Yes"/>
    <x v="36"/>
    <n v="5"/>
    <s v="Bachelor's Degree"/>
    <n v="3"/>
    <n v="2"/>
    <x v="2"/>
    <n v="5744"/>
    <n v="6"/>
    <x v="1"/>
    <x v="0"/>
    <n v="4"/>
    <n v="0"/>
    <n v="3"/>
    <n v="1"/>
  </r>
  <r>
    <n v="109"/>
    <x v="1"/>
    <x v="0"/>
    <x v="2"/>
    <x v="1"/>
    <s v="Medical"/>
    <n v="1"/>
    <x v="1"/>
    <x v="1"/>
    <s v="Married"/>
    <s v="No"/>
    <x v="36"/>
    <n v="7"/>
    <s v="High School"/>
    <n v="4"/>
    <n v="1"/>
    <x v="0"/>
    <n v="2889"/>
    <n v="2"/>
    <x v="1"/>
    <x v="4"/>
    <n v="2"/>
    <n v="2"/>
    <n v="1"/>
    <n v="0"/>
  </r>
  <r>
    <n v="110"/>
    <x v="1"/>
    <x v="0"/>
    <x v="4"/>
    <x v="1"/>
    <s v="Medical"/>
    <n v="1"/>
    <x v="0"/>
    <x v="2"/>
    <s v="Single"/>
    <s v="No"/>
    <x v="15"/>
    <n v="15"/>
    <s v="Bachelor's Degree"/>
    <n v="2"/>
    <n v="1"/>
    <x v="0"/>
    <n v="2871"/>
    <n v="1"/>
    <x v="1"/>
    <x v="2"/>
    <n v="0"/>
    <n v="0"/>
    <n v="0"/>
    <n v="0"/>
  </r>
  <r>
    <n v="111"/>
    <x v="1"/>
    <x v="1"/>
    <x v="1"/>
    <x v="1"/>
    <s v="Medical"/>
    <n v="1"/>
    <x v="0"/>
    <x v="4"/>
    <s v="Single"/>
    <s v="No"/>
    <x v="31"/>
    <n v="1"/>
    <s v="Master's Degree"/>
    <n v="1"/>
    <n v="3"/>
    <x v="3"/>
    <n v="7484"/>
    <n v="23"/>
    <x v="2"/>
    <x v="20"/>
    <n v="12"/>
    <n v="12"/>
    <n v="8"/>
    <n v="0"/>
  </r>
  <r>
    <n v="112"/>
    <x v="0"/>
    <x v="1"/>
    <x v="2"/>
    <x v="1"/>
    <s v="Life Sciences"/>
    <n v="1"/>
    <x v="1"/>
    <x v="2"/>
    <s v="Single"/>
    <s v="Yes"/>
    <x v="13"/>
    <n v="7"/>
    <s v="Bachelor's Degree"/>
    <n v="1"/>
    <n v="2"/>
    <x v="2"/>
    <n v="6074"/>
    <n v="9"/>
    <x v="1"/>
    <x v="7"/>
    <n v="7"/>
    <n v="0"/>
    <n v="6"/>
    <n v="1"/>
  </r>
  <r>
    <n v="113"/>
    <x v="1"/>
    <x v="2"/>
    <x v="1"/>
    <x v="2"/>
    <s v="Human Resources"/>
    <n v="1"/>
    <x v="0"/>
    <x v="5"/>
    <s v="Single"/>
    <s v="Yes"/>
    <x v="33"/>
    <n v="26"/>
    <s v="Bachelor's Degree"/>
    <n v="4"/>
    <n v="4"/>
    <x v="0"/>
    <n v="17328"/>
    <n v="23"/>
    <x v="1"/>
    <x v="8"/>
    <n v="3"/>
    <n v="4"/>
    <n v="4"/>
    <n v="0"/>
  </r>
  <r>
    <n v="114"/>
    <x v="1"/>
    <x v="0"/>
    <x v="4"/>
    <x v="1"/>
    <s v="Life Sciences"/>
    <n v="1"/>
    <x v="1"/>
    <x v="2"/>
    <s v="Married"/>
    <s v="No"/>
    <x v="17"/>
    <n v="18"/>
    <s v="High School"/>
    <n v="2"/>
    <n v="1"/>
    <x v="2"/>
    <n v="2774"/>
    <n v="6"/>
    <x v="1"/>
    <x v="8"/>
    <n v="3"/>
    <n v="1"/>
    <n v="2"/>
    <n v="0"/>
  </r>
  <r>
    <n v="115"/>
    <x v="1"/>
    <x v="0"/>
    <x v="2"/>
    <x v="1"/>
    <s v="Life Sciences"/>
    <n v="1"/>
    <x v="0"/>
    <x v="1"/>
    <s v="Divorced"/>
    <s v="No"/>
    <x v="13"/>
    <n v="6"/>
    <s v="Master's Degree"/>
    <n v="3"/>
    <n v="2"/>
    <x v="1"/>
    <n v="4505"/>
    <n v="12"/>
    <x v="1"/>
    <x v="6"/>
    <n v="0"/>
    <n v="0"/>
    <n v="0"/>
    <n v="0"/>
  </r>
  <r>
    <n v="116"/>
    <x v="1"/>
    <x v="0"/>
    <x v="0"/>
    <x v="0"/>
    <s v="Life Sciences"/>
    <n v="1"/>
    <x v="1"/>
    <x v="0"/>
    <s v="Single"/>
    <s v="No"/>
    <x v="2"/>
    <n v="3"/>
    <s v="Bachelor's Degree"/>
    <n v="3"/>
    <n v="3"/>
    <x v="0"/>
    <n v="7428"/>
    <n v="12"/>
    <x v="1"/>
    <x v="8"/>
    <n v="3"/>
    <n v="1"/>
    <n v="3"/>
    <n v="0"/>
  </r>
  <r>
    <n v="117"/>
    <x v="1"/>
    <x v="0"/>
    <x v="2"/>
    <x v="1"/>
    <s v="Medical"/>
    <n v="1"/>
    <x v="0"/>
    <x v="5"/>
    <s v="Single"/>
    <s v="No"/>
    <x v="13"/>
    <n v="5"/>
    <s v="Bachelor's Degree"/>
    <n v="3"/>
    <n v="3"/>
    <x v="3"/>
    <n v="11631"/>
    <n v="14"/>
    <x v="1"/>
    <x v="19"/>
    <n v="10"/>
    <n v="5"/>
    <n v="8"/>
    <n v="0"/>
  </r>
  <r>
    <n v="118"/>
    <x v="1"/>
    <x v="1"/>
    <x v="0"/>
    <x v="0"/>
    <s v="Technical Degree"/>
    <n v="1"/>
    <x v="0"/>
    <x v="0"/>
    <s v="Married"/>
    <s v="No"/>
    <x v="9"/>
    <n v="11"/>
    <s v="Associates Degree"/>
    <n v="2"/>
    <n v="3"/>
    <x v="0"/>
    <n v="9738"/>
    <n v="10"/>
    <x v="1"/>
    <x v="7"/>
    <n v="7"/>
    <n v="2"/>
    <n v="8"/>
    <n v="0"/>
  </r>
  <r>
    <n v="119"/>
    <x v="1"/>
    <x v="0"/>
    <x v="0"/>
    <x v="1"/>
    <s v="Life Sciences"/>
    <n v="1"/>
    <x v="0"/>
    <x v="2"/>
    <s v="Divorced"/>
    <s v="No"/>
    <x v="9"/>
    <n v="3"/>
    <s v="Associates Degree"/>
    <n v="1"/>
    <n v="1"/>
    <x v="0"/>
    <n v="2835"/>
    <n v="7"/>
    <x v="1"/>
    <x v="6"/>
    <n v="0"/>
    <n v="0"/>
    <n v="0"/>
    <n v="0"/>
  </r>
  <r>
    <n v="120"/>
    <x v="1"/>
    <x v="1"/>
    <x v="0"/>
    <x v="0"/>
    <s v="Life Sciences"/>
    <n v="1"/>
    <x v="1"/>
    <x v="5"/>
    <s v="Married"/>
    <s v="Yes"/>
    <x v="23"/>
    <n v="26"/>
    <s v="Associates Degree"/>
    <n v="3"/>
    <n v="4"/>
    <x v="0"/>
    <n v="16959"/>
    <n v="25"/>
    <x v="3"/>
    <x v="10"/>
    <n v="12"/>
    <n v="4"/>
    <n v="12"/>
    <n v="0"/>
  </r>
  <r>
    <n v="121"/>
    <x v="1"/>
    <x v="1"/>
    <x v="2"/>
    <x v="1"/>
    <s v="Life Sciences"/>
    <n v="1"/>
    <x v="1"/>
    <x v="1"/>
    <s v="Divorced"/>
    <s v="No"/>
    <x v="7"/>
    <n v="23"/>
    <s v="Bachelor's Degree"/>
    <n v="1"/>
    <n v="1"/>
    <x v="2"/>
    <n v="2613"/>
    <n v="10"/>
    <x v="2"/>
    <x v="1"/>
    <n v="7"/>
    <n v="0"/>
    <n v="9"/>
    <n v="0"/>
  </r>
  <r>
    <n v="122"/>
    <x v="1"/>
    <x v="2"/>
    <x v="2"/>
    <x v="0"/>
    <s v="Marketing"/>
    <n v="1"/>
    <x v="1"/>
    <x v="0"/>
    <s v="Married"/>
    <s v="No"/>
    <x v="3"/>
    <n v="22"/>
    <s v="Associates Degree"/>
    <n v="3"/>
    <n v="2"/>
    <x v="1"/>
    <n v="6146"/>
    <n v="8"/>
    <x v="3"/>
    <x v="5"/>
    <n v="7"/>
    <n v="0"/>
    <n v="7"/>
    <n v="0"/>
  </r>
  <r>
    <n v="123"/>
    <x v="0"/>
    <x v="0"/>
    <x v="3"/>
    <x v="1"/>
    <s v="Life Sciences"/>
    <n v="1"/>
    <x v="0"/>
    <x v="1"/>
    <s v="Married"/>
    <s v="Yes"/>
    <x v="29"/>
    <n v="14"/>
    <s v="Master's Degree"/>
    <n v="2"/>
    <n v="1"/>
    <x v="1"/>
    <n v="4963"/>
    <n v="7"/>
    <x v="1"/>
    <x v="8"/>
    <n v="4"/>
    <n v="4"/>
    <n v="3"/>
    <n v="1"/>
  </r>
  <r>
    <n v="124"/>
    <x v="1"/>
    <x v="0"/>
    <x v="1"/>
    <x v="1"/>
    <s v="Life Sciences"/>
    <n v="1"/>
    <x v="1"/>
    <x v="7"/>
    <s v="Single"/>
    <s v="No"/>
    <x v="31"/>
    <n v="6"/>
    <s v="Bachelor's Degree"/>
    <n v="1"/>
    <n v="5"/>
    <x v="2"/>
    <n v="19537"/>
    <n v="23"/>
    <x v="1"/>
    <x v="23"/>
    <n v="18"/>
    <n v="15"/>
    <n v="15"/>
    <n v="0"/>
  </r>
  <r>
    <n v="125"/>
    <x v="0"/>
    <x v="0"/>
    <x v="2"/>
    <x v="0"/>
    <s v="Life Sciences"/>
    <n v="1"/>
    <x v="1"/>
    <x v="0"/>
    <s v="Married"/>
    <s v="Yes"/>
    <x v="12"/>
    <n v="6"/>
    <s v="Master's Degree"/>
    <n v="2"/>
    <n v="2"/>
    <x v="2"/>
    <n v="6172"/>
    <n v="12"/>
    <x v="2"/>
    <x v="5"/>
    <n v="7"/>
    <n v="7"/>
    <n v="7"/>
    <n v="1"/>
  </r>
  <r>
    <n v="126"/>
    <x v="1"/>
    <x v="0"/>
    <x v="2"/>
    <x v="1"/>
    <s v="Other"/>
    <n v="1"/>
    <x v="0"/>
    <x v="1"/>
    <s v="Married"/>
    <s v="No"/>
    <x v="25"/>
    <n v="6"/>
    <s v="Bachelor's Degree"/>
    <n v="3"/>
    <n v="1"/>
    <x v="1"/>
    <n v="2368"/>
    <n v="5"/>
    <x v="2"/>
    <x v="8"/>
    <n v="4"/>
    <n v="4"/>
    <n v="3"/>
    <n v="0"/>
  </r>
  <r>
    <n v="127"/>
    <x v="0"/>
    <x v="0"/>
    <x v="3"/>
    <x v="1"/>
    <s v="Medical"/>
    <n v="1"/>
    <x v="0"/>
    <x v="4"/>
    <s v="Married"/>
    <s v="No"/>
    <x v="34"/>
    <n v="23"/>
    <s v="Master's Degree"/>
    <n v="4"/>
    <n v="3"/>
    <x v="0"/>
    <n v="10312"/>
    <n v="40"/>
    <x v="2"/>
    <x v="24"/>
    <n v="10"/>
    <n v="15"/>
    <n v="6"/>
    <n v="1"/>
  </r>
  <r>
    <n v="128"/>
    <x v="0"/>
    <x v="0"/>
    <x v="4"/>
    <x v="0"/>
    <s v="Marketing"/>
    <n v="1"/>
    <x v="1"/>
    <x v="6"/>
    <s v="Single"/>
    <s v="Yes"/>
    <x v="37"/>
    <n v="22"/>
    <s v="High School"/>
    <n v="4"/>
    <n v="1"/>
    <x v="2"/>
    <n v="1675"/>
    <n v="0"/>
    <x v="2"/>
    <x v="2"/>
    <n v="0"/>
    <n v="0"/>
    <n v="0"/>
    <n v="1"/>
  </r>
  <r>
    <n v="129"/>
    <x v="1"/>
    <x v="0"/>
    <x v="4"/>
    <x v="1"/>
    <s v="Technical Degree"/>
    <n v="1"/>
    <x v="1"/>
    <x v="2"/>
    <s v="Married"/>
    <s v="No"/>
    <x v="15"/>
    <n v="2"/>
    <s v="High School"/>
    <n v="3"/>
    <n v="1"/>
    <x v="0"/>
    <n v="2523"/>
    <n v="3"/>
    <x v="1"/>
    <x v="4"/>
    <n v="1"/>
    <n v="2"/>
    <n v="1"/>
    <n v="0"/>
  </r>
  <r>
    <n v="130"/>
    <x v="1"/>
    <x v="0"/>
    <x v="1"/>
    <x v="1"/>
    <s v="Medical"/>
    <n v="1"/>
    <x v="0"/>
    <x v="3"/>
    <s v="Married"/>
    <s v="No"/>
    <x v="1"/>
    <n v="20"/>
    <s v="Master's Degree"/>
    <n v="3"/>
    <n v="2"/>
    <x v="3"/>
    <n v="6567"/>
    <n v="16"/>
    <x v="2"/>
    <x v="15"/>
    <n v="11"/>
    <n v="5"/>
    <n v="11"/>
    <n v="0"/>
  </r>
  <r>
    <n v="131"/>
    <x v="1"/>
    <x v="1"/>
    <x v="0"/>
    <x v="1"/>
    <s v="Medical"/>
    <n v="1"/>
    <x v="0"/>
    <x v="1"/>
    <s v="Single"/>
    <s v="No"/>
    <x v="23"/>
    <n v="28"/>
    <s v="Bachelor's Degree"/>
    <n v="2"/>
    <n v="1"/>
    <x v="2"/>
    <n v="4739"/>
    <n v="18"/>
    <x v="1"/>
    <x v="11"/>
    <n v="2"/>
    <n v="1"/>
    <n v="2"/>
    <n v="0"/>
  </r>
  <r>
    <n v="132"/>
    <x v="1"/>
    <x v="1"/>
    <x v="1"/>
    <x v="0"/>
    <s v="Marketing"/>
    <n v="1"/>
    <x v="0"/>
    <x v="0"/>
    <s v="Single"/>
    <s v="No"/>
    <x v="24"/>
    <n v="12"/>
    <s v="Bachelor's Degree"/>
    <n v="3"/>
    <n v="3"/>
    <x v="0"/>
    <n v="9208"/>
    <n v="16"/>
    <x v="1"/>
    <x v="4"/>
    <n v="2"/>
    <n v="2"/>
    <n v="1"/>
    <n v="0"/>
  </r>
  <r>
    <n v="133"/>
    <x v="0"/>
    <x v="0"/>
    <x v="2"/>
    <x v="0"/>
    <s v="Life Sciences"/>
    <n v="1"/>
    <x v="0"/>
    <x v="0"/>
    <s v="Married"/>
    <s v="Yes"/>
    <x v="12"/>
    <n v="20"/>
    <s v="Bachelor's Degree"/>
    <n v="2"/>
    <n v="2"/>
    <x v="2"/>
    <n v="4559"/>
    <n v="4"/>
    <x v="1"/>
    <x v="4"/>
    <n v="2"/>
    <n v="2"/>
    <n v="2"/>
    <n v="1"/>
  </r>
  <r>
    <n v="134"/>
    <x v="1"/>
    <x v="0"/>
    <x v="0"/>
    <x v="0"/>
    <s v="Life Sciences"/>
    <n v="1"/>
    <x v="1"/>
    <x v="0"/>
    <s v="Divorced"/>
    <s v="Yes"/>
    <x v="0"/>
    <n v="9"/>
    <s v="High School"/>
    <n v="3"/>
    <n v="3"/>
    <x v="2"/>
    <n v="8189"/>
    <n v="12"/>
    <x v="1"/>
    <x v="7"/>
    <n v="7"/>
    <n v="0"/>
    <n v="7"/>
    <n v="0"/>
  </r>
  <r>
    <n v="135"/>
    <x v="1"/>
    <x v="0"/>
    <x v="2"/>
    <x v="2"/>
    <s v="Life Sciences"/>
    <n v="1"/>
    <x v="0"/>
    <x v="8"/>
    <s v="Married"/>
    <s v="No"/>
    <x v="25"/>
    <n v="25"/>
    <s v="High School"/>
    <n v="3"/>
    <n v="1"/>
    <x v="2"/>
    <n v="2942"/>
    <n v="8"/>
    <x v="1"/>
    <x v="3"/>
    <n v="7"/>
    <n v="5"/>
    <n v="7"/>
    <n v="0"/>
  </r>
  <r>
    <n v="136"/>
    <x v="1"/>
    <x v="0"/>
    <x v="0"/>
    <x v="1"/>
    <s v="Medical"/>
    <n v="1"/>
    <x v="1"/>
    <x v="3"/>
    <s v="Divorced"/>
    <s v="No"/>
    <x v="9"/>
    <n v="6"/>
    <s v="Associates Degree"/>
    <n v="2"/>
    <n v="2"/>
    <x v="1"/>
    <n v="4941"/>
    <n v="7"/>
    <x v="1"/>
    <x v="11"/>
    <n v="2"/>
    <n v="0"/>
    <n v="1"/>
    <n v="0"/>
  </r>
  <r>
    <n v="137"/>
    <x v="0"/>
    <x v="1"/>
    <x v="1"/>
    <x v="1"/>
    <s v="Life Sciences"/>
    <n v="1"/>
    <x v="1"/>
    <x v="3"/>
    <s v="Single"/>
    <s v="No"/>
    <x v="31"/>
    <n v="8"/>
    <s v="Master's Degree"/>
    <n v="1"/>
    <n v="3"/>
    <x v="0"/>
    <n v="10650"/>
    <n v="18"/>
    <x v="1"/>
    <x v="9"/>
    <n v="2"/>
    <n v="0"/>
    <n v="3"/>
    <n v="1"/>
  </r>
  <r>
    <n v="138"/>
    <x v="1"/>
    <x v="0"/>
    <x v="0"/>
    <x v="0"/>
    <s v="Life Sciences"/>
    <n v="1"/>
    <x v="0"/>
    <x v="0"/>
    <s v="Married"/>
    <s v="No"/>
    <x v="22"/>
    <n v="4"/>
    <s v="Master's Degree"/>
    <n v="4"/>
    <n v="2"/>
    <x v="2"/>
    <n v="5902"/>
    <n v="17"/>
    <x v="3"/>
    <x v="15"/>
    <n v="11"/>
    <n v="5"/>
    <n v="9"/>
    <n v="0"/>
  </r>
  <r>
    <n v="139"/>
    <x v="1"/>
    <x v="0"/>
    <x v="2"/>
    <x v="0"/>
    <s v="Life Sciences"/>
    <n v="1"/>
    <x v="1"/>
    <x v="0"/>
    <s v="Married"/>
    <s v="No"/>
    <x v="36"/>
    <n v="28"/>
    <s v="Bachelor's Degree"/>
    <n v="1"/>
    <n v="2"/>
    <x v="2"/>
    <n v="8639"/>
    <n v="6"/>
    <x v="1"/>
    <x v="4"/>
    <n v="2"/>
    <n v="2"/>
    <n v="2"/>
    <n v="0"/>
  </r>
  <r>
    <n v="140"/>
    <x v="1"/>
    <x v="0"/>
    <x v="2"/>
    <x v="2"/>
    <s v="Human Resources"/>
    <n v="1"/>
    <x v="1"/>
    <x v="8"/>
    <s v="Married"/>
    <s v="Yes"/>
    <x v="7"/>
    <n v="9"/>
    <s v="Bachelor's Degree"/>
    <n v="3"/>
    <n v="2"/>
    <x v="0"/>
    <n v="6347"/>
    <n v="12"/>
    <x v="0"/>
    <x v="19"/>
    <n v="9"/>
    <n v="4"/>
    <n v="7"/>
    <n v="0"/>
  </r>
  <r>
    <n v="141"/>
    <x v="0"/>
    <x v="0"/>
    <x v="2"/>
    <x v="1"/>
    <s v="Medical"/>
    <n v="1"/>
    <x v="0"/>
    <x v="2"/>
    <s v="Single"/>
    <s v="No"/>
    <x v="5"/>
    <n v="9"/>
    <s v="Bachelor's Degree"/>
    <n v="1"/>
    <n v="1"/>
    <x v="3"/>
    <n v="4200"/>
    <n v="10"/>
    <x v="3"/>
    <x v="8"/>
    <n v="4"/>
    <n v="0"/>
    <n v="4"/>
    <n v="1"/>
  </r>
  <r>
    <n v="142"/>
    <x v="1"/>
    <x v="0"/>
    <x v="1"/>
    <x v="1"/>
    <s v="Medical"/>
    <n v="1"/>
    <x v="1"/>
    <x v="1"/>
    <s v="Single"/>
    <s v="No"/>
    <x v="28"/>
    <n v="29"/>
    <s v="Bachelor's Degree"/>
    <n v="3"/>
    <n v="1"/>
    <x v="0"/>
    <n v="3452"/>
    <n v="9"/>
    <x v="2"/>
    <x v="0"/>
    <n v="5"/>
    <n v="0"/>
    <n v="3"/>
    <n v="0"/>
  </r>
  <r>
    <n v="143"/>
    <x v="1"/>
    <x v="0"/>
    <x v="0"/>
    <x v="1"/>
    <s v="Technical Degree"/>
    <n v="1"/>
    <x v="0"/>
    <x v="1"/>
    <s v="Single"/>
    <s v="Yes"/>
    <x v="8"/>
    <n v="3"/>
    <s v="Doctoral Degree"/>
    <n v="4"/>
    <n v="2"/>
    <x v="2"/>
    <n v="4317"/>
    <n v="19"/>
    <x v="1"/>
    <x v="11"/>
    <n v="2"/>
    <n v="2"/>
    <n v="2"/>
    <n v="0"/>
  </r>
  <r>
    <n v="144"/>
    <x v="1"/>
    <x v="0"/>
    <x v="2"/>
    <x v="1"/>
    <s v="Life Sciences"/>
    <n v="1"/>
    <x v="0"/>
    <x v="1"/>
    <s v="Single"/>
    <s v="No"/>
    <x v="7"/>
    <n v="18"/>
    <s v="Bachelor's Degree"/>
    <n v="1"/>
    <n v="1"/>
    <x v="2"/>
    <n v="2632"/>
    <n v="5"/>
    <x v="2"/>
    <x v="8"/>
    <n v="4"/>
    <n v="0"/>
    <n v="4"/>
    <n v="0"/>
  </r>
  <r>
    <n v="145"/>
    <x v="1"/>
    <x v="1"/>
    <x v="2"/>
    <x v="0"/>
    <s v="Medical"/>
    <n v="1"/>
    <x v="1"/>
    <x v="0"/>
    <s v="Divorced"/>
    <s v="No"/>
    <x v="5"/>
    <n v="9"/>
    <s v="Associates Degree"/>
    <n v="4"/>
    <n v="2"/>
    <x v="0"/>
    <n v="4668"/>
    <n v="9"/>
    <x v="3"/>
    <x v="3"/>
    <n v="7"/>
    <n v="0"/>
    <n v="7"/>
    <n v="0"/>
  </r>
  <r>
    <n v="146"/>
    <x v="1"/>
    <x v="0"/>
    <x v="2"/>
    <x v="1"/>
    <s v="Technical Degree"/>
    <n v="1"/>
    <x v="0"/>
    <x v="1"/>
    <s v="Divorced"/>
    <s v="No"/>
    <x v="7"/>
    <n v="5"/>
    <s v="Bachelor's Degree"/>
    <n v="4"/>
    <n v="1"/>
    <x v="3"/>
    <n v="3204"/>
    <n v="8"/>
    <x v="1"/>
    <x v="11"/>
    <n v="2"/>
    <n v="2"/>
    <n v="2"/>
    <n v="0"/>
  </r>
  <r>
    <n v="147"/>
    <x v="1"/>
    <x v="0"/>
    <x v="2"/>
    <x v="1"/>
    <s v="Medical"/>
    <n v="1"/>
    <x v="1"/>
    <x v="2"/>
    <s v="Single"/>
    <s v="No"/>
    <x v="7"/>
    <n v="2"/>
    <s v="High School"/>
    <n v="2"/>
    <n v="1"/>
    <x v="0"/>
    <n v="2720"/>
    <n v="6"/>
    <x v="1"/>
    <x v="8"/>
    <n v="3"/>
    <n v="1"/>
    <n v="2"/>
    <n v="0"/>
  </r>
  <r>
    <n v="148"/>
    <x v="1"/>
    <x v="1"/>
    <x v="0"/>
    <x v="1"/>
    <s v="Life Sciences"/>
    <n v="1"/>
    <x v="1"/>
    <x v="5"/>
    <s v="Divorced"/>
    <s v="No"/>
    <x v="0"/>
    <n v="10"/>
    <s v="Bachelor's Degree"/>
    <n v="4"/>
    <n v="4"/>
    <x v="3"/>
    <n v="17181"/>
    <n v="21"/>
    <x v="2"/>
    <x v="5"/>
    <n v="6"/>
    <n v="7"/>
    <n v="7"/>
    <n v="0"/>
  </r>
  <r>
    <n v="149"/>
    <x v="1"/>
    <x v="0"/>
    <x v="0"/>
    <x v="1"/>
    <s v="Life Sciences"/>
    <n v="1"/>
    <x v="1"/>
    <x v="2"/>
    <s v="Married"/>
    <s v="No"/>
    <x v="0"/>
    <n v="9"/>
    <s v="Master's Degree"/>
    <n v="3"/>
    <n v="1"/>
    <x v="3"/>
    <n v="2238"/>
    <n v="7"/>
    <x v="1"/>
    <x v="8"/>
    <n v="0"/>
    <n v="1"/>
    <n v="4"/>
    <n v="0"/>
  </r>
  <r>
    <n v="150"/>
    <x v="1"/>
    <x v="0"/>
    <x v="4"/>
    <x v="1"/>
    <s v="Medical"/>
    <n v="1"/>
    <x v="0"/>
    <x v="2"/>
    <s v="Single"/>
    <s v="No"/>
    <x v="37"/>
    <n v="3"/>
    <s v="High School"/>
    <n v="2"/>
    <n v="1"/>
    <x v="1"/>
    <n v="1483"/>
    <n v="1"/>
    <x v="1"/>
    <x v="6"/>
    <n v="0"/>
    <n v="0"/>
    <n v="0"/>
    <n v="0"/>
  </r>
  <r>
    <n v="151"/>
    <x v="1"/>
    <x v="1"/>
    <x v="0"/>
    <x v="1"/>
    <s v="Medical"/>
    <n v="1"/>
    <x v="0"/>
    <x v="1"/>
    <s v="Divorced"/>
    <s v="No"/>
    <x v="32"/>
    <n v="26"/>
    <s v="Bachelor's Degree"/>
    <n v="2"/>
    <n v="2"/>
    <x v="1"/>
    <n v="5605"/>
    <n v="20"/>
    <x v="1"/>
    <x v="23"/>
    <n v="7"/>
    <n v="2"/>
    <n v="13"/>
    <n v="0"/>
  </r>
  <r>
    <n v="152"/>
    <x v="1"/>
    <x v="0"/>
    <x v="0"/>
    <x v="0"/>
    <s v="Marketing"/>
    <n v="1"/>
    <x v="1"/>
    <x v="0"/>
    <s v="Married"/>
    <s v="No"/>
    <x v="10"/>
    <n v="1"/>
    <s v="Doctoral Degree"/>
    <n v="3"/>
    <n v="3"/>
    <x v="1"/>
    <n v="7295"/>
    <n v="10"/>
    <x v="1"/>
    <x v="1"/>
    <n v="8"/>
    <n v="0"/>
    <n v="6"/>
    <n v="0"/>
  </r>
  <r>
    <n v="153"/>
    <x v="1"/>
    <x v="0"/>
    <x v="1"/>
    <x v="0"/>
    <s v="Marketing"/>
    <n v="1"/>
    <x v="1"/>
    <x v="6"/>
    <s v="Married"/>
    <s v="Yes"/>
    <x v="16"/>
    <n v="6"/>
    <s v="Associates Degree"/>
    <n v="2"/>
    <n v="2"/>
    <x v="2"/>
    <n v="2306"/>
    <n v="13"/>
    <x v="0"/>
    <x v="5"/>
    <n v="7"/>
    <n v="4"/>
    <n v="5"/>
    <n v="0"/>
  </r>
  <r>
    <n v="154"/>
    <x v="1"/>
    <x v="0"/>
    <x v="1"/>
    <x v="1"/>
    <s v="Life Sciences"/>
    <n v="1"/>
    <x v="1"/>
    <x v="2"/>
    <s v="Divorced"/>
    <s v="No"/>
    <x v="28"/>
    <n v="9"/>
    <s v="Bachelor's Degree"/>
    <n v="2"/>
    <n v="2"/>
    <x v="1"/>
    <n v="2348"/>
    <n v="20"/>
    <x v="0"/>
    <x v="18"/>
    <n v="9"/>
    <n v="0"/>
    <n v="15"/>
    <n v="0"/>
  </r>
  <r>
    <n v="155"/>
    <x v="1"/>
    <x v="1"/>
    <x v="2"/>
    <x v="0"/>
    <s v="Marketing"/>
    <n v="1"/>
    <x v="0"/>
    <x v="0"/>
    <s v="Single"/>
    <s v="No"/>
    <x v="5"/>
    <n v="8"/>
    <s v="Bachelor's Degree"/>
    <n v="2"/>
    <n v="3"/>
    <x v="0"/>
    <n v="8998"/>
    <n v="9"/>
    <x v="1"/>
    <x v="7"/>
    <n v="8"/>
    <n v="3"/>
    <n v="7"/>
    <n v="0"/>
  </r>
  <r>
    <n v="156"/>
    <x v="1"/>
    <x v="2"/>
    <x v="2"/>
    <x v="1"/>
    <s v="Technical Degree"/>
    <n v="1"/>
    <x v="1"/>
    <x v="3"/>
    <s v="Married"/>
    <s v="No"/>
    <x v="11"/>
    <n v="1"/>
    <s v="High School"/>
    <n v="4"/>
    <n v="2"/>
    <x v="2"/>
    <n v="4319"/>
    <n v="10"/>
    <x v="1"/>
    <x v="1"/>
    <n v="7"/>
    <n v="0"/>
    <n v="9"/>
    <n v="0"/>
  </r>
  <r>
    <n v="157"/>
    <x v="1"/>
    <x v="0"/>
    <x v="1"/>
    <x v="1"/>
    <s v="Medical"/>
    <n v="1"/>
    <x v="1"/>
    <x v="3"/>
    <s v="Married"/>
    <s v="No"/>
    <x v="31"/>
    <n v="7"/>
    <s v="Master's Degree"/>
    <n v="2"/>
    <n v="2"/>
    <x v="2"/>
    <n v="6132"/>
    <n v="10"/>
    <x v="1"/>
    <x v="6"/>
    <n v="0"/>
    <n v="0"/>
    <n v="0"/>
    <n v="0"/>
  </r>
  <r>
    <n v="158"/>
    <x v="1"/>
    <x v="0"/>
    <x v="3"/>
    <x v="1"/>
    <s v="Medical"/>
    <n v="1"/>
    <x v="0"/>
    <x v="1"/>
    <s v="Married"/>
    <s v="Yes"/>
    <x v="34"/>
    <n v="9"/>
    <s v="Bachelor's Degree"/>
    <n v="2"/>
    <n v="1"/>
    <x v="1"/>
    <n v="3346"/>
    <n v="9"/>
    <x v="2"/>
    <x v="6"/>
    <n v="0"/>
    <n v="0"/>
    <n v="0"/>
    <n v="0"/>
  </r>
  <r>
    <n v="159"/>
    <x v="1"/>
    <x v="0"/>
    <x v="0"/>
    <x v="0"/>
    <s v="Marketing"/>
    <n v="1"/>
    <x v="1"/>
    <x v="0"/>
    <s v="Married"/>
    <s v="No"/>
    <x v="32"/>
    <n v="4"/>
    <s v="Master's Degree"/>
    <n v="3"/>
    <n v="3"/>
    <x v="0"/>
    <n v="10855"/>
    <n v="15"/>
    <x v="2"/>
    <x v="12"/>
    <n v="11"/>
    <n v="2"/>
    <n v="11"/>
    <n v="0"/>
  </r>
  <r>
    <n v="160"/>
    <x v="1"/>
    <x v="1"/>
    <x v="2"/>
    <x v="0"/>
    <s v="Marketing"/>
    <n v="1"/>
    <x v="0"/>
    <x v="6"/>
    <s v="Married"/>
    <s v="No"/>
    <x v="13"/>
    <n v="2"/>
    <s v="Master's Degree"/>
    <n v="3"/>
    <n v="1"/>
    <x v="2"/>
    <n v="2231"/>
    <n v="6"/>
    <x v="1"/>
    <x v="9"/>
    <n v="3"/>
    <n v="1"/>
    <n v="2"/>
    <n v="0"/>
  </r>
  <r>
    <n v="161"/>
    <x v="1"/>
    <x v="0"/>
    <x v="4"/>
    <x v="1"/>
    <s v="Medical"/>
    <n v="1"/>
    <x v="1"/>
    <x v="1"/>
    <s v="Married"/>
    <s v="No"/>
    <x v="15"/>
    <n v="19"/>
    <s v="High School"/>
    <n v="3"/>
    <n v="1"/>
    <x v="0"/>
    <n v="2323"/>
    <n v="2"/>
    <x v="1"/>
    <x v="4"/>
    <n v="2"/>
    <n v="2"/>
    <n v="2"/>
    <n v="0"/>
  </r>
  <r>
    <n v="162"/>
    <x v="1"/>
    <x v="2"/>
    <x v="2"/>
    <x v="1"/>
    <s v="Medical"/>
    <n v="1"/>
    <x v="1"/>
    <x v="1"/>
    <s v="Divorced"/>
    <s v="No"/>
    <x v="4"/>
    <n v="9"/>
    <s v="Bachelor's Degree"/>
    <n v="4"/>
    <n v="1"/>
    <x v="1"/>
    <n v="2024"/>
    <n v="6"/>
    <x v="0"/>
    <x v="4"/>
    <n v="2"/>
    <n v="2"/>
    <n v="2"/>
    <n v="0"/>
  </r>
  <r>
    <n v="163"/>
    <x v="1"/>
    <x v="0"/>
    <x v="2"/>
    <x v="1"/>
    <s v="Medical"/>
    <n v="1"/>
    <x v="1"/>
    <x v="1"/>
    <s v="Married"/>
    <s v="No"/>
    <x v="14"/>
    <n v="21"/>
    <s v="Bachelor's Degree"/>
    <n v="3"/>
    <n v="1"/>
    <x v="0"/>
    <n v="2713"/>
    <n v="5"/>
    <x v="0"/>
    <x v="8"/>
    <n v="2"/>
    <n v="0"/>
    <n v="2"/>
    <n v="0"/>
  </r>
  <r>
    <n v="164"/>
    <x v="1"/>
    <x v="0"/>
    <x v="3"/>
    <x v="1"/>
    <s v="Life Sciences"/>
    <n v="1"/>
    <x v="1"/>
    <x v="4"/>
    <s v="Divorced"/>
    <s v="Yes"/>
    <x v="38"/>
    <n v="24"/>
    <s v="Associates Degree"/>
    <n v="3"/>
    <n v="3"/>
    <x v="0"/>
    <n v="9439"/>
    <n v="12"/>
    <x v="0"/>
    <x v="8"/>
    <n v="3"/>
    <n v="1"/>
    <n v="4"/>
    <n v="0"/>
  </r>
  <r>
    <n v="165"/>
    <x v="1"/>
    <x v="2"/>
    <x v="2"/>
    <x v="1"/>
    <s v="Medical"/>
    <n v="1"/>
    <x v="1"/>
    <x v="1"/>
    <s v="Divorced"/>
    <s v="Yes"/>
    <x v="4"/>
    <n v="3"/>
    <s v="Bachelor's Degree"/>
    <n v="3"/>
    <n v="1"/>
    <x v="2"/>
    <n v="2566"/>
    <n v="1"/>
    <x v="2"/>
    <x v="6"/>
    <n v="1"/>
    <n v="0"/>
    <n v="1"/>
    <n v="0"/>
  </r>
  <r>
    <n v="166"/>
    <x v="1"/>
    <x v="0"/>
    <x v="1"/>
    <x v="1"/>
    <s v="Life Sciences"/>
    <n v="1"/>
    <x v="0"/>
    <x v="5"/>
    <s v="Single"/>
    <s v="No"/>
    <x v="24"/>
    <n v="11"/>
    <s v="Bachelor's Degree"/>
    <n v="3"/>
    <n v="5"/>
    <x v="1"/>
    <n v="19926"/>
    <n v="21"/>
    <x v="1"/>
    <x v="8"/>
    <n v="4"/>
    <n v="4"/>
    <n v="4"/>
    <n v="0"/>
  </r>
  <r>
    <n v="167"/>
    <x v="1"/>
    <x v="0"/>
    <x v="0"/>
    <x v="1"/>
    <s v="Life Sciences"/>
    <n v="1"/>
    <x v="1"/>
    <x v="1"/>
    <s v="Divorced"/>
    <s v="No"/>
    <x v="0"/>
    <n v="14"/>
    <s v="Bachelor's Degree"/>
    <n v="1"/>
    <n v="1"/>
    <x v="2"/>
    <n v="2451"/>
    <n v="13"/>
    <x v="1"/>
    <x v="7"/>
    <n v="8"/>
    <n v="1"/>
    <n v="8"/>
    <n v="0"/>
  </r>
  <r>
    <n v="168"/>
    <x v="1"/>
    <x v="0"/>
    <x v="2"/>
    <x v="0"/>
    <s v="Life Sciences"/>
    <n v="1"/>
    <x v="0"/>
    <x v="0"/>
    <s v="Married"/>
    <s v="No"/>
    <x v="7"/>
    <n v="5"/>
    <s v="Bachelor's Degree"/>
    <n v="2"/>
    <n v="3"/>
    <x v="0"/>
    <n v="9419"/>
    <n v="12"/>
    <x v="1"/>
    <x v="1"/>
    <n v="9"/>
    <n v="7"/>
    <n v="4"/>
    <n v="0"/>
  </r>
  <r>
    <n v="169"/>
    <x v="1"/>
    <x v="0"/>
    <x v="0"/>
    <x v="0"/>
    <s v="Life Sciences"/>
    <n v="1"/>
    <x v="0"/>
    <x v="0"/>
    <s v="Single"/>
    <s v="No"/>
    <x v="8"/>
    <n v="1"/>
    <s v="Master's Degree"/>
    <n v="1"/>
    <n v="2"/>
    <x v="0"/>
    <n v="8686"/>
    <n v="12"/>
    <x v="3"/>
    <x v="3"/>
    <n v="3"/>
    <n v="0"/>
    <n v="7"/>
    <n v="0"/>
  </r>
  <r>
    <n v="170"/>
    <x v="1"/>
    <x v="0"/>
    <x v="2"/>
    <x v="1"/>
    <s v="Life Sciences"/>
    <n v="1"/>
    <x v="1"/>
    <x v="1"/>
    <s v="Single"/>
    <s v="No"/>
    <x v="5"/>
    <n v="6"/>
    <s v="Doctoral Degree"/>
    <n v="3"/>
    <n v="1"/>
    <x v="2"/>
    <n v="3038"/>
    <n v="8"/>
    <x v="1"/>
    <x v="8"/>
    <n v="4"/>
    <n v="1"/>
    <n v="4"/>
    <n v="0"/>
  </r>
  <r>
    <n v="171"/>
    <x v="1"/>
    <x v="0"/>
    <x v="2"/>
    <x v="1"/>
    <s v="Technical Degree"/>
    <n v="1"/>
    <x v="1"/>
    <x v="1"/>
    <s v="Married"/>
    <s v="Yes"/>
    <x v="4"/>
    <n v="17"/>
    <s v="Bachelor's Degree"/>
    <n v="3"/>
    <n v="1"/>
    <x v="1"/>
    <n v="3058"/>
    <n v="6"/>
    <x v="2"/>
    <x v="8"/>
    <n v="2"/>
    <n v="1"/>
    <n v="1"/>
    <n v="0"/>
  </r>
  <r>
    <n v="172"/>
    <x v="0"/>
    <x v="1"/>
    <x v="4"/>
    <x v="0"/>
    <s v="Technical Degree"/>
    <n v="1"/>
    <x v="0"/>
    <x v="6"/>
    <s v="Single"/>
    <s v="No"/>
    <x v="37"/>
    <n v="1"/>
    <s v="High School"/>
    <n v="3"/>
    <n v="1"/>
    <x v="3"/>
    <n v="2325"/>
    <n v="1"/>
    <x v="3"/>
    <x v="2"/>
    <n v="0"/>
    <n v="0"/>
    <n v="0"/>
    <n v="1"/>
  </r>
  <r>
    <n v="173"/>
    <x v="1"/>
    <x v="1"/>
    <x v="0"/>
    <x v="1"/>
    <s v="Medical"/>
    <n v="1"/>
    <x v="1"/>
    <x v="2"/>
    <s v="Single"/>
    <s v="No"/>
    <x v="9"/>
    <n v="3"/>
    <s v="Associates Degree"/>
    <n v="4"/>
    <n v="1"/>
    <x v="1"/>
    <n v="2088"/>
    <n v="13"/>
    <x v="2"/>
    <x v="3"/>
    <n v="7"/>
    <n v="7"/>
    <n v="2"/>
    <n v="0"/>
  </r>
  <r>
    <n v="174"/>
    <x v="1"/>
    <x v="2"/>
    <x v="2"/>
    <x v="1"/>
    <s v="Medical"/>
    <n v="1"/>
    <x v="1"/>
    <x v="2"/>
    <s v="Divorced"/>
    <s v="No"/>
    <x v="7"/>
    <n v="9"/>
    <s v="Bachelor's Degree"/>
    <n v="3"/>
    <n v="2"/>
    <x v="3"/>
    <n v="3072"/>
    <n v="12"/>
    <x v="1"/>
    <x v="12"/>
    <n v="9"/>
    <n v="6"/>
    <n v="10"/>
    <n v="0"/>
  </r>
  <r>
    <n v="175"/>
    <x v="1"/>
    <x v="0"/>
    <x v="1"/>
    <x v="0"/>
    <s v="Life Sciences"/>
    <n v="1"/>
    <x v="0"/>
    <x v="0"/>
    <s v="Divorced"/>
    <s v="Yes"/>
    <x v="28"/>
    <n v="4"/>
    <s v="Associates Degree"/>
    <n v="3"/>
    <n v="2"/>
    <x v="3"/>
    <n v="5006"/>
    <n v="9"/>
    <x v="3"/>
    <x v="8"/>
    <n v="4"/>
    <n v="0"/>
    <n v="3"/>
    <n v="0"/>
  </r>
  <r>
    <n v="176"/>
    <x v="1"/>
    <x v="0"/>
    <x v="3"/>
    <x v="1"/>
    <s v="Life Sciences"/>
    <n v="1"/>
    <x v="0"/>
    <x v="1"/>
    <s v="Divorced"/>
    <s v="Yes"/>
    <x v="29"/>
    <n v="8"/>
    <s v="Bachelor's Degree"/>
    <n v="3"/>
    <n v="1"/>
    <x v="3"/>
    <n v="4257"/>
    <n v="19"/>
    <x v="1"/>
    <x v="4"/>
    <n v="2"/>
    <n v="2"/>
    <n v="2"/>
    <n v="0"/>
  </r>
  <r>
    <n v="177"/>
    <x v="1"/>
    <x v="0"/>
    <x v="2"/>
    <x v="1"/>
    <s v="Life Sciences"/>
    <n v="1"/>
    <x v="1"/>
    <x v="1"/>
    <s v="Single"/>
    <s v="No"/>
    <x v="3"/>
    <n v="2"/>
    <s v="Bachelor's Degree"/>
    <n v="3"/>
    <n v="1"/>
    <x v="0"/>
    <n v="2500"/>
    <n v="4"/>
    <x v="3"/>
    <x v="11"/>
    <n v="1"/>
    <n v="0"/>
    <n v="2"/>
    <n v="0"/>
  </r>
  <r>
    <n v="178"/>
    <x v="0"/>
    <x v="0"/>
    <x v="4"/>
    <x v="1"/>
    <s v="Life Sciences"/>
    <n v="1"/>
    <x v="1"/>
    <x v="2"/>
    <s v="Single"/>
    <s v="No"/>
    <x v="37"/>
    <n v="2"/>
    <s v="Bachelor's Degree"/>
    <n v="2"/>
    <n v="1"/>
    <x v="0"/>
    <n v="1102"/>
    <n v="1"/>
    <x v="2"/>
    <x v="6"/>
    <n v="0"/>
    <n v="1"/>
    <n v="0"/>
    <n v="1"/>
  </r>
  <r>
    <n v="179"/>
    <x v="1"/>
    <x v="0"/>
    <x v="1"/>
    <x v="0"/>
    <s v="Marketing"/>
    <n v="1"/>
    <x v="0"/>
    <x v="0"/>
    <s v="Divorced"/>
    <s v="No"/>
    <x v="21"/>
    <n v="1"/>
    <s v="Associates Degree"/>
    <n v="2"/>
    <n v="3"/>
    <x v="3"/>
    <n v="10453"/>
    <n v="24"/>
    <x v="1"/>
    <x v="25"/>
    <n v="13"/>
    <n v="15"/>
    <n v="7"/>
    <n v="0"/>
  </r>
  <r>
    <n v="180"/>
    <x v="1"/>
    <x v="0"/>
    <x v="0"/>
    <x v="1"/>
    <s v="Life Sciences"/>
    <n v="1"/>
    <x v="0"/>
    <x v="2"/>
    <s v="Single"/>
    <s v="No"/>
    <x v="8"/>
    <n v="9"/>
    <s v="Associates Degree"/>
    <n v="3"/>
    <n v="1"/>
    <x v="0"/>
    <n v="2288"/>
    <n v="2"/>
    <x v="1"/>
    <x v="4"/>
    <n v="2"/>
    <n v="2"/>
    <n v="1"/>
    <n v="0"/>
  </r>
  <r>
    <n v="181"/>
    <x v="1"/>
    <x v="0"/>
    <x v="2"/>
    <x v="1"/>
    <s v="Medical"/>
    <n v="1"/>
    <x v="0"/>
    <x v="1"/>
    <s v="Married"/>
    <s v="Yes"/>
    <x v="12"/>
    <n v="12"/>
    <s v="High School"/>
    <n v="3"/>
    <n v="1"/>
    <x v="0"/>
    <n v="3929"/>
    <n v="7"/>
    <x v="1"/>
    <x v="9"/>
    <n v="2"/>
    <n v="0"/>
    <n v="2"/>
    <n v="0"/>
  </r>
  <r>
    <n v="182"/>
    <x v="1"/>
    <x v="0"/>
    <x v="2"/>
    <x v="1"/>
    <s v="Medical"/>
    <n v="1"/>
    <x v="0"/>
    <x v="1"/>
    <s v="Single"/>
    <s v="No"/>
    <x v="13"/>
    <n v="27"/>
    <s v="Associates Degree"/>
    <n v="4"/>
    <n v="1"/>
    <x v="1"/>
    <n v="2311"/>
    <n v="9"/>
    <x v="1"/>
    <x v="11"/>
    <n v="2"/>
    <n v="1"/>
    <n v="2"/>
    <n v="0"/>
  </r>
  <r>
    <n v="183"/>
    <x v="0"/>
    <x v="0"/>
    <x v="0"/>
    <x v="0"/>
    <s v="Marketing"/>
    <n v="1"/>
    <x v="0"/>
    <x v="6"/>
    <s v="Single"/>
    <s v="Yes"/>
    <x v="0"/>
    <n v="20"/>
    <s v="Associates Degree"/>
    <n v="2"/>
    <n v="1"/>
    <x v="1"/>
    <n v="3140"/>
    <n v="4"/>
    <x v="2"/>
    <x v="9"/>
    <n v="3"/>
    <n v="0"/>
    <n v="2"/>
    <n v="1"/>
  </r>
  <r>
    <n v="184"/>
    <x v="1"/>
    <x v="0"/>
    <x v="1"/>
    <x v="1"/>
    <s v="Medical"/>
    <n v="1"/>
    <x v="1"/>
    <x v="2"/>
    <s v="Married"/>
    <s v="No"/>
    <x v="24"/>
    <n v="1"/>
    <s v="Bachelor's Degree"/>
    <n v="3"/>
    <n v="1"/>
    <x v="2"/>
    <n v="3690"/>
    <n v="5"/>
    <x v="2"/>
    <x v="11"/>
    <n v="2"/>
    <n v="0"/>
    <n v="2"/>
    <n v="0"/>
  </r>
  <r>
    <n v="185"/>
    <x v="1"/>
    <x v="0"/>
    <x v="1"/>
    <x v="1"/>
    <s v="Medical"/>
    <n v="1"/>
    <x v="0"/>
    <x v="3"/>
    <s v="Divorced"/>
    <s v="No"/>
    <x v="16"/>
    <n v="13"/>
    <s v="Associates Degree"/>
    <n v="4"/>
    <n v="2"/>
    <x v="3"/>
    <n v="4450"/>
    <n v="5"/>
    <x v="1"/>
    <x v="9"/>
    <n v="2"/>
    <n v="1"/>
    <n v="3"/>
    <n v="0"/>
  </r>
  <r>
    <n v="186"/>
    <x v="1"/>
    <x v="0"/>
    <x v="2"/>
    <x v="1"/>
    <s v="Medical"/>
    <n v="1"/>
    <x v="0"/>
    <x v="1"/>
    <s v="Married"/>
    <s v="No"/>
    <x v="3"/>
    <n v="14"/>
    <s v="Bachelor's Degree"/>
    <n v="4"/>
    <n v="1"/>
    <x v="1"/>
    <n v="2756"/>
    <n v="8"/>
    <x v="1"/>
    <x v="3"/>
    <n v="7"/>
    <n v="1"/>
    <n v="6"/>
    <n v="0"/>
  </r>
  <r>
    <n v="187"/>
    <x v="1"/>
    <x v="0"/>
    <x v="0"/>
    <x v="1"/>
    <s v="Medical"/>
    <n v="1"/>
    <x v="0"/>
    <x v="5"/>
    <s v="Married"/>
    <s v="No"/>
    <x v="32"/>
    <n v="4"/>
    <s v="High School"/>
    <n v="4"/>
    <n v="5"/>
    <x v="2"/>
    <n v="19033"/>
    <n v="21"/>
    <x v="1"/>
    <x v="23"/>
    <n v="8"/>
    <n v="9"/>
    <n v="9"/>
    <n v="0"/>
  </r>
  <r>
    <n v="188"/>
    <x v="1"/>
    <x v="0"/>
    <x v="3"/>
    <x v="1"/>
    <s v="Medical"/>
    <n v="1"/>
    <x v="1"/>
    <x v="7"/>
    <s v="Single"/>
    <s v="No"/>
    <x v="27"/>
    <n v="14"/>
    <s v="Master's Degree"/>
    <n v="3"/>
    <n v="5"/>
    <x v="1"/>
    <n v="18722"/>
    <n v="36"/>
    <x v="1"/>
    <x v="25"/>
    <n v="15"/>
    <n v="2"/>
    <n v="15"/>
    <n v="0"/>
  </r>
  <r>
    <n v="189"/>
    <x v="1"/>
    <x v="1"/>
    <x v="2"/>
    <x v="1"/>
    <s v="Life Sciences"/>
    <n v="1"/>
    <x v="1"/>
    <x v="3"/>
    <s v="Married"/>
    <s v="No"/>
    <x v="13"/>
    <n v="2"/>
    <s v="High School"/>
    <n v="4"/>
    <n v="2"/>
    <x v="2"/>
    <n v="9547"/>
    <n v="10"/>
    <x v="2"/>
    <x v="1"/>
    <n v="9"/>
    <n v="1"/>
    <n v="9"/>
    <n v="0"/>
  </r>
  <r>
    <n v="190"/>
    <x v="1"/>
    <x v="0"/>
    <x v="1"/>
    <x v="1"/>
    <s v="Medical"/>
    <n v="1"/>
    <x v="0"/>
    <x v="4"/>
    <s v="Single"/>
    <s v="No"/>
    <x v="31"/>
    <n v="3"/>
    <s v="Bachelor's Degree"/>
    <n v="4"/>
    <n v="4"/>
    <x v="1"/>
    <n v="13734"/>
    <n v="21"/>
    <x v="1"/>
    <x v="5"/>
    <n v="7"/>
    <n v="1"/>
    <n v="0"/>
    <n v="0"/>
  </r>
  <r>
    <n v="191"/>
    <x v="1"/>
    <x v="0"/>
    <x v="1"/>
    <x v="1"/>
    <s v="Life Sciences"/>
    <n v="1"/>
    <x v="1"/>
    <x v="5"/>
    <s v="Married"/>
    <s v="No"/>
    <x v="39"/>
    <n v="1"/>
    <s v="Master's Degree"/>
    <n v="3"/>
    <n v="5"/>
    <x v="2"/>
    <n v="19999"/>
    <n v="34"/>
    <x v="1"/>
    <x v="26"/>
    <n v="18"/>
    <n v="11"/>
    <n v="9"/>
    <n v="0"/>
  </r>
  <r>
    <n v="192"/>
    <x v="1"/>
    <x v="0"/>
    <x v="2"/>
    <x v="1"/>
    <s v="Medical"/>
    <n v="1"/>
    <x v="0"/>
    <x v="1"/>
    <s v="Single"/>
    <s v="No"/>
    <x v="4"/>
    <n v="9"/>
    <s v="Bachelor's Degree"/>
    <n v="4"/>
    <n v="1"/>
    <x v="1"/>
    <n v="2279"/>
    <n v="7"/>
    <x v="2"/>
    <x v="5"/>
    <n v="7"/>
    <n v="0"/>
    <n v="3"/>
    <n v="0"/>
  </r>
  <r>
    <n v="193"/>
    <x v="0"/>
    <x v="0"/>
    <x v="0"/>
    <x v="1"/>
    <s v="Life Sciences"/>
    <n v="1"/>
    <x v="1"/>
    <x v="3"/>
    <s v="Married"/>
    <s v="Yes"/>
    <x v="10"/>
    <n v="23"/>
    <s v="Associates Degree"/>
    <n v="2"/>
    <n v="2"/>
    <x v="2"/>
    <n v="5916"/>
    <n v="8"/>
    <x v="1"/>
    <x v="6"/>
    <n v="0"/>
    <n v="0"/>
    <n v="1"/>
    <n v="1"/>
  </r>
  <r>
    <n v="194"/>
    <x v="1"/>
    <x v="2"/>
    <x v="0"/>
    <x v="1"/>
    <s v="Medical"/>
    <n v="1"/>
    <x v="1"/>
    <x v="1"/>
    <s v="Divorced"/>
    <s v="No"/>
    <x v="23"/>
    <n v="7"/>
    <s v="Bachelor's Degree"/>
    <n v="4"/>
    <n v="1"/>
    <x v="0"/>
    <n v="2089"/>
    <n v="7"/>
    <x v="3"/>
    <x v="8"/>
    <n v="4"/>
    <n v="2"/>
    <n v="2"/>
    <n v="0"/>
  </r>
  <r>
    <n v="195"/>
    <x v="1"/>
    <x v="2"/>
    <x v="1"/>
    <x v="1"/>
    <s v="Medical"/>
    <n v="1"/>
    <x v="1"/>
    <x v="5"/>
    <s v="Married"/>
    <s v="No"/>
    <x v="28"/>
    <n v="2"/>
    <s v="Associates Degree"/>
    <n v="1"/>
    <n v="4"/>
    <x v="0"/>
    <n v="16792"/>
    <n v="22"/>
    <x v="1"/>
    <x v="23"/>
    <n v="8"/>
    <n v="11"/>
    <n v="8"/>
    <n v="0"/>
  </r>
  <r>
    <n v="196"/>
    <x v="1"/>
    <x v="0"/>
    <x v="0"/>
    <x v="1"/>
    <s v="Life Sciences"/>
    <n v="1"/>
    <x v="1"/>
    <x v="1"/>
    <s v="Married"/>
    <s v="Yes"/>
    <x v="2"/>
    <n v="21"/>
    <s v="Bachelor's Degree"/>
    <n v="2"/>
    <n v="1"/>
    <x v="3"/>
    <n v="3564"/>
    <n v="8"/>
    <x v="2"/>
    <x v="3"/>
    <n v="7"/>
    <n v="1"/>
    <n v="7"/>
    <n v="0"/>
  </r>
  <r>
    <n v="197"/>
    <x v="1"/>
    <x v="1"/>
    <x v="0"/>
    <x v="1"/>
    <s v="Medical"/>
    <n v="1"/>
    <x v="0"/>
    <x v="2"/>
    <s v="Single"/>
    <s v="No"/>
    <x v="10"/>
    <n v="2"/>
    <s v="Bachelor's Degree"/>
    <n v="2"/>
    <n v="2"/>
    <x v="1"/>
    <n v="4425"/>
    <n v="10"/>
    <x v="1"/>
    <x v="0"/>
    <n v="2"/>
    <n v="1"/>
    <n v="2"/>
    <n v="0"/>
  </r>
  <r>
    <n v="198"/>
    <x v="1"/>
    <x v="2"/>
    <x v="0"/>
    <x v="1"/>
    <s v="Medical"/>
    <n v="1"/>
    <x v="0"/>
    <x v="3"/>
    <s v="Divorced"/>
    <s v="No"/>
    <x v="19"/>
    <n v="21"/>
    <s v="Associates Degree"/>
    <n v="3"/>
    <n v="2"/>
    <x v="2"/>
    <n v="5265"/>
    <n v="11"/>
    <x v="1"/>
    <x v="8"/>
    <n v="3"/>
    <n v="0"/>
    <n v="2"/>
    <n v="0"/>
  </r>
  <r>
    <n v="199"/>
    <x v="1"/>
    <x v="0"/>
    <x v="0"/>
    <x v="1"/>
    <s v="Life Sciences"/>
    <n v="1"/>
    <x v="1"/>
    <x v="3"/>
    <s v="Married"/>
    <s v="No"/>
    <x v="8"/>
    <n v="2"/>
    <s v="Master's Degree"/>
    <n v="4"/>
    <n v="2"/>
    <x v="2"/>
    <n v="6553"/>
    <n v="14"/>
    <x v="1"/>
    <x v="6"/>
    <n v="0"/>
    <n v="0"/>
    <n v="0"/>
    <n v="0"/>
  </r>
  <r>
    <n v="200"/>
    <x v="1"/>
    <x v="0"/>
    <x v="0"/>
    <x v="1"/>
    <s v="Technical Degree"/>
    <n v="1"/>
    <x v="1"/>
    <x v="3"/>
    <s v="Married"/>
    <s v="No"/>
    <x v="8"/>
    <n v="29"/>
    <s v="Bachelor's Degree"/>
    <n v="4"/>
    <n v="2"/>
    <x v="0"/>
    <n v="6261"/>
    <n v="9"/>
    <x v="0"/>
    <x v="5"/>
    <n v="7"/>
    <n v="1"/>
    <n v="7"/>
    <n v="0"/>
  </r>
  <r>
    <n v="201"/>
    <x v="1"/>
    <x v="1"/>
    <x v="2"/>
    <x v="1"/>
    <s v="Technical Degree"/>
    <n v="1"/>
    <x v="1"/>
    <x v="3"/>
    <s v="Married"/>
    <s v="No"/>
    <x v="4"/>
    <n v="1"/>
    <s v="High School"/>
    <n v="3"/>
    <n v="2"/>
    <x v="3"/>
    <n v="4298"/>
    <n v="6"/>
    <x v="1"/>
    <x v="4"/>
    <n v="2"/>
    <n v="2"/>
    <n v="0"/>
    <n v="0"/>
  </r>
  <r>
    <n v="202"/>
    <x v="1"/>
    <x v="2"/>
    <x v="1"/>
    <x v="1"/>
    <s v="Life Sciences"/>
    <n v="1"/>
    <x v="1"/>
    <x v="3"/>
    <s v="Divorced"/>
    <s v="Yes"/>
    <x v="1"/>
    <n v="18"/>
    <s v="Master's Degree"/>
    <n v="4"/>
    <n v="2"/>
    <x v="0"/>
    <n v="6804"/>
    <n v="7"/>
    <x v="1"/>
    <x v="5"/>
    <n v="7"/>
    <n v="1"/>
    <n v="7"/>
    <n v="0"/>
  </r>
  <r>
    <n v="203"/>
    <x v="1"/>
    <x v="1"/>
    <x v="2"/>
    <x v="1"/>
    <s v="Medical"/>
    <n v="1"/>
    <x v="1"/>
    <x v="1"/>
    <s v="Divorced"/>
    <s v="Yes"/>
    <x v="13"/>
    <n v="10"/>
    <s v="Master's Degree"/>
    <n v="4"/>
    <n v="1"/>
    <x v="2"/>
    <n v="3815"/>
    <n v="5"/>
    <x v="3"/>
    <x v="8"/>
    <n v="3"/>
    <n v="2"/>
    <n v="0"/>
    <n v="0"/>
  </r>
  <r>
    <n v="204"/>
    <x v="1"/>
    <x v="0"/>
    <x v="0"/>
    <x v="1"/>
    <s v="Medical"/>
    <n v="1"/>
    <x v="1"/>
    <x v="2"/>
    <s v="Married"/>
    <s v="Yes"/>
    <x v="32"/>
    <n v="19"/>
    <s v="Associates Degree"/>
    <n v="3"/>
    <n v="2"/>
    <x v="0"/>
    <n v="2741"/>
    <n v="15"/>
    <x v="3"/>
    <x v="5"/>
    <n v="2"/>
    <n v="3"/>
    <n v="7"/>
    <n v="0"/>
  </r>
  <r>
    <n v="205"/>
    <x v="0"/>
    <x v="0"/>
    <x v="0"/>
    <x v="1"/>
    <s v="Medical"/>
    <n v="1"/>
    <x v="1"/>
    <x v="4"/>
    <s v="Married"/>
    <s v="Yes"/>
    <x v="8"/>
    <n v="29"/>
    <s v="High School"/>
    <n v="2"/>
    <n v="2"/>
    <x v="3"/>
    <n v="6673"/>
    <n v="17"/>
    <x v="1"/>
    <x v="6"/>
    <n v="0"/>
    <n v="0"/>
    <n v="0"/>
    <n v="1"/>
  </r>
  <r>
    <n v="206"/>
    <x v="0"/>
    <x v="0"/>
    <x v="2"/>
    <x v="0"/>
    <s v="Marketing"/>
    <n v="1"/>
    <x v="0"/>
    <x v="0"/>
    <s v="Married"/>
    <s v="No"/>
    <x v="11"/>
    <n v="27"/>
    <s v="Bachelor's Degree"/>
    <n v="2"/>
    <n v="3"/>
    <x v="0"/>
    <n v="7639"/>
    <n v="10"/>
    <x v="2"/>
    <x v="1"/>
    <n v="4"/>
    <n v="1"/>
    <n v="9"/>
    <n v="1"/>
  </r>
  <r>
    <n v="207"/>
    <x v="1"/>
    <x v="0"/>
    <x v="4"/>
    <x v="1"/>
    <s v="Life Sciences"/>
    <n v="1"/>
    <x v="1"/>
    <x v="1"/>
    <s v="Divorced"/>
    <s v="Yes"/>
    <x v="15"/>
    <n v="5"/>
    <s v="Bachelor's Degree"/>
    <n v="4"/>
    <n v="1"/>
    <x v="1"/>
    <n v="2328"/>
    <n v="4"/>
    <x v="2"/>
    <x v="9"/>
    <n v="2"/>
    <n v="2"/>
    <n v="2"/>
    <n v="0"/>
  </r>
  <r>
    <n v="208"/>
    <x v="1"/>
    <x v="1"/>
    <x v="0"/>
    <x v="1"/>
    <s v="Medical"/>
    <n v="1"/>
    <x v="0"/>
    <x v="2"/>
    <s v="Single"/>
    <s v="No"/>
    <x v="9"/>
    <n v="18"/>
    <s v="High School"/>
    <n v="2"/>
    <n v="1"/>
    <x v="0"/>
    <n v="2153"/>
    <n v="8"/>
    <x v="1"/>
    <x v="3"/>
    <n v="1"/>
    <n v="1"/>
    <n v="7"/>
    <n v="0"/>
  </r>
  <r>
    <n v="209"/>
    <x v="1"/>
    <x v="2"/>
    <x v="0"/>
    <x v="1"/>
    <s v="Life Sciences"/>
    <n v="1"/>
    <x v="1"/>
    <x v="4"/>
    <s v="Married"/>
    <s v="No"/>
    <x v="32"/>
    <n v="9"/>
    <s v="Doctoral Degree"/>
    <n v="4"/>
    <n v="2"/>
    <x v="0"/>
    <n v="4876"/>
    <n v="5"/>
    <x v="0"/>
    <x v="11"/>
    <n v="2"/>
    <n v="0"/>
    <n v="2"/>
    <n v="0"/>
  </r>
  <r>
    <n v="210"/>
    <x v="1"/>
    <x v="0"/>
    <x v="1"/>
    <x v="1"/>
    <s v="Medical"/>
    <n v="1"/>
    <x v="1"/>
    <x v="4"/>
    <s v="Divorced"/>
    <s v="No"/>
    <x v="21"/>
    <n v="1"/>
    <s v="Master's Degree"/>
    <n v="4"/>
    <n v="3"/>
    <x v="3"/>
    <n v="9396"/>
    <n v="17"/>
    <x v="1"/>
    <x v="9"/>
    <n v="2"/>
    <n v="0"/>
    <n v="3"/>
    <n v="0"/>
  </r>
  <r>
    <n v="211"/>
    <x v="0"/>
    <x v="0"/>
    <x v="2"/>
    <x v="0"/>
    <s v="Medical"/>
    <n v="1"/>
    <x v="1"/>
    <x v="0"/>
    <s v="Married"/>
    <s v="No"/>
    <x v="5"/>
    <n v="4"/>
    <s v="Master's Degree"/>
    <n v="4"/>
    <n v="3"/>
    <x v="0"/>
    <n v="10400"/>
    <n v="14"/>
    <x v="2"/>
    <x v="13"/>
    <n v="8"/>
    <n v="9"/>
    <n v="8"/>
    <n v="1"/>
  </r>
  <r>
    <n v="212"/>
    <x v="1"/>
    <x v="2"/>
    <x v="2"/>
    <x v="1"/>
    <s v="Life Sciences"/>
    <n v="1"/>
    <x v="1"/>
    <x v="3"/>
    <s v="Single"/>
    <s v="No"/>
    <x v="7"/>
    <n v="1"/>
    <s v="High School"/>
    <n v="3"/>
    <n v="3"/>
    <x v="2"/>
    <n v="8474"/>
    <n v="12"/>
    <x v="1"/>
    <x v="19"/>
    <n v="8"/>
    <n v="5"/>
    <n v="8"/>
    <n v="0"/>
  </r>
  <r>
    <n v="213"/>
    <x v="1"/>
    <x v="1"/>
    <x v="2"/>
    <x v="0"/>
    <s v="Life Sciences"/>
    <n v="1"/>
    <x v="0"/>
    <x v="0"/>
    <s v="Single"/>
    <s v="No"/>
    <x v="4"/>
    <n v="20"/>
    <s v="Bachelor's Degree"/>
    <n v="4"/>
    <n v="2"/>
    <x v="2"/>
    <n v="9981"/>
    <n v="7"/>
    <x v="1"/>
    <x v="5"/>
    <n v="7"/>
    <n v="0"/>
    <n v="7"/>
    <n v="0"/>
  </r>
  <r>
    <n v="214"/>
    <x v="1"/>
    <x v="0"/>
    <x v="1"/>
    <x v="1"/>
    <s v="Life Sciences"/>
    <n v="1"/>
    <x v="1"/>
    <x v="7"/>
    <s v="Married"/>
    <s v="No"/>
    <x v="31"/>
    <n v="8"/>
    <s v="Master's Degree"/>
    <n v="2"/>
    <n v="3"/>
    <x v="1"/>
    <n v="12490"/>
    <n v="16"/>
    <x v="0"/>
    <x v="1"/>
    <n v="9"/>
    <n v="4"/>
    <n v="7"/>
    <n v="0"/>
  </r>
  <r>
    <n v="215"/>
    <x v="0"/>
    <x v="0"/>
    <x v="2"/>
    <x v="1"/>
    <s v="Technical Degree"/>
    <n v="1"/>
    <x v="0"/>
    <x v="1"/>
    <s v="Single"/>
    <s v="Yes"/>
    <x v="7"/>
    <n v="3"/>
    <s v="Bachelor's Degree"/>
    <n v="4"/>
    <n v="1"/>
    <x v="3"/>
    <n v="2657"/>
    <n v="8"/>
    <x v="1"/>
    <x v="8"/>
    <n v="2"/>
    <n v="0"/>
    <n v="4"/>
    <n v="1"/>
  </r>
  <r>
    <n v="216"/>
    <x v="1"/>
    <x v="0"/>
    <x v="0"/>
    <x v="0"/>
    <s v="Life Sciences"/>
    <n v="1"/>
    <x v="0"/>
    <x v="5"/>
    <s v="Single"/>
    <s v="Yes"/>
    <x v="0"/>
    <n v="6"/>
    <s v="Bachelor's Degree"/>
    <n v="4"/>
    <n v="3"/>
    <x v="0"/>
    <n v="13591"/>
    <n v="16"/>
    <x v="1"/>
    <x v="6"/>
    <n v="0"/>
    <n v="0"/>
    <n v="0"/>
    <n v="0"/>
  </r>
  <r>
    <n v="217"/>
    <x v="0"/>
    <x v="1"/>
    <x v="2"/>
    <x v="0"/>
    <s v="Marketing"/>
    <n v="1"/>
    <x v="0"/>
    <x v="0"/>
    <s v="Single"/>
    <s v="No"/>
    <x v="7"/>
    <n v="26"/>
    <s v="Master's Degree"/>
    <n v="3"/>
    <n v="2"/>
    <x v="3"/>
    <n v="6696"/>
    <n v="9"/>
    <x v="2"/>
    <x v="0"/>
    <n v="3"/>
    <n v="0"/>
    <n v="1"/>
    <n v="1"/>
  </r>
  <r>
    <n v="218"/>
    <x v="0"/>
    <x v="0"/>
    <x v="2"/>
    <x v="1"/>
    <s v="Technical Degree"/>
    <n v="1"/>
    <x v="1"/>
    <x v="1"/>
    <s v="Single"/>
    <s v="No"/>
    <x v="11"/>
    <n v="1"/>
    <s v="Bachelor's Degree"/>
    <n v="3"/>
    <n v="1"/>
    <x v="2"/>
    <n v="2058"/>
    <n v="7"/>
    <x v="2"/>
    <x v="0"/>
    <n v="2"/>
    <n v="1"/>
    <n v="5"/>
    <n v="1"/>
  </r>
  <r>
    <n v="219"/>
    <x v="1"/>
    <x v="2"/>
    <x v="1"/>
    <x v="0"/>
    <s v="Medical"/>
    <n v="1"/>
    <x v="0"/>
    <x v="0"/>
    <s v="Single"/>
    <s v="No"/>
    <x v="28"/>
    <n v="6"/>
    <s v="Bachelor's Degree"/>
    <n v="4"/>
    <n v="3"/>
    <x v="0"/>
    <n v="8865"/>
    <n v="23"/>
    <x v="1"/>
    <x v="27"/>
    <n v="7"/>
    <n v="12"/>
    <n v="8"/>
    <n v="0"/>
  </r>
  <r>
    <n v="220"/>
    <x v="1"/>
    <x v="0"/>
    <x v="1"/>
    <x v="0"/>
    <s v="Marketing"/>
    <n v="1"/>
    <x v="0"/>
    <x v="0"/>
    <s v="Married"/>
    <s v="No"/>
    <x v="33"/>
    <n v="3"/>
    <s v="Bachelor's Degree"/>
    <n v="4"/>
    <n v="2"/>
    <x v="3"/>
    <n v="5940"/>
    <n v="16"/>
    <x v="1"/>
    <x v="0"/>
    <n v="2"/>
    <n v="0"/>
    <n v="5"/>
    <n v="0"/>
  </r>
  <r>
    <n v="221"/>
    <x v="1"/>
    <x v="0"/>
    <x v="0"/>
    <x v="1"/>
    <s v="Life Sciences"/>
    <n v="1"/>
    <x v="1"/>
    <x v="2"/>
    <s v="Single"/>
    <s v="No"/>
    <x v="9"/>
    <n v="5"/>
    <s v="Associates Degree"/>
    <n v="4"/>
    <n v="2"/>
    <x v="1"/>
    <n v="5914"/>
    <n v="16"/>
    <x v="3"/>
    <x v="20"/>
    <n v="11"/>
    <n v="3"/>
    <n v="7"/>
    <n v="0"/>
  </r>
  <r>
    <n v="222"/>
    <x v="1"/>
    <x v="0"/>
    <x v="2"/>
    <x v="1"/>
    <s v="Medical"/>
    <n v="1"/>
    <x v="0"/>
    <x v="1"/>
    <s v="Married"/>
    <s v="No"/>
    <x v="3"/>
    <n v="4"/>
    <s v="Master's Degree"/>
    <n v="3"/>
    <n v="1"/>
    <x v="1"/>
    <n v="2622"/>
    <n v="7"/>
    <x v="1"/>
    <x v="11"/>
    <n v="2"/>
    <n v="1"/>
    <n v="1"/>
    <n v="0"/>
  </r>
  <r>
    <n v="223"/>
    <x v="1"/>
    <x v="1"/>
    <x v="0"/>
    <x v="1"/>
    <s v="Other"/>
    <n v="1"/>
    <x v="1"/>
    <x v="7"/>
    <s v="Divorced"/>
    <s v="Yes"/>
    <x v="2"/>
    <n v="11"/>
    <s v="Bachelor's Degree"/>
    <n v="2"/>
    <n v="3"/>
    <x v="0"/>
    <n v="12185"/>
    <n v="10"/>
    <x v="1"/>
    <x v="1"/>
    <n v="8"/>
    <n v="0"/>
    <n v="7"/>
    <n v="0"/>
  </r>
  <r>
    <n v="224"/>
    <x v="1"/>
    <x v="0"/>
    <x v="0"/>
    <x v="0"/>
    <s v="Life Sciences"/>
    <n v="1"/>
    <x v="1"/>
    <x v="0"/>
    <s v="Divorced"/>
    <s v="No"/>
    <x v="8"/>
    <n v="3"/>
    <s v="Bachelor's Degree"/>
    <n v="1"/>
    <n v="3"/>
    <x v="2"/>
    <n v="10609"/>
    <n v="17"/>
    <x v="2"/>
    <x v="22"/>
    <n v="10"/>
    <n v="5"/>
    <n v="13"/>
    <n v="0"/>
  </r>
  <r>
    <n v="225"/>
    <x v="1"/>
    <x v="2"/>
    <x v="2"/>
    <x v="1"/>
    <s v="Medical"/>
    <n v="1"/>
    <x v="1"/>
    <x v="3"/>
    <s v="Married"/>
    <s v="No"/>
    <x v="12"/>
    <n v="1"/>
    <s v="Master's Degree"/>
    <n v="3"/>
    <n v="2"/>
    <x v="2"/>
    <n v="4345"/>
    <n v="6"/>
    <x v="1"/>
    <x v="8"/>
    <n v="4"/>
    <n v="1"/>
    <n v="4"/>
    <n v="0"/>
  </r>
  <r>
    <n v="226"/>
    <x v="1"/>
    <x v="0"/>
    <x v="3"/>
    <x v="1"/>
    <s v="Life Sciences"/>
    <n v="1"/>
    <x v="1"/>
    <x v="1"/>
    <s v="Married"/>
    <s v="No"/>
    <x v="6"/>
    <n v="3"/>
    <s v="Bachelor's Degree"/>
    <n v="3"/>
    <n v="1"/>
    <x v="0"/>
    <n v="2177"/>
    <n v="7"/>
    <x v="1"/>
    <x v="6"/>
    <n v="0"/>
    <n v="0"/>
    <n v="0"/>
    <n v="0"/>
  </r>
  <r>
    <n v="227"/>
    <x v="1"/>
    <x v="1"/>
    <x v="0"/>
    <x v="0"/>
    <s v="Marketing"/>
    <n v="1"/>
    <x v="1"/>
    <x v="6"/>
    <s v="Divorced"/>
    <s v="No"/>
    <x v="2"/>
    <n v="4"/>
    <s v="Master's Degree"/>
    <n v="1"/>
    <n v="1"/>
    <x v="0"/>
    <n v="2793"/>
    <n v="13"/>
    <x v="1"/>
    <x v="7"/>
    <n v="8"/>
    <n v="5"/>
    <n v="8"/>
    <n v="0"/>
  </r>
  <r>
    <n v="228"/>
    <x v="1"/>
    <x v="1"/>
    <x v="2"/>
    <x v="0"/>
    <s v="Medical"/>
    <n v="1"/>
    <x v="0"/>
    <x v="0"/>
    <s v="Married"/>
    <s v="No"/>
    <x v="11"/>
    <n v="1"/>
    <s v="High School"/>
    <n v="2"/>
    <n v="3"/>
    <x v="0"/>
    <n v="7918"/>
    <n v="11"/>
    <x v="1"/>
    <x v="19"/>
    <n v="10"/>
    <n v="4"/>
    <n v="1"/>
    <n v="0"/>
  </r>
  <r>
    <n v="229"/>
    <x v="1"/>
    <x v="1"/>
    <x v="0"/>
    <x v="0"/>
    <s v="Marketing"/>
    <n v="1"/>
    <x v="0"/>
    <x v="0"/>
    <s v="Single"/>
    <s v="No"/>
    <x v="10"/>
    <n v="1"/>
    <s v="Bachelor's Degree"/>
    <n v="3"/>
    <n v="3"/>
    <x v="2"/>
    <n v="8789"/>
    <n v="10"/>
    <x v="3"/>
    <x v="1"/>
    <n v="7"/>
    <n v="0"/>
    <n v="8"/>
    <n v="0"/>
  </r>
  <r>
    <n v="230"/>
    <x v="0"/>
    <x v="0"/>
    <x v="2"/>
    <x v="1"/>
    <s v="Medical"/>
    <n v="1"/>
    <x v="1"/>
    <x v="1"/>
    <s v="Single"/>
    <s v="Yes"/>
    <x v="11"/>
    <n v="18"/>
    <s v="High School"/>
    <n v="3"/>
    <n v="1"/>
    <x v="0"/>
    <n v="2389"/>
    <n v="4"/>
    <x v="2"/>
    <x v="9"/>
    <n v="3"/>
    <n v="0"/>
    <n v="1"/>
    <n v="1"/>
  </r>
  <r>
    <n v="231"/>
    <x v="1"/>
    <x v="0"/>
    <x v="1"/>
    <x v="1"/>
    <s v="Life Sciences"/>
    <n v="1"/>
    <x v="0"/>
    <x v="2"/>
    <s v="Single"/>
    <s v="No"/>
    <x v="39"/>
    <n v="2"/>
    <s v="Bachelor's Degree"/>
    <n v="3"/>
    <n v="1"/>
    <x v="0"/>
    <n v="3212"/>
    <n v="6"/>
    <x v="2"/>
    <x v="4"/>
    <n v="2"/>
    <n v="2"/>
    <n v="2"/>
    <n v="0"/>
  </r>
  <r>
    <n v="232"/>
    <x v="1"/>
    <x v="0"/>
    <x v="0"/>
    <x v="1"/>
    <s v="Technical Degree"/>
    <n v="1"/>
    <x v="1"/>
    <x v="5"/>
    <s v="Married"/>
    <s v="No"/>
    <x v="19"/>
    <n v="4"/>
    <s v="Associates Degree"/>
    <n v="3"/>
    <n v="5"/>
    <x v="0"/>
    <n v="19232"/>
    <n v="22"/>
    <x v="1"/>
    <x v="14"/>
    <n v="17"/>
    <n v="11"/>
    <n v="15"/>
    <n v="0"/>
  </r>
  <r>
    <n v="233"/>
    <x v="1"/>
    <x v="0"/>
    <x v="3"/>
    <x v="2"/>
    <s v="Medical"/>
    <n v="1"/>
    <x v="1"/>
    <x v="8"/>
    <s v="Married"/>
    <s v="No"/>
    <x v="6"/>
    <n v="6"/>
    <s v="Associates Degree"/>
    <n v="2"/>
    <n v="1"/>
    <x v="2"/>
    <n v="2267"/>
    <n v="7"/>
    <x v="2"/>
    <x v="4"/>
    <n v="2"/>
    <n v="2"/>
    <n v="2"/>
    <n v="0"/>
  </r>
  <r>
    <n v="234"/>
    <x v="1"/>
    <x v="0"/>
    <x v="1"/>
    <x v="0"/>
    <s v="Medical"/>
    <n v="1"/>
    <x v="0"/>
    <x v="5"/>
    <s v="Divorced"/>
    <s v="No"/>
    <x v="24"/>
    <n v="1"/>
    <s v="Master's Degree"/>
    <n v="4"/>
    <n v="5"/>
    <x v="0"/>
    <n v="19517"/>
    <n v="32"/>
    <x v="2"/>
    <x v="5"/>
    <n v="0"/>
    <n v="0"/>
    <n v="6"/>
    <n v="0"/>
  </r>
  <r>
    <n v="235"/>
    <x v="0"/>
    <x v="0"/>
    <x v="2"/>
    <x v="1"/>
    <s v="Medical"/>
    <n v="1"/>
    <x v="1"/>
    <x v="2"/>
    <s v="Married"/>
    <s v="Yes"/>
    <x v="3"/>
    <n v="14"/>
    <s v="Bachelor's Degree"/>
    <n v="3"/>
    <n v="1"/>
    <x v="0"/>
    <n v="2436"/>
    <n v="8"/>
    <x v="0"/>
    <x v="8"/>
    <n v="4"/>
    <n v="0"/>
    <n v="4"/>
    <n v="1"/>
  </r>
  <r>
    <n v="236"/>
    <x v="1"/>
    <x v="0"/>
    <x v="0"/>
    <x v="0"/>
    <s v="Marketing"/>
    <n v="1"/>
    <x v="0"/>
    <x v="5"/>
    <s v="Married"/>
    <s v="Yes"/>
    <x v="23"/>
    <n v="16"/>
    <s v="Bachelor's Degree"/>
    <n v="4"/>
    <n v="4"/>
    <x v="0"/>
    <n v="16064"/>
    <n v="22"/>
    <x v="1"/>
    <x v="18"/>
    <n v="13"/>
    <n v="1"/>
    <n v="9"/>
    <n v="0"/>
  </r>
  <r>
    <n v="237"/>
    <x v="0"/>
    <x v="0"/>
    <x v="2"/>
    <x v="1"/>
    <s v="Life Sciences"/>
    <n v="1"/>
    <x v="0"/>
    <x v="2"/>
    <s v="Married"/>
    <s v="No"/>
    <x v="3"/>
    <n v="2"/>
    <s v="Associates Degree"/>
    <n v="1"/>
    <n v="1"/>
    <x v="3"/>
    <n v="2707"/>
    <n v="13"/>
    <x v="3"/>
    <x v="7"/>
    <n v="7"/>
    <n v="1"/>
    <n v="7"/>
    <n v="1"/>
  </r>
  <r>
    <n v="238"/>
    <x v="1"/>
    <x v="2"/>
    <x v="1"/>
    <x v="0"/>
    <s v="Life Sciences"/>
    <n v="1"/>
    <x v="1"/>
    <x v="5"/>
    <s v="Single"/>
    <s v="Yes"/>
    <x v="39"/>
    <n v="2"/>
    <s v="Master's Degree"/>
    <n v="1"/>
    <n v="5"/>
    <x v="2"/>
    <n v="19068"/>
    <n v="33"/>
    <x v="3"/>
    <x v="26"/>
    <n v="7"/>
    <n v="15"/>
    <n v="12"/>
    <n v="0"/>
  </r>
  <r>
    <n v="239"/>
    <x v="1"/>
    <x v="0"/>
    <x v="2"/>
    <x v="0"/>
    <s v="Life Sciences"/>
    <n v="1"/>
    <x v="0"/>
    <x v="6"/>
    <s v="Married"/>
    <s v="No"/>
    <x v="5"/>
    <n v="4"/>
    <s v="Associates Degree"/>
    <n v="3"/>
    <n v="1"/>
    <x v="1"/>
    <n v="3931"/>
    <n v="6"/>
    <x v="1"/>
    <x v="9"/>
    <n v="3"/>
    <n v="1"/>
    <n v="2"/>
    <n v="0"/>
  </r>
  <r>
    <n v="240"/>
    <x v="0"/>
    <x v="0"/>
    <x v="2"/>
    <x v="1"/>
    <s v="Life Sciences"/>
    <n v="1"/>
    <x v="1"/>
    <x v="2"/>
    <s v="Single"/>
    <s v="Yes"/>
    <x v="5"/>
    <n v="1"/>
    <s v="Bachelor's Degree"/>
    <n v="4"/>
    <n v="1"/>
    <x v="2"/>
    <n v="3730"/>
    <n v="4"/>
    <x v="0"/>
    <x v="11"/>
    <n v="2"/>
    <n v="1"/>
    <n v="2"/>
    <n v="1"/>
  </r>
  <r>
    <n v="241"/>
    <x v="1"/>
    <x v="0"/>
    <x v="0"/>
    <x v="1"/>
    <s v="Medical"/>
    <n v="1"/>
    <x v="0"/>
    <x v="2"/>
    <s v="Divorced"/>
    <s v="No"/>
    <x v="22"/>
    <n v="1"/>
    <s v="Master's Degree"/>
    <n v="3"/>
    <n v="1"/>
    <x v="2"/>
    <n v="2232"/>
    <n v="7"/>
    <x v="1"/>
    <x v="11"/>
    <n v="2"/>
    <n v="1"/>
    <n v="2"/>
    <n v="0"/>
  </r>
  <r>
    <n v="242"/>
    <x v="1"/>
    <x v="2"/>
    <x v="2"/>
    <x v="0"/>
    <s v="Marketing"/>
    <n v="1"/>
    <x v="1"/>
    <x v="0"/>
    <s v="Married"/>
    <s v="No"/>
    <x v="5"/>
    <n v="26"/>
    <s v="Master's Degree"/>
    <n v="3"/>
    <n v="2"/>
    <x v="0"/>
    <n v="4465"/>
    <n v="4"/>
    <x v="1"/>
    <x v="11"/>
    <n v="2"/>
    <n v="2"/>
    <n v="2"/>
    <n v="0"/>
  </r>
  <r>
    <n v="243"/>
    <x v="1"/>
    <x v="0"/>
    <x v="0"/>
    <x v="1"/>
    <s v="Life Sciences"/>
    <n v="1"/>
    <x v="1"/>
    <x v="1"/>
    <s v="Divorced"/>
    <s v="No"/>
    <x v="0"/>
    <n v="19"/>
    <s v="Associates Degree"/>
    <n v="3"/>
    <n v="2"/>
    <x v="3"/>
    <n v="3072"/>
    <n v="17"/>
    <x v="2"/>
    <x v="6"/>
    <n v="0"/>
    <n v="0"/>
    <n v="0"/>
    <n v="0"/>
  </r>
  <r>
    <n v="244"/>
    <x v="1"/>
    <x v="0"/>
    <x v="0"/>
    <x v="1"/>
    <s v="Technical Degree"/>
    <n v="1"/>
    <x v="1"/>
    <x v="1"/>
    <s v="Divorced"/>
    <s v="No"/>
    <x v="32"/>
    <n v="24"/>
    <s v="Associates Degree"/>
    <n v="1"/>
    <n v="2"/>
    <x v="0"/>
    <n v="3319"/>
    <n v="9"/>
    <x v="1"/>
    <x v="7"/>
    <n v="8"/>
    <n v="4"/>
    <n v="7"/>
    <n v="0"/>
  </r>
  <r>
    <n v="245"/>
    <x v="1"/>
    <x v="0"/>
    <x v="1"/>
    <x v="1"/>
    <s v="Other"/>
    <n v="1"/>
    <x v="1"/>
    <x v="5"/>
    <s v="Married"/>
    <s v="No"/>
    <x v="28"/>
    <n v="1"/>
    <s v="Bachelor's Degree"/>
    <n v="3"/>
    <n v="5"/>
    <x v="0"/>
    <n v="19202"/>
    <n v="25"/>
    <x v="1"/>
    <x v="25"/>
    <n v="0"/>
    <n v="1"/>
    <n v="7"/>
    <n v="0"/>
  </r>
  <r>
    <n v="246"/>
    <x v="1"/>
    <x v="1"/>
    <x v="2"/>
    <x v="1"/>
    <s v="Medical"/>
    <n v="1"/>
    <x v="1"/>
    <x v="7"/>
    <s v="Divorced"/>
    <s v="No"/>
    <x v="12"/>
    <n v="3"/>
    <s v="Master's Degree"/>
    <n v="2"/>
    <n v="3"/>
    <x v="2"/>
    <n v="13675"/>
    <n v="9"/>
    <x v="1"/>
    <x v="4"/>
    <n v="2"/>
    <n v="2"/>
    <n v="2"/>
    <n v="0"/>
  </r>
  <r>
    <n v="247"/>
    <x v="1"/>
    <x v="0"/>
    <x v="2"/>
    <x v="1"/>
    <s v="Life Sciences"/>
    <n v="1"/>
    <x v="0"/>
    <x v="1"/>
    <s v="Married"/>
    <s v="No"/>
    <x v="3"/>
    <n v="5"/>
    <s v="Master's Degree"/>
    <n v="3"/>
    <n v="1"/>
    <x v="0"/>
    <n v="2911"/>
    <n v="2"/>
    <x v="2"/>
    <x v="4"/>
    <n v="2"/>
    <n v="0"/>
    <n v="2"/>
    <n v="0"/>
  </r>
  <r>
    <n v="248"/>
    <x v="1"/>
    <x v="0"/>
    <x v="2"/>
    <x v="1"/>
    <s v="Life Sciences"/>
    <n v="1"/>
    <x v="1"/>
    <x v="3"/>
    <s v="Married"/>
    <s v="No"/>
    <x v="13"/>
    <n v="2"/>
    <s v="Master's Degree"/>
    <n v="4"/>
    <n v="2"/>
    <x v="3"/>
    <n v="5957"/>
    <n v="13"/>
    <x v="1"/>
    <x v="19"/>
    <n v="9"/>
    <n v="5"/>
    <n v="9"/>
    <n v="0"/>
  </r>
  <r>
    <n v="249"/>
    <x v="1"/>
    <x v="0"/>
    <x v="0"/>
    <x v="1"/>
    <s v="Medical"/>
    <n v="1"/>
    <x v="0"/>
    <x v="1"/>
    <s v="Married"/>
    <s v="No"/>
    <x v="2"/>
    <n v="1"/>
    <s v="Associates Degree"/>
    <n v="3"/>
    <n v="1"/>
    <x v="3"/>
    <n v="3920"/>
    <n v="17"/>
    <x v="2"/>
    <x v="11"/>
    <n v="1"/>
    <n v="0"/>
    <n v="2"/>
    <n v="0"/>
  </r>
  <r>
    <n v="250"/>
    <x v="1"/>
    <x v="1"/>
    <x v="1"/>
    <x v="1"/>
    <s v="Life Sciences"/>
    <n v="1"/>
    <x v="1"/>
    <x v="3"/>
    <s v="Married"/>
    <s v="No"/>
    <x v="28"/>
    <n v="7"/>
    <s v="Master's Degree"/>
    <n v="1"/>
    <n v="2"/>
    <x v="2"/>
    <n v="6434"/>
    <n v="9"/>
    <x v="1"/>
    <x v="11"/>
    <n v="2"/>
    <n v="0"/>
    <n v="2"/>
    <n v="0"/>
  </r>
  <r>
    <n v="251"/>
    <x v="0"/>
    <x v="1"/>
    <x v="0"/>
    <x v="1"/>
    <s v="Medical"/>
    <n v="1"/>
    <x v="1"/>
    <x v="3"/>
    <s v="Divorced"/>
    <s v="No"/>
    <x v="2"/>
    <n v="10"/>
    <s v="Bachelor's Degree"/>
    <n v="1"/>
    <n v="3"/>
    <x v="2"/>
    <n v="10048"/>
    <n v="17"/>
    <x v="1"/>
    <x v="6"/>
    <n v="0"/>
    <n v="0"/>
    <n v="0"/>
    <n v="1"/>
  </r>
  <r>
    <n v="252"/>
    <x v="1"/>
    <x v="1"/>
    <x v="0"/>
    <x v="1"/>
    <s v="Technical Degree"/>
    <n v="1"/>
    <x v="0"/>
    <x v="4"/>
    <s v="Single"/>
    <s v="No"/>
    <x v="22"/>
    <n v="2"/>
    <s v="Master's Degree"/>
    <n v="3"/>
    <n v="3"/>
    <x v="2"/>
    <n v="10938"/>
    <n v="20"/>
    <x v="1"/>
    <x v="27"/>
    <n v="6"/>
    <n v="11"/>
    <n v="8"/>
    <n v="0"/>
  </r>
  <r>
    <n v="253"/>
    <x v="1"/>
    <x v="0"/>
    <x v="2"/>
    <x v="1"/>
    <s v="Life Sciences"/>
    <n v="1"/>
    <x v="1"/>
    <x v="1"/>
    <s v="Single"/>
    <s v="No"/>
    <x v="11"/>
    <n v="15"/>
    <s v="Bachelor's Degree"/>
    <n v="3"/>
    <n v="1"/>
    <x v="0"/>
    <n v="2340"/>
    <n v="6"/>
    <x v="1"/>
    <x v="0"/>
    <n v="5"/>
    <n v="1"/>
    <n v="5"/>
    <n v="0"/>
  </r>
  <r>
    <n v="254"/>
    <x v="1"/>
    <x v="0"/>
    <x v="0"/>
    <x v="1"/>
    <s v="Life Sciences"/>
    <n v="1"/>
    <x v="0"/>
    <x v="1"/>
    <s v="Single"/>
    <s v="Yes"/>
    <x v="19"/>
    <n v="17"/>
    <s v="Associates Degree"/>
    <n v="4"/>
    <n v="2"/>
    <x v="3"/>
    <n v="6545"/>
    <n v="10"/>
    <x v="1"/>
    <x v="11"/>
    <n v="2"/>
    <n v="0"/>
    <n v="2"/>
    <n v="0"/>
  </r>
  <r>
    <n v="255"/>
    <x v="1"/>
    <x v="0"/>
    <x v="2"/>
    <x v="0"/>
    <s v="Marketing"/>
    <n v="1"/>
    <x v="1"/>
    <x v="0"/>
    <s v="Divorced"/>
    <s v="No"/>
    <x v="11"/>
    <n v="20"/>
    <s v="Associates Degree"/>
    <n v="4"/>
    <n v="2"/>
    <x v="0"/>
    <n v="6931"/>
    <n v="10"/>
    <x v="1"/>
    <x v="11"/>
    <n v="2"/>
    <n v="0"/>
    <n v="2"/>
    <n v="0"/>
  </r>
  <r>
    <n v="256"/>
    <x v="1"/>
    <x v="0"/>
    <x v="2"/>
    <x v="1"/>
    <s v="Life Sciences"/>
    <n v="1"/>
    <x v="0"/>
    <x v="3"/>
    <s v="Married"/>
    <s v="No"/>
    <x v="36"/>
    <n v="1"/>
    <s v="Bachelor's Degree"/>
    <n v="1"/>
    <n v="2"/>
    <x v="2"/>
    <n v="4898"/>
    <n v="5"/>
    <x v="1"/>
    <x v="9"/>
    <n v="2"/>
    <n v="1"/>
    <n v="2"/>
    <n v="0"/>
  </r>
  <r>
    <n v="257"/>
    <x v="1"/>
    <x v="0"/>
    <x v="0"/>
    <x v="1"/>
    <s v="Medical"/>
    <n v="1"/>
    <x v="0"/>
    <x v="2"/>
    <s v="Divorced"/>
    <s v="Yes"/>
    <x v="19"/>
    <n v="2"/>
    <s v="Bachelor's Degree"/>
    <n v="4"/>
    <n v="1"/>
    <x v="3"/>
    <n v="2593"/>
    <n v="10"/>
    <x v="1"/>
    <x v="7"/>
    <n v="6"/>
    <n v="7"/>
    <n v="8"/>
    <n v="0"/>
  </r>
  <r>
    <n v="258"/>
    <x v="1"/>
    <x v="0"/>
    <x v="0"/>
    <x v="1"/>
    <s v="Medical"/>
    <n v="1"/>
    <x v="1"/>
    <x v="7"/>
    <s v="Divorced"/>
    <s v="No"/>
    <x v="32"/>
    <n v="2"/>
    <s v="Associates Degree"/>
    <n v="1"/>
    <n v="5"/>
    <x v="2"/>
    <n v="19436"/>
    <n v="22"/>
    <x v="1"/>
    <x v="17"/>
    <n v="7"/>
    <n v="3"/>
    <n v="9"/>
    <n v="0"/>
  </r>
  <r>
    <n v="259"/>
    <x v="1"/>
    <x v="0"/>
    <x v="1"/>
    <x v="1"/>
    <s v="Life Sciences"/>
    <n v="1"/>
    <x v="1"/>
    <x v="1"/>
    <s v="Married"/>
    <s v="No"/>
    <x v="31"/>
    <n v="1"/>
    <s v="Bachelor's Degree"/>
    <n v="3"/>
    <n v="1"/>
    <x v="0"/>
    <n v="2723"/>
    <n v="1"/>
    <x v="2"/>
    <x v="6"/>
    <n v="0"/>
    <n v="0"/>
    <n v="0"/>
    <n v="0"/>
  </r>
  <r>
    <n v="260"/>
    <x v="0"/>
    <x v="1"/>
    <x v="2"/>
    <x v="1"/>
    <s v="Medical"/>
    <n v="1"/>
    <x v="1"/>
    <x v="2"/>
    <s v="Single"/>
    <s v="No"/>
    <x v="12"/>
    <n v="29"/>
    <s v="Associates Degree"/>
    <n v="3"/>
    <n v="1"/>
    <x v="1"/>
    <n v="3479"/>
    <n v="6"/>
    <x v="3"/>
    <x v="8"/>
    <n v="4"/>
    <n v="1"/>
    <n v="4"/>
    <n v="1"/>
  </r>
  <r>
    <n v="261"/>
    <x v="1"/>
    <x v="1"/>
    <x v="2"/>
    <x v="1"/>
    <s v="Life Sciences"/>
    <n v="1"/>
    <x v="1"/>
    <x v="2"/>
    <s v="Married"/>
    <s v="No"/>
    <x v="5"/>
    <n v="7"/>
    <s v="Bachelor's Degree"/>
    <n v="2"/>
    <n v="1"/>
    <x v="1"/>
    <n v="2794"/>
    <n v="5"/>
    <x v="0"/>
    <x v="8"/>
    <n v="1"/>
    <n v="0"/>
    <n v="3"/>
    <n v="0"/>
  </r>
  <r>
    <n v="262"/>
    <x v="1"/>
    <x v="2"/>
    <x v="0"/>
    <x v="0"/>
    <s v="Life Sciences"/>
    <n v="1"/>
    <x v="1"/>
    <x v="0"/>
    <s v="Married"/>
    <s v="No"/>
    <x v="8"/>
    <n v="2"/>
    <s v="Associates Degree"/>
    <n v="4"/>
    <n v="2"/>
    <x v="0"/>
    <n v="5249"/>
    <n v="13"/>
    <x v="1"/>
    <x v="3"/>
    <n v="7"/>
    <n v="7"/>
    <n v="5"/>
    <n v="0"/>
  </r>
  <r>
    <n v="263"/>
    <x v="1"/>
    <x v="0"/>
    <x v="2"/>
    <x v="1"/>
    <s v="Technical Degree"/>
    <n v="1"/>
    <x v="1"/>
    <x v="2"/>
    <s v="Single"/>
    <s v="No"/>
    <x v="5"/>
    <n v="2"/>
    <s v="High School"/>
    <n v="4"/>
    <n v="2"/>
    <x v="3"/>
    <n v="2176"/>
    <n v="9"/>
    <x v="1"/>
    <x v="0"/>
    <n v="2"/>
    <n v="0"/>
    <n v="4"/>
    <n v="0"/>
  </r>
  <r>
    <n v="264"/>
    <x v="1"/>
    <x v="0"/>
    <x v="1"/>
    <x v="0"/>
    <s v="Technical Degree"/>
    <n v="1"/>
    <x v="0"/>
    <x v="5"/>
    <s v="Married"/>
    <s v="Yes"/>
    <x v="21"/>
    <n v="2"/>
    <s v="Bachelor's Degree"/>
    <n v="3"/>
    <n v="4"/>
    <x v="1"/>
    <n v="16872"/>
    <n v="28"/>
    <x v="2"/>
    <x v="5"/>
    <n v="7"/>
    <n v="7"/>
    <n v="7"/>
    <n v="0"/>
  </r>
  <r>
    <n v="265"/>
    <x v="0"/>
    <x v="0"/>
    <x v="2"/>
    <x v="1"/>
    <s v="Life Sciences"/>
    <n v="1"/>
    <x v="1"/>
    <x v="2"/>
    <s v="Single"/>
    <s v="No"/>
    <x v="14"/>
    <n v="2"/>
    <s v="Master's Degree"/>
    <n v="1"/>
    <n v="1"/>
    <x v="2"/>
    <n v="3485"/>
    <n v="5"/>
    <x v="0"/>
    <x v="2"/>
    <n v="0"/>
    <n v="0"/>
    <n v="0"/>
    <n v="1"/>
  </r>
  <r>
    <n v="266"/>
    <x v="1"/>
    <x v="0"/>
    <x v="2"/>
    <x v="0"/>
    <s v="Medical"/>
    <n v="1"/>
    <x v="1"/>
    <x v="0"/>
    <s v="Married"/>
    <s v="No"/>
    <x v="11"/>
    <n v="2"/>
    <s v="Bachelor's Degree"/>
    <n v="1"/>
    <n v="2"/>
    <x v="1"/>
    <n v="6644"/>
    <n v="10"/>
    <x v="1"/>
    <x v="2"/>
    <n v="0"/>
    <n v="0"/>
    <n v="0"/>
    <n v="0"/>
  </r>
  <r>
    <n v="267"/>
    <x v="1"/>
    <x v="0"/>
    <x v="2"/>
    <x v="1"/>
    <s v="Medical"/>
    <n v="1"/>
    <x v="1"/>
    <x v="4"/>
    <s v="Married"/>
    <s v="No"/>
    <x v="12"/>
    <n v="23"/>
    <s v="Bachelor's Degree"/>
    <n v="2"/>
    <n v="2"/>
    <x v="0"/>
    <n v="5582"/>
    <n v="10"/>
    <x v="1"/>
    <x v="7"/>
    <n v="0"/>
    <n v="7"/>
    <n v="8"/>
    <n v="0"/>
  </r>
  <r>
    <n v="268"/>
    <x v="1"/>
    <x v="2"/>
    <x v="2"/>
    <x v="1"/>
    <s v="Life Sciences"/>
    <n v="1"/>
    <x v="1"/>
    <x v="4"/>
    <s v="Divorced"/>
    <s v="No"/>
    <x v="36"/>
    <n v="5"/>
    <s v="Associates Degree"/>
    <n v="2"/>
    <n v="2"/>
    <x v="3"/>
    <n v="4000"/>
    <n v="6"/>
    <x v="1"/>
    <x v="0"/>
    <n v="3"/>
    <n v="1"/>
    <n v="5"/>
    <n v="0"/>
  </r>
  <r>
    <n v="269"/>
    <x v="1"/>
    <x v="0"/>
    <x v="1"/>
    <x v="1"/>
    <s v="Medical"/>
    <n v="1"/>
    <x v="1"/>
    <x v="4"/>
    <s v="Married"/>
    <s v="Yes"/>
    <x v="28"/>
    <n v="20"/>
    <s v="Associates Degree"/>
    <n v="3"/>
    <n v="4"/>
    <x v="0"/>
    <n v="13496"/>
    <n v="21"/>
    <x v="1"/>
    <x v="23"/>
    <n v="7"/>
    <n v="4"/>
    <n v="10"/>
    <n v="0"/>
  </r>
  <r>
    <n v="270"/>
    <x v="1"/>
    <x v="0"/>
    <x v="0"/>
    <x v="1"/>
    <s v="Life Sciences"/>
    <n v="1"/>
    <x v="1"/>
    <x v="2"/>
    <s v="Married"/>
    <s v="No"/>
    <x v="9"/>
    <n v="6"/>
    <s v="Bachelor's Degree"/>
    <n v="4"/>
    <n v="1"/>
    <x v="0"/>
    <n v="3210"/>
    <n v="16"/>
    <x v="1"/>
    <x v="15"/>
    <n v="13"/>
    <n v="10"/>
    <n v="11"/>
    <n v="0"/>
  </r>
  <r>
    <n v="271"/>
    <x v="1"/>
    <x v="0"/>
    <x v="3"/>
    <x v="1"/>
    <s v="Medical"/>
    <n v="1"/>
    <x v="1"/>
    <x v="5"/>
    <s v="Single"/>
    <s v="Yes"/>
    <x v="27"/>
    <n v="1"/>
    <s v="Bachelor's Degree"/>
    <n v="4"/>
    <n v="5"/>
    <x v="3"/>
    <n v="19045"/>
    <n v="37"/>
    <x v="1"/>
    <x v="28"/>
    <n v="10"/>
    <n v="4"/>
    <n v="13"/>
    <n v="0"/>
  </r>
  <r>
    <n v="272"/>
    <x v="0"/>
    <x v="2"/>
    <x v="1"/>
    <x v="1"/>
    <s v="Life Sciences"/>
    <n v="1"/>
    <x v="1"/>
    <x v="5"/>
    <s v="Married"/>
    <s v="Yes"/>
    <x v="40"/>
    <n v="29"/>
    <s v="Master's Degree"/>
    <n v="1"/>
    <n v="3"/>
    <x v="1"/>
    <n v="11849"/>
    <n v="10"/>
    <x v="2"/>
    <x v="1"/>
    <n v="7"/>
    <n v="9"/>
    <n v="9"/>
    <n v="1"/>
  </r>
  <r>
    <n v="273"/>
    <x v="1"/>
    <x v="0"/>
    <x v="2"/>
    <x v="1"/>
    <s v="Medical"/>
    <n v="1"/>
    <x v="1"/>
    <x v="1"/>
    <s v="Married"/>
    <s v="No"/>
    <x v="14"/>
    <n v="9"/>
    <s v="Bachelor's Degree"/>
    <n v="4"/>
    <n v="1"/>
    <x v="0"/>
    <n v="2070"/>
    <n v="5"/>
    <x v="2"/>
    <x v="8"/>
    <n v="2"/>
    <n v="0"/>
    <n v="4"/>
    <n v="0"/>
  </r>
  <r>
    <n v="274"/>
    <x v="1"/>
    <x v="0"/>
    <x v="0"/>
    <x v="0"/>
    <s v="Medical"/>
    <n v="1"/>
    <x v="1"/>
    <x v="0"/>
    <s v="Married"/>
    <s v="No"/>
    <x v="2"/>
    <n v="6"/>
    <s v="Master's Degree"/>
    <n v="3"/>
    <n v="2"/>
    <x v="0"/>
    <n v="6502"/>
    <n v="7"/>
    <x v="3"/>
    <x v="8"/>
    <n v="4"/>
    <n v="0"/>
    <n v="1"/>
    <n v="0"/>
  </r>
  <r>
    <n v="275"/>
    <x v="1"/>
    <x v="0"/>
    <x v="4"/>
    <x v="1"/>
    <s v="Medical"/>
    <n v="1"/>
    <x v="1"/>
    <x v="1"/>
    <s v="Single"/>
    <s v="No"/>
    <x v="18"/>
    <n v="3"/>
    <s v="Associates Degree"/>
    <n v="4"/>
    <n v="1"/>
    <x v="2"/>
    <n v="3230"/>
    <n v="3"/>
    <x v="3"/>
    <x v="11"/>
    <n v="2"/>
    <n v="1"/>
    <n v="0"/>
    <n v="0"/>
  </r>
  <r>
    <n v="276"/>
    <x v="1"/>
    <x v="2"/>
    <x v="0"/>
    <x v="1"/>
    <s v="Medical"/>
    <n v="1"/>
    <x v="0"/>
    <x v="7"/>
    <s v="Divorced"/>
    <s v="Yes"/>
    <x v="2"/>
    <n v="1"/>
    <s v="Master's Degree"/>
    <n v="1"/>
    <n v="3"/>
    <x v="0"/>
    <n v="13603"/>
    <n v="15"/>
    <x v="1"/>
    <x v="8"/>
    <n v="2"/>
    <n v="0"/>
    <n v="2"/>
    <n v="0"/>
  </r>
  <r>
    <n v="277"/>
    <x v="1"/>
    <x v="0"/>
    <x v="0"/>
    <x v="1"/>
    <s v="Life Sciences"/>
    <n v="1"/>
    <x v="0"/>
    <x v="5"/>
    <s v="Divorced"/>
    <s v="No"/>
    <x v="10"/>
    <n v="22"/>
    <s v="Bachelor's Degree"/>
    <n v="2"/>
    <n v="3"/>
    <x v="1"/>
    <n v="11996"/>
    <n v="10"/>
    <x v="2"/>
    <x v="5"/>
    <n v="7"/>
    <n v="6"/>
    <n v="2"/>
    <n v="0"/>
  </r>
  <r>
    <n v="278"/>
    <x v="1"/>
    <x v="0"/>
    <x v="0"/>
    <x v="0"/>
    <s v="Medical"/>
    <n v="1"/>
    <x v="0"/>
    <x v="0"/>
    <s v="Divorced"/>
    <s v="Yes"/>
    <x v="8"/>
    <n v="7"/>
    <s v="Associates Degree"/>
    <n v="1"/>
    <n v="2"/>
    <x v="3"/>
    <n v="5605"/>
    <n v="8"/>
    <x v="1"/>
    <x v="3"/>
    <n v="0"/>
    <n v="7"/>
    <n v="7"/>
    <n v="0"/>
  </r>
  <r>
    <n v="279"/>
    <x v="1"/>
    <x v="1"/>
    <x v="2"/>
    <x v="1"/>
    <s v="Life Sciences"/>
    <n v="1"/>
    <x v="0"/>
    <x v="3"/>
    <s v="Divorced"/>
    <s v="No"/>
    <x v="25"/>
    <n v="1"/>
    <s v="Bachelor's Degree"/>
    <n v="3"/>
    <n v="2"/>
    <x v="1"/>
    <n v="6397"/>
    <n v="6"/>
    <x v="0"/>
    <x v="0"/>
    <n v="5"/>
    <n v="1"/>
    <n v="4"/>
    <n v="0"/>
  </r>
  <r>
    <n v="280"/>
    <x v="1"/>
    <x v="0"/>
    <x v="1"/>
    <x v="1"/>
    <s v="Life Sciences"/>
    <n v="1"/>
    <x v="1"/>
    <x v="7"/>
    <s v="Divorced"/>
    <s v="No"/>
    <x v="24"/>
    <n v="4"/>
    <s v="High School"/>
    <n v="1"/>
    <n v="5"/>
    <x v="1"/>
    <n v="19144"/>
    <n v="28"/>
    <x v="2"/>
    <x v="1"/>
    <n v="4"/>
    <n v="1"/>
    <n v="6"/>
    <n v="0"/>
  </r>
  <r>
    <n v="281"/>
    <x v="1"/>
    <x v="0"/>
    <x v="1"/>
    <x v="1"/>
    <s v="Medical"/>
    <n v="1"/>
    <x v="1"/>
    <x v="7"/>
    <s v="Married"/>
    <s v="Yes"/>
    <x v="16"/>
    <n v="3"/>
    <s v="Master's Degree"/>
    <n v="3"/>
    <n v="4"/>
    <x v="2"/>
    <n v="17584"/>
    <n v="21"/>
    <x v="2"/>
    <x v="8"/>
    <n v="3"/>
    <n v="1"/>
    <n v="3"/>
    <n v="0"/>
  </r>
  <r>
    <n v="282"/>
    <x v="1"/>
    <x v="0"/>
    <x v="0"/>
    <x v="0"/>
    <s v="Life Sciences"/>
    <n v="1"/>
    <x v="1"/>
    <x v="0"/>
    <s v="Married"/>
    <s v="No"/>
    <x v="19"/>
    <n v="1"/>
    <s v="High School"/>
    <n v="2"/>
    <n v="2"/>
    <x v="2"/>
    <n v="4907"/>
    <n v="20"/>
    <x v="1"/>
    <x v="23"/>
    <n v="16"/>
    <n v="11"/>
    <n v="6"/>
    <n v="0"/>
  </r>
  <r>
    <n v="283"/>
    <x v="1"/>
    <x v="1"/>
    <x v="2"/>
    <x v="0"/>
    <s v="Life Sciences"/>
    <n v="1"/>
    <x v="1"/>
    <x v="0"/>
    <s v="Single"/>
    <s v="No"/>
    <x v="11"/>
    <n v="2"/>
    <s v="Associates Degree"/>
    <n v="2"/>
    <n v="2"/>
    <x v="0"/>
    <n v="4554"/>
    <n v="10"/>
    <x v="2"/>
    <x v="1"/>
    <n v="7"/>
    <n v="0"/>
    <n v="9"/>
    <n v="0"/>
  </r>
  <r>
    <n v="284"/>
    <x v="1"/>
    <x v="0"/>
    <x v="3"/>
    <x v="1"/>
    <s v="Technical Degree"/>
    <n v="1"/>
    <x v="1"/>
    <x v="2"/>
    <s v="Married"/>
    <s v="Yes"/>
    <x v="27"/>
    <n v="20"/>
    <s v="Associates Degree"/>
    <n v="2"/>
    <n v="2"/>
    <x v="0"/>
    <n v="5415"/>
    <n v="12"/>
    <x v="1"/>
    <x v="1"/>
    <n v="7"/>
    <n v="0"/>
    <n v="8"/>
    <n v="0"/>
  </r>
  <r>
    <n v="285"/>
    <x v="1"/>
    <x v="1"/>
    <x v="2"/>
    <x v="1"/>
    <s v="Medical"/>
    <n v="1"/>
    <x v="1"/>
    <x v="4"/>
    <s v="Married"/>
    <s v="Yes"/>
    <x v="25"/>
    <n v="11"/>
    <s v="Associates Degree"/>
    <n v="1"/>
    <n v="2"/>
    <x v="3"/>
    <n v="4741"/>
    <n v="5"/>
    <x v="1"/>
    <x v="8"/>
    <n v="3"/>
    <n v="3"/>
    <n v="3"/>
    <n v="0"/>
  </r>
  <r>
    <n v="286"/>
    <x v="1"/>
    <x v="0"/>
    <x v="0"/>
    <x v="1"/>
    <s v="Life Sciences"/>
    <n v="1"/>
    <x v="0"/>
    <x v="1"/>
    <s v="Single"/>
    <s v="No"/>
    <x v="2"/>
    <n v="1"/>
    <s v="Bachelor's Degree"/>
    <n v="4"/>
    <n v="1"/>
    <x v="0"/>
    <n v="2115"/>
    <n v="17"/>
    <x v="1"/>
    <x v="18"/>
    <n v="12"/>
    <n v="5"/>
    <n v="7"/>
    <n v="0"/>
  </r>
  <r>
    <n v="287"/>
    <x v="0"/>
    <x v="1"/>
    <x v="0"/>
    <x v="1"/>
    <s v="Life Sciences"/>
    <n v="1"/>
    <x v="1"/>
    <x v="2"/>
    <s v="Divorced"/>
    <s v="Yes"/>
    <x v="20"/>
    <n v="24"/>
    <s v="Bachelor's Degree"/>
    <n v="4"/>
    <n v="1"/>
    <x v="2"/>
    <n v="3161"/>
    <n v="19"/>
    <x v="0"/>
    <x v="6"/>
    <n v="0"/>
    <n v="0"/>
    <n v="0"/>
    <n v="1"/>
  </r>
  <r>
    <n v="288"/>
    <x v="1"/>
    <x v="0"/>
    <x v="0"/>
    <x v="1"/>
    <s v="Life Sciences"/>
    <n v="1"/>
    <x v="1"/>
    <x v="4"/>
    <s v="Divorced"/>
    <s v="No"/>
    <x v="8"/>
    <n v="23"/>
    <s v="Master's Degree"/>
    <n v="4"/>
    <n v="2"/>
    <x v="0"/>
    <n v="5745"/>
    <n v="10"/>
    <x v="1"/>
    <x v="4"/>
    <n v="2"/>
    <n v="1"/>
    <n v="2"/>
    <n v="0"/>
  </r>
  <r>
    <n v="289"/>
    <x v="0"/>
    <x v="0"/>
    <x v="2"/>
    <x v="1"/>
    <s v="Medical"/>
    <n v="1"/>
    <x v="1"/>
    <x v="2"/>
    <s v="Divorced"/>
    <s v="Yes"/>
    <x v="25"/>
    <n v="16"/>
    <s v="Master's Degree"/>
    <n v="1"/>
    <n v="1"/>
    <x v="1"/>
    <n v="2373"/>
    <n v="5"/>
    <x v="1"/>
    <x v="11"/>
    <n v="2"/>
    <n v="0"/>
    <n v="2"/>
    <n v="1"/>
  </r>
  <r>
    <n v="290"/>
    <x v="1"/>
    <x v="0"/>
    <x v="2"/>
    <x v="1"/>
    <s v="Life Sciences"/>
    <n v="1"/>
    <x v="0"/>
    <x v="1"/>
    <s v="Single"/>
    <s v="No"/>
    <x v="14"/>
    <n v="8"/>
    <s v="Associates Degree"/>
    <n v="4"/>
    <n v="1"/>
    <x v="0"/>
    <n v="3310"/>
    <n v="5"/>
    <x v="1"/>
    <x v="8"/>
    <n v="3"/>
    <n v="0"/>
    <n v="2"/>
    <n v="0"/>
  </r>
  <r>
    <n v="291"/>
    <x v="1"/>
    <x v="1"/>
    <x v="1"/>
    <x v="1"/>
    <s v="Life Sciences"/>
    <n v="1"/>
    <x v="0"/>
    <x v="7"/>
    <s v="Single"/>
    <s v="Yes"/>
    <x v="1"/>
    <n v="10"/>
    <s v="Master's Degree"/>
    <n v="3"/>
    <n v="5"/>
    <x v="3"/>
    <n v="18665"/>
    <n v="22"/>
    <x v="1"/>
    <x v="11"/>
    <n v="2"/>
    <n v="1"/>
    <n v="2"/>
    <n v="0"/>
  </r>
  <r>
    <n v="292"/>
    <x v="1"/>
    <x v="0"/>
    <x v="0"/>
    <x v="1"/>
    <s v="Technical Degree"/>
    <n v="1"/>
    <x v="1"/>
    <x v="1"/>
    <s v="Single"/>
    <s v="No"/>
    <x v="9"/>
    <n v="3"/>
    <s v="Bachelor's Degree"/>
    <n v="3"/>
    <n v="2"/>
    <x v="1"/>
    <n v="4485"/>
    <n v="10"/>
    <x v="1"/>
    <x v="3"/>
    <n v="0"/>
    <n v="7"/>
    <n v="7"/>
    <n v="0"/>
  </r>
  <r>
    <n v="293"/>
    <x v="1"/>
    <x v="1"/>
    <x v="2"/>
    <x v="0"/>
    <s v="Marketing"/>
    <n v="1"/>
    <x v="0"/>
    <x v="6"/>
    <s v="Divorced"/>
    <s v="No"/>
    <x v="12"/>
    <n v="5"/>
    <s v="Bachelor's Degree"/>
    <n v="4"/>
    <n v="1"/>
    <x v="1"/>
    <n v="2789"/>
    <n v="2"/>
    <x v="2"/>
    <x v="4"/>
    <n v="2"/>
    <n v="2"/>
    <n v="2"/>
    <n v="0"/>
  </r>
  <r>
    <n v="294"/>
    <x v="0"/>
    <x v="0"/>
    <x v="2"/>
    <x v="0"/>
    <s v="Marketing"/>
    <n v="1"/>
    <x v="1"/>
    <x v="0"/>
    <s v="Single"/>
    <s v="Yes"/>
    <x v="25"/>
    <n v="4"/>
    <s v="Master's Degree"/>
    <n v="4"/>
    <n v="2"/>
    <x v="0"/>
    <n v="5828"/>
    <n v="8"/>
    <x v="1"/>
    <x v="3"/>
    <n v="7"/>
    <n v="7"/>
    <n v="4"/>
    <n v="1"/>
  </r>
  <r>
    <n v="295"/>
    <x v="1"/>
    <x v="1"/>
    <x v="0"/>
    <x v="1"/>
    <s v="Medical"/>
    <n v="1"/>
    <x v="1"/>
    <x v="1"/>
    <s v="Married"/>
    <s v="Yes"/>
    <x v="2"/>
    <n v="9"/>
    <s v="Bachelor's Degree"/>
    <n v="2"/>
    <n v="1"/>
    <x v="0"/>
    <n v="2326"/>
    <n v="4"/>
    <x v="2"/>
    <x v="9"/>
    <n v="2"/>
    <n v="1"/>
    <n v="2"/>
    <n v="0"/>
  </r>
  <r>
    <n v="296"/>
    <x v="1"/>
    <x v="1"/>
    <x v="0"/>
    <x v="0"/>
    <s v="Marketing"/>
    <n v="1"/>
    <x v="0"/>
    <x v="0"/>
    <s v="Married"/>
    <s v="No"/>
    <x v="19"/>
    <n v="26"/>
    <s v="Bachelor's Degree"/>
    <n v="3"/>
    <n v="4"/>
    <x v="1"/>
    <n v="13525"/>
    <n v="23"/>
    <x v="3"/>
    <x v="23"/>
    <n v="4"/>
    <n v="4"/>
    <n v="8"/>
    <n v="0"/>
  </r>
  <r>
    <n v="297"/>
    <x v="0"/>
    <x v="0"/>
    <x v="4"/>
    <x v="1"/>
    <s v="Life Sciences"/>
    <n v="1"/>
    <x v="1"/>
    <x v="2"/>
    <s v="Single"/>
    <s v="No"/>
    <x v="41"/>
    <n v="3"/>
    <s v="Bachelor's Degree"/>
    <n v="3"/>
    <n v="1"/>
    <x v="2"/>
    <n v="1420"/>
    <n v="0"/>
    <x v="1"/>
    <x v="2"/>
    <n v="0"/>
    <n v="0"/>
    <n v="0"/>
    <n v="1"/>
  </r>
  <r>
    <n v="298"/>
    <x v="1"/>
    <x v="0"/>
    <x v="0"/>
    <x v="0"/>
    <s v="Marketing"/>
    <n v="1"/>
    <x v="1"/>
    <x v="0"/>
    <s v="Married"/>
    <s v="No"/>
    <x v="10"/>
    <n v="16"/>
    <s v="Bachelor's Degree"/>
    <n v="3"/>
    <n v="3"/>
    <x v="1"/>
    <n v="8020"/>
    <n v="12"/>
    <x v="2"/>
    <x v="19"/>
    <n v="9"/>
    <n v="6"/>
    <n v="9"/>
    <n v="0"/>
  </r>
  <r>
    <n v="299"/>
    <x v="1"/>
    <x v="1"/>
    <x v="0"/>
    <x v="1"/>
    <s v="Life Sciences"/>
    <n v="1"/>
    <x v="1"/>
    <x v="2"/>
    <s v="Married"/>
    <s v="No"/>
    <x v="9"/>
    <n v="18"/>
    <s v="Master's Degree"/>
    <n v="3"/>
    <n v="1"/>
    <x v="0"/>
    <n v="3688"/>
    <n v="4"/>
    <x v="1"/>
    <x v="6"/>
    <n v="0"/>
    <n v="0"/>
    <n v="0"/>
    <n v="0"/>
  </r>
  <r>
    <n v="300"/>
    <x v="1"/>
    <x v="0"/>
    <x v="1"/>
    <x v="1"/>
    <s v="Medical"/>
    <n v="1"/>
    <x v="1"/>
    <x v="3"/>
    <s v="Divorced"/>
    <s v="No"/>
    <x v="31"/>
    <n v="2"/>
    <s v="Bachelor's Degree"/>
    <n v="4"/>
    <n v="2"/>
    <x v="1"/>
    <n v="5482"/>
    <n v="13"/>
    <x v="1"/>
    <x v="9"/>
    <n v="1"/>
    <n v="1"/>
    <n v="2"/>
    <n v="0"/>
  </r>
  <r>
    <n v="301"/>
    <x v="1"/>
    <x v="0"/>
    <x v="0"/>
    <x v="0"/>
    <s v="Life Sciences"/>
    <n v="1"/>
    <x v="1"/>
    <x v="5"/>
    <s v="Single"/>
    <s v="No"/>
    <x v="0"/>
    <n v="2"/>
    <s v="Master's Degree"/>
    <n v="4"/>
    <n v="4"/>
    <x v="1"/>
    <n v="16015"/>
    <n v="22"/>
    <x v="1"/>
    <x v="14"/>
    <n v="10"/>
    <n v="0"/>
    <n v="4"/>
    <n v="0"/>
  </r>
  <r>
    <n v="302"/>
    <x v="1"/>
    <x v="0"/>
    <x v="4"/>
    <x v="0"/>
    <s v="Medical"/>
    <n v="1"/>
    <x v="0"/>
    <x v="6"/>
    <s v="Single"/>
    <s v="No"/>
    <x v="41"/>
    <n v="10"/>
    <s v="Bachelor's Degree"/>
    <n v="4"/>
    <n v="1"/>
    <x v="2"/>
    <n v="1200"/>
    <n v="0"/>
    <x v="1"/>
    <x v="2"/>
    <n v="0"/>
    <n v="0"/>
    <n v="0"/>
    <n v="0"/>
  </r>
  <r>
    <n v="303"/>
    <x v="1"/>
    <x v="0"/>
    <x v="2"/>
    <x v="1"/>
    <s v="Medical"/>
    <n v="1"/>
    <x v="1"/>
    <x v="4"/>
    <s v="Single"/>
    <s v="No"/>
    <x v="14"/>
    <n v="16"/>
    <s v="Associates Degree"/>
    <n v="2"/>
    <n v="2"/>
    <x v="3"/>
    <n v="5661"/>
    <n v="9"/>
    <x v="1"/>
    <x v="3"/>
    <n v="3"/>
    <n v="0"/>
    <n v="7"/>
    <n v="0"/>
  </r>
  <r>
    <n v="304"/>
    <x v="1"/>
    <x v="0"/>
    <x v="2"/>
    <x v="0"/>
    <s v="Technical Degree"/>
    <n v="1"/>
    <x v="1"/>
    <x v="0"/>
    <s v="Married"/>
    <s v="No"/>
    <x v="12"/>
    <n v="7"/>
    <s v="Bachelor's Degree"/>
    <n v="2"/>
    <n v="2"/>
    <x v="0"/>
    <n v="6929"/>
    <n v="10"/>
    <x v="2"/>
    <x v="3"/>
    <n v="7"/>
    <n v="7"/>
    <n v="7"/>
    <n v="0"/>
  </r>
  <r>
    <n v="305"/>
    <x v="1"/>
    <x v="0"/>
    <x v="0"/>
    <x v="1"/>
    <s v="Medical"/>
    <n v="1"/>
    <x v="1"/>
    <x v="4"/>
    <s v="Divorced"/>
    <s v="No"/>
    <x v="22"/>
    <n v="1"/>
    <s v="Bachelor's Degree"/>
    <n v="3"/>
    <n v="3"/>
    <x v="0"/>
    <n v="9613"/>
    <n v="19"/>
    <x v="2"/>
    <x v="29"/>
    <n v="10"/>
    <n v="3"/>
    <n v="7"/>
    <n v="0"/>
  </r>
  <r>
    <n v="306"/>
    <x v="1"/>
    <x v="2"/>
    <x v="0"/>
    <x v="1"/>
    <s v="Life Sciences"/>
    <n v="1"/>
    <x v="0"/>
    <x v="2"/>
    <s v="Married"/>
    <s v="No"/>
    <x v="9"/>
    <n v="24"/>
    <s v="Master's Degree"/>
    <n v="2"/>
    <n v="2"/>
    <x v="1"/>
    <n v="5674"/>
    <n v="11"/>
    <x v="1"/>
    <x v="7"/>
    <n v="8"/>
    <n v="0"/>
    <n v="8"/>
    <n v="0"/>
  </r>
  <r>
    <n v="307"/>
    <x v="1"/>
    <x v="0"/>
    <x v="2"/>
    <x v="0"/>
    <s v="Life Sciences"/>
    <n v="1"/>
    <x v="1"/>
    <x v="0"/>
    <s v="Married"/>
    <s v="No"/>
    <x v="5"/>
    <n v="7"/>
    <s v="Bachelor's Degree"/>
    <n v="4"/>
    <n v="2"/>
    <x v="2"/>
    <n v="5484"/>
    <n v="13"/>
    <x v="2"/>
    <x v="20"/>
    <n v="8"/>
    <n v="4"/>
    <n v="8"/>
    <n v="0"/>
  </r>
  <r>
    <n v="308"/>
    <x v="1"/>
    <x v="0"/>
    <x v="0"/>
    <x v="1"/>
    <s v="Life Sciences"/>
    <n v="1"/>
    <x v="0"/>
    <x v="7"/>
    <s v="Married"/>
    <s v="No"/>
    <x v="8"/>
    <n v="25"/>
    <s v="Associates Degree"/>
    <n v="1"/>
    <n v="3"/>
    <x v="1"/>
    <n v="12061"/>
    <n v="19"/>
    <x v="1"/>
    <x v="1"/>
    <n v="8"/>
    <n v="0"/>
    <n v="1"/>
    <n v="0"/>
  </r>
  <r>
    <n v="309"/>
    <x v="1"/>
    <x v="2"/>
    <x v="3"/>
    <x v="1"/>
    <s v="Life Sciences"/>
    <n v="1"/>
    <x v="1"/>
    <x v="4"/>
    <s v="Divorced"/>
    <s v="Yes"/>
    <x v="34"/>
    <n v="1"/>
    <s v="Master's Degree"/>
    <n v="4"/>
    <n v="2"/>
    <x v="2"/>
    <n v="5660"/>
    <n v="12"/>
    <x v="1"/>
    <x v="8"/>
    <n v="3"/>
    <n v="1"/>
    <n v="2"/>
    <n v="0"/>
  </r>
  <r>
    <n v="310"/>
    <x v="1"/>
    <x v="0"/>
    <x v="2"/>
    <x v="1"/>
    <s v="Technical Degree"/>
    <n v="1"/>
    <x v="1"/>
    <x v="1"/>
    <s v="Married"/>
    <s v="Yes"/>
    <x v="12"/>
    <n v="5"/>
    <s v="Master's Degree"/>
    <n v="3"/>
    <n v="1"/>
    <x v="0"/>
    <n v="4821"/>
    <n v="6"/>
    <x v="1"/>
    <x v="8"/>
    <n v="2"/>
    <n v="0"/>
    <n v="3"/>
    <n v="0"/>
  </r>
  <r>
    <n v="311"/>
    <x v="1"/>
    <x v="0"/>
    <x v="2"/>
    <x v="2"/>
    <s v="Human Resources"/>
    <n v="1"/>
    <x v="1"/>
    <x v="8"/>
    <s v="Married"/>
    <s v="No"/>
    <x v="12"/>
    <n v="2"/>
    <s v="Bachelor's Degree"/>
    <n v="1"/>
    <n v="2"/>
    <x v="3"/>
    <n v="6410"/>
    <n v="9"/>
    <x v="1"/>
    <x v="4"/>
    <n v="2"/>
    <n v="1"/>
    <n v="0"/>
    <n v="0"/>
  </r>
  <r>
    <n v="312"/>
    <x v="1"/>
    <x v="1"/>
    <x v="1"/>
    <x v="1"/>
    <s v="Life Sciences"/>
    <n v="1"/>
    <x v="1"/>
    <x v="2"/>
    <s v="Divorced"/>
    <s v="No"/>
    <x v="28"/>
    <n v="7"/>
    <s v="Bachelor's Degree"/>
    <n v="1"/>
    <n v="3"/>
    <x v="3"/>
    <n v="5210"/>
    <n v="24"/>
    <x v="1"/>
    <x v="25"/>
    <n v="9"/>
    <n v="9"/>
    <n v="11"/>
    <n v="0"/>
  </r>
  <r>
    <n v="313"/>
    <x v="1"/>
    <x v="0"/>
    <x v="2"/>
    <x v="1"/>
    <s v="Life Sciences"/>
    <n v="1"/>
    <x v="1"/>
    <x v="1"/>
    <s v="Divorced"/>
    <s v="Yes"/>
    <x v="12"/>
    <n v="2"/>
    <s v="Master's Degree"/>
    <n v="3"/>
    <n v="1"/>
    <x v="0"/>
    <n v="2695"/>
    <n v="3"/>
    <x v="0"/>
    <x v="4"/>
    <n v="2"/>
    <n v="2"/>
    <n v="2"/>
    <n v="0"/>
  </r>
  <r>
    <n v="314"/>
    <x v="1"/>
    <x v="1"/>
    <x v="2"/>
    <x v="1"/>
    <s v="Life Sciences"/>
    <n v="1"/>
    <x v="0"/>
    <x v="5"/>
    <s v="Married"/>
    <s v="No"/>
    <x v="3"/>
    <n v="5"/>
    <s v="Master's Degree"/>
    <n v="4"/>
    <n v="3"/>
    <x v="1"/>
    <n v="11878"/>
    <n v="12"/>
    <x v="1"/>
    <x v="1"/>
    <n v="6"/>
    <n v="8"/>
    <n v="8"/>
    <n v="0"/>
  </r>
  <r>
    <n v="315"/>
    <x v="1"/>
    <x v="0"/>
    <x v="0"/>
    <x v="1"/>
    <s v="Medical"/>
    <n v="1"/>
    <x v="1"/>
    <x v="5"/>
    <s v="Married"/>
    <s v="Yes"/>
    <x v="22"/>
    <n v="10"/>
    <s v="High School"/>
    <n v="3"/>
    <n v="4"/>
    <x v="3"/>
    <n v="17068"/>
    <n v="21"/>
    <x v="1"/>
    <x v="17"/>
    <n v="9"/>
    <n v="11"/>
    <n v="10"/>
    <n v="0"/>
  </r>
  <r>
    <n v="316"/>
    <x v="1"/>
    <x v="1"/>
    <x v="0"/>
    <x v="1"/>
    <s v="Life Sciences"/>
    <n v="1"/>
    <x v="0"/>
    <x v="2"/>
    <s v="Single"/>
    <s v="No"/>
    <x v="23"/>
    <n v="10"/>
    <s v="Master's Degree"/>
    <n v="3"/>
    <n v="1"/>
    <x v="0"/>
    <n v="2455"/>
    <n v="9"/>
    <x v="1"/>
    <x v="3"/>
    <n v="7"/>
    <n v="1"/>
    <n v="7"/>
    <n v="0"/>
  </r>
  <r>
    <n v="317"/>
    <x v="1"/>
    <x v="0"/>
    <x v="1"/>
    <x v="1"/>
    <s v="Technical Degree"/>
    <n v="1"/>
    <x v="0"/>
    <x v="4"/>
    <s v="Single"/>
    <s v="Yes"/>
    <x v="1"/>
    <n v="1"/>
    <s v="Associates Degree"/>
    <n v="3"/>
    <n v="4"/>
    <x v="2"/>
    <n v="13964"/>
    <n v="25"/>
    <x v="1"/>
    <x v="5"/>
    <n v="1"/>
    <n v="0"/>
    <n v="7"/>
    <n v="0"/>
  </r>
  <r>
    <n v="318"/>
    <x v="0"/>
    <x v="0"/>
    <x v="1"/>
    <x v="1"/>
    <s v="Medical"/>
    <n v="1"/>
    <x v="1"/>
    <x v="1"/>
    <s v="Married"/>
    <s v="No"/>
    <x v="39"/>
    <n v="8"/>
    <s v="Master's Degree"/>
    <n v="3"/>
    <n v="2"/>
    <x v="1"/>
    <n v="4941"/>
    <n v="11"/>
    <x v="2"/>
    <x v="3"/>
    <n v="2"/>
    <n v="7"/>
    <n v="7"/>
    <n v="1"/>
  </r>
  <r>
    <n v="319"/>
    <x v="1"/>
    <x v="0"/>
    <x v="2"/>
    <x v="1"/>
    <s v="Life Sciences"/>
    <n v="1"/>
    <x v="0"/>
    <x v="1"/>
    <s v="Single"/>
    <s v="Yes"/>
    <x v="4"/>
    <n v="5"/>
    <s v="Bachelor's Degree"/>
    <n v="3"/>
    <n v="1"/>
    <x v="1"/>
    <n v="2478"/>
    <n v="4"/>
    <x v="2"/>
    <x v="9"/>
    <n v="3"/>
    <n v="1"/>
    <n v="2"/>
    <n v="0"/>
  </r>
  <r>
    <n v="320"/>
    <x v="1"/>
    <x v="0"/>
    <x v="2"/>
    <x v="0"/>
    <s v="Technical Degree"/>
    <n v="1"/>
    <x v="0"/>
    <x v="0"/>
    <s v="Married"/>
    <s v="Yes"/>
    <x v="5"/>
    <n v="8"/>
    <s v="Associates Degree"/>
    <n v="3"/>
    <n v="2"/>
    <x v="1"/>
    <n v="5228"/>
    <n v="13"/>
    <x v="1"/>
    <x v="20"/>
    <n v="12"/>
    <n v="11"/>
    <n v="9"/>
    <n v="0"/>
  </r>
  <r>
    <n v="321"/>
    <x v="1"/>
    <x v="0"/>
    <x v="2"/>
    <x v="0"/>
    <s v="Life Sciences"/>
    <n v="1"/>
    <x v="1"/>
    <x v="0"/>
    <s v="Single"/>
    <s v="Yes"/>
    <x v="4"/>
    <n v="2"/>
    <s v="Bachelor's Degree"/>
    <n v="4"/>
    <n v="2"/>
    <x v="2"/>
    <n v="4478"/>
    <n v="5"/>
    <x v="1"/>
    <x v="8"/>
    <n v="4"/>
    <n v="0"/>
    <n v="4"/>
    <n v="0"/>
  </r>
  <r>
    <n v="322"/>
    <x v="1"/>
    <x v="0"/>
    <x v="2"/>
    <x v="0"/>
    <s v="Marketing"/>
    <n v="1"/>
    <x v="1"/>
    <x v="0"/>
    <s v="Divorced"/>
    <s v="No"/>
    <x v="12"/>
    <n v="7"/>
    <s v="Bachelor's Degree"/>
    <n v="4"/>
    <n v="2"/>
    <x v="0"/>
    <n v="7547"/>
    <n v="13"/>
    <x v="1"/>
    <x v="5"/>
    <n v="7"/>
    <n v="1"/>
    <n v="7"/>
    <n v="0"/>
  </r>
  <r>
    <n v="323"/>
    <x v="1"/>
    <x v="0"/>
    <x v="2"/>
    <x v="1"/>
    <s v="Medical"/>
    <n v="1"/>
    <x v="0"/>
    <x v="1"/>
    <s v="Single"/>
    <s v="No"/>
    <x v="5"/>
    <n v="2"/>
    <s v="Master's Degree"/>
    <n v="1"/>
    <n v="2"/>
    <x v="0"/>
    <n v="5055"/>
    <n v="10"/>
    <x v="2"/>
    <x v="5"/>
    <n v="7"/>
    <n v="0"/>
    <n v="7"/>
    <n v="0"/>
  </r>
  <r>
    <n v="324"/>
    <x v="0"/>
    <x v="0"/>
    <x v="2"/>
    <x v="1"/>
    <s v="Medical"/>
    <n v="1"/>
    <x v="1"/>
    <x v="1"/>
    <s v="Married"/>
    <s v="Yes"/>
    <x v="14"/>
    <n v="2"/>
    <s v="Master's Degree"/>
    <n v="1"/>
    <n v="1"/>
    <x v="0"/>
    <n v="3464"/>
    <n v="5"/>
    <x v="2"/>
    <x v="11"/>
    <n v="2"/>
    <n v="2"/>
    <n v="2"/>
    <n v="1"/>
  </r>
  <r>
    <n v="325"/>
    <x v="1"/>
    <x v="0"/>
    <x v="2"/>
    <x v="1"/>
    <s v="Medical"/>
    <n v="1"/>
    <x v="0"/>
    <x v="1"/>
    <s v="Married"/>
    <s v="No"/>
    <x v="7"/>
    <n v="28"/>
    <s v="Associates Degree"/>
    <n v="4"/>
    <n v="2"/>
    <x v="0"/>
    <n v="5775"/>
    <n v="11"/>
    <x v="1"/>
    <x v="1"/>
    <n v="8"/>
    <n v="1"/>
    <n v="9"/>
    <n v="0"/>
  </r>
  <r>
    <n v="326"/>
    <x v="1"/>
    <x v="1"/>
    <x v="2"/>
    <x v="1"/>
    <s v="Life Sciences"/>
    <n v="1"/>
    <x v="0"/>
    <x v="3"/>
    <s v="Married"/>
    <s v="No"/>
    <x v="12"/>
    <n v="7"/>
    <s v="Associates Degree"/>
    <n v="3"/>
    <n v="3"/>
    <x v="2"/>
    <n v="8943"/>
    <n v="10"/>
    <x v="1"/>
    <x v="1"/>
    <n v="9"/>
    <n v="8"/>
    <n v="9"/>
    <n v="0"/>
  </r>
  <r>
    <n v="327"/>
    <x v="1"/>
    <x v="1"/>
    <x v="0"/>
    <x v="1"/>
    <s v="Medical"/>
    <n v="1"/>
    <x v="1"/>
    <x v="5"/>
    <s v="Married"/>
    <s v="No"/>
    <x v="22"/>
    <n v="7"/>
    <s v="Associates Degree"/>
    <n v="3"/>
    <n v="5"/>
    <x v="0"/>
    <n v="19272"/>
    <n v="21"/>
    <x v="1"/>
    <x v="17"/>
    <n v="9"/>
    <n v="13"/>
    <n v="3"/>
    <n v="0"/>
  </r>
  <r>
    <n v="328"/>
    <x v="0"/>
    <x v="0"/>
    <x v="0"/>
    <x v="0"/>
    <s v="Medical"/>
    <n v="1"/>
    <x v="0"/>
    <x v="0"/>
    <s v="Married"/>
    <s v="Yes"/>
    <x v="22"/>
    <n v="3"/>
    <s v="Associates Degree"/>
    <n v="4"/>
    <n v="2"/>
    <x v="2"/>
    <n v="5238"/>
    <n v="12"/>
    <x v="2"/>
    <x v="6"/>
    <n v="0"/>
    <n v="0"/>
    <n v="0"/>
    <n v="1"/>
  </r>
  <r>
    <n v="329"/>
    <x v="1"/>
    <x v="1"/>
    <x v="2"/>
    <x v="0"/>
    <s v="Marketing"/>
    <n v="1"/>
    <x v="1"/>
    <x v="0"/>
    <s v="Single"/>
    <s v="No"/>
    <x v="3"/>
    <n v="10"/>
    <s v="Bachelor's Degree"/>
    <n v="2"/>
    <n v="2"/>
    <x v="0"/>
    <n v="4682"/>
    <n v="9"/>
    <x v="2"/>
    <x v="5"/>
    <n v="7"/>
    <n v="0"/>
    <n v="1"/>
    <n v="0"/>
  </r>
  <r>
    <n v="330"/>
    <x v="1"/>
    <x v="0"/>
    <x v="1"/>
    <x v="1"/>
    <s v="Life Sciences"/>
    <n v="1"/>
    <x v="1"/>
    <x v="7"/>
    <s v="Married"/>
    <s v="No"/>
    <x v="40"/>
    <n v="5"/>
    <s v="Doctoral Degree"/>
    <n v="4"/>
    <n v="5"/>
    <x v="2"/>
    <n v="18300"/>
    <n v="21"/>
    <x v="1"/>
    <x v="11"/>
    <n v="2"/>
    <n v="1"/>
    <n v="1"/>
    <n v="0"/>
  </r>
  <r>
    <n v="331"/>
    <x v="1"/>
    <x v="1"/>
    <x v="0"/>
    <x v="1"/>
    <s v="Life Sciences"/>
    <n v="1"/>
    <x v="0"/>
    <x v="2"/>
    <s v="Divorced"/>
    <s v="No"/>
    <x v="23"/>
    <n v="10"/>
    <s v="Master's Degree"/>
    <n v="3"/>
    <n v="2"/>
    <x v="2"/>
    <n v="5257"/>
    <n v="9"/>
    <x v="3"/>
    <x v="7"/>
    <n v="7"/>
    <n v="0"/>
    <n v="0"/>
    <n v="0"/>
  </r>
  <r>
    <n v="332"/>
    <x v="1"/>
    <x v="2"/>
    <x v="2"/>
    <x v="0"/>
    <s v="Marketing"/>
    <n v="1"/>
    <x v="1"/>
    <x v="0"/>
    <s v="Married"/>
    <s v="Yes"/>
    <x v="4"/>
    <n v="1"/>
    <s v="High School"/>
    <n v="3"/>
    <n v="2"/>
    <x v="1"/>
    <n v="6349"/>
    <n v="6"/>
    <x v="1"/>
    <x v="8"/>
    <n v="4"/>
    <n v="1"/>
    <n v="4"/>
    <n v="0"/>
  </r>
  <r>
    <n v="333"/>
    <x v="1"/>
    <x v="1"/>
    <x v="1"/>
    <x v="1"/>
    <s v="Life Sciences"/>
    <n v="1"/>
    <x v="0"/>
    <x v="1"/>
    <s v="Single"/>
    <s v="No"/>
    <x v="33"/>
    <n v="20"/>
    <s v="Master's Degree"/>
    <n v="4"/>
    <n v="2"/>
    <x v="2"/>
    <n v="4869"/>
    <n v="20"/>
    <x v="2"/>
    <x v="9"/>
    <n v="3"/>
    <n v="0"/>
    <n v="3"/>
    <n v="0"/>
  </r>
  <r>
    <n v="334"/>
    <x v="1"/>
    <x v="0"/>
    <x v="0"/>
    <x v="1"/>
    <s v="Life Sciences"/>
    <n v="1"/>
    <x v="0"/>
    <x v="4"/>
    <s v="Married"/>
    <s v="No"/>
    <x v="23"/>
    <n v="7"/>
    <s v="Bachelor's Degree"/>
    <n v="3"/>
    <n v="3"/>
    <x v="3"/>
    <n v="9985"/>
    <n v="10"/>
    <x v="2"/>
    <x v="6"/>
    <n v="0"/>
    <n v="0"/>
    <n v="0"/>
    <n v="0"/>
  </r>
  <r>
    <n v="335"/>
    <x v="1"/>
    <x v="0"/>
    <x v="1"/>
    <x v="1"/>
    <s v="Other"/>
    <n v="1"/>
    <x v="1"/>
    <x v="1"/>
    <s v="Married"/>
    <s v="No"/>
    <x v="28"/>
    <n v="8"/>
    <s v="Master's Degree"/>
    <n v="4"/>
    <n v="2"/>
    <x v="0"/>
    <n v="3697"/>
    <n v="12"/>
    <x v="1"/>
    <x v="1"/>
    <n v="9"/>
    <n v="9"/>
    <n v="8"/>
    <n v="0"/>
  </r>
  <r>
    <n v="336"/>
    <x v="1"/>
    <x v="0"/>
    <x v="0"/>
    <x v="0"/>
    <s v="Medical"/>
    <n v="1"/>
    <x v="1"/>
    <x v="0"/>
    <s v="Married"/>
    <s v="Yes"/>
    <x v="32"/>
    <n v="1"/>
    <s v="Associates Degree"/>
    <n v="2"/>
    <n v="2"/>
    <x v="0"/>
    <n v="7457"/>
    <n v="6"/>
    <x v="2"/>
    <x v="9"/>
    <n v="3"/>
    <n v="0"/>
    <n v="2"/>
    <n v="0"/>
  </r>
  <r>
    <n v="337"/>
    <x v="0"/>
    <x v="0"/>
    <x v="2"/>
    <x v="1"/>
    <s v="Other"/>
    <n v="1"/>
    <x v="1"/>
    <x v="2"/>
    <s v="Married"/>
    <s v="Yes"/>
    <x v="11"/>
    <n v="8"/>
    <s v="Master's Degree"/>
    <n v="2"/>
    <n v="1"/>
    <x v="3"/>
    <n v="2119"/>
    <n v="7"/>
    <x v="2"/>
    <x v="5"/>
    <n v="7"/>
    <n v="0"/>
    <n v="7"/>
    <n v="1"/>
  </r>
  <r>
    <n v="338"/>
    <x v="1"/>
    <x v="0"/>
    <x v="2"/>
    <x v="1"/>
    <s v="Other"/>
    <n v="1"/>
    <x v="1"/>
    <x v="2"/>
    <s v="Single"/>
    <s v="No"/>
    <x v="11"/>
    <n v="9"/>
    <s v="Doctoral Degree"/>
    <n v="2"/>
    <n v="1"/>
    <x v="0"/>
    <n v="3983"/>
    <n v="4"/>
    <x v="1"/>
    <x v="11"/>
    <n v="2"/>
    <n v="2"/>
    <n v="2"/>
    <n v="0"/>
  </r>
  <r>
    <n v="339"/>
    <x v="1"/>
    <x v="0"/>
    <x v="2"/>
    <x v="0"/>
    <s v="Marketing"/>
    <n v="1"/>
    <x v="0"/>
    <x v="0"/>
    <s v="Divorced"/>
    <s v="No"/>
    <x v="7"/>
    <n v="5"/>
    <s v="Bachelor's Degree"/>
    <n v="4"/>
    <n v="2"/>
    <x v="2"/>
    <n v="6118"/>
    <n v="10"/>
    <x v="1"/>
    <x v="1"/>
    <n v="9"/>
    <n v="1"/>
    <n v="2"/>
    <n v="0"/>
  </r>
  <r>
    <n v="340"/>
    <x v="1"/>
    <x v="0"/>
    <x v="2"/>
    <x v="0"/>
    <s v="Marketing"/>
    <n v="1"/>
    <x v="0"/>
    <x v="0"/>
    <s v="Married"/>
    <s v="No"/>
    <x v="4"/>
    <n v="8"/>
    <s v="Master's Degree"/>
    <n v="2"/>
    <n v="2"/>
    <x v="1"/>
    <n v="6214"/>
    <n v="8"/>
    <x v="1"/>
    <x v="3"/>
    <n v="7"/>
    <n v="0"/>
    <n v="7"/>
    <n v="0"/>
  </r>
  <r>
    <n v="341"/>
    <x v="1"/>
    <x v="0"/>
    <x v="0"/>
    <x v="1"/>
    <s v="Medical"/>
    <n v="1"/>
    <x v="1"/>
    <x v="3"/>
    <s v="Divorced"/>
    <s v="No"/>
    <x v="2"/>
    <n v="5"/>
    <s v="Associates Degree"/>
    <n v="4"/>
    <n v="2"/>
    <x v="0"/>
    <n v="6347"/>
    <n v="8"/>
    <x v="2"/>
    <x v="0"/>
    <n v="2"/>
    <n v="0"/>
    <n v="4"/>
    <n v="0"/>
  </r>
  <r>
    <n v="342"/>
    <x v="1"/>
    <x v="0"/>
    <x v="0"/>
    <x v="1"/>
    <s v="Life Sciences"/>
    <n v="1"/>
    <x v="1"/>
    <x v="7"/>
    <s v="Divorced"/>
    <s v="Yes"/>
    <x v="8"/>
    <n v="15"/>
    <s v="Associates Degree"/>
    <n v="3"/>
    <n v="3"/>
    <x v="0"/>
    <n v="11510"/>
    <n v="12"/>
    <x v="1"/>
    <x v="19"/>
    <n v="10"/>
    <n v="2"/>
    <n v="9"/>
    <n v="0"/>
  </r>
  <r>
    <n v="343"/>
    <x v="1"/>
    <x v="0"/>
    <x v="2"/>
    <x v="1"/>
    <s v="Medical"/>
    <n v="1"/>
    <x v="0"/>
    <x v="3"/>
    <s v="Single"/>
    <s v="Yes"/>
    <x v="12"/>
    <n v="7"/>
    <s v="Master's Degree"/>
    <n v="3"/>
    <n v="3"/>
    <x v="0"/>
    <n v="7143"/>
    <n v="11"/>
    <x v="2"/>
    <x v="19"/>
    <n v="9"/>
    <n v="4"/>
    <n v="10"/>
    <n v="0"/>
  </r>
  <r>
    <n v="344"/>
    <x v="1"/>
    <x v="0"/>
    <x v="2"/>
    <x v="0"/>
    <s v="Marketing"/>
    <n v="1"/>
    <x v="0"/>
    <x v="0"/>
    <s v="Divorced"/>
    <s v="Yes"/>
    <x v="11"/>
    <n v="10"/>
    <s v="High School"/>
    <n v="4"/>
    <n v="2"/>
    <x v="1"/>
    <n v="8268"/>
    <n v="7"/>
    <x v="1"/>
    <x v="5"/>
    <n v="7"/>
    <n v="1"/>
    <n v="7"/>
    <n v="0"/>
  </r>
  <r>
    <n v="345"/>
    <x v="1"/>
    <x v="0"/>
    <x v="0"/>
    <x v="1"/>
    <s v="Technical Degree"/>
    <n v="1"/>
    <x v="1"/>
    <x v="3"/>
    <s v="Single"/>
    <s v="No"/>
    <x v="10"/>
    <n v="5"/>
    <s v="Master's Degree"/>
    <n v="3"/>
    <n v="3"/>
    <x v="1"/>
    <n v="8095"/>
    <n v="17"/>
    <x v="1"/>
    <x v="22"/>
    <n v="6"/>
    <n v="0"/>
    <n v="13"/>
    <n v="0"/>
  </r>
  <r>
    <n v="346"/>
    <x v="1"/>
    <x v="0"/>
    <x v="4"/>
    <x v="1"/>
    <s v="Life Sciences"/>
    <n v="1"/>
    <x v="1"/>
    <x v="1"/>
    <s v="Divorced"/>
    <s v="No"/>
    <x v="30"/>
    <n v="26"/>
    <s v="High School"/>
    <n v="3"/>
    <n v="1"/>
    <x v="0"/>
    <n v="2904"/>
    <n v="4"/>
    <x v="2"/>
    <x v="9"/>
    <n v="2"/>
    <n v="0"/>
    <n v="2"/>
    <n v="0"/>
  </r>
  <r>
    <n v="347"/>
    <x v="1"/>
    <x v="0"/>
    <x v="0"/>
    <x v="1"/>
    <s v="Medical"/>
    <n v="1"/>
    <x v="1"/>
    <x v="3"/>
    <s v="Single"/>
    <s v="Yes"/>
    <x v="0"/>
    <n v="6"/>
    <s v="Bachelor's Degree"/>
    <n v="4"/>
    <n v="2"/>
    <x v="1"/>
    <n v="6032"/>
    <n v="8"/>
    <x v="1"/>
    <x v="8"/>
    <n v="4"/>
    <n v="1"/>
    <n v="2"/>
    <n v="0"/>
  </r>
  <r>
    <n v="348"/>
    <x v="1"/>
    <x v="1"/>
    <x v="1"/>
    <x v="0"/>
    <s v="Medical"/>
    <n v="1"/>
    <x v="1"/>
    <x v="6"/>
    <s v="Single"/>
    <s v="No"/>
    <x v="40"/>
    <n v="4"/>
    <s v="High School"/>
    <n v="2"/>
    <n v="2"/>
    <x v="2"/>
    <n v="2976"/>
    <n v="5"/>
    <x v="1"/>
    <x v="2"/>
    <n v="0"/>
    <n v="0"/>
    <n v="0"/>
    <n v="0"/>
  </r>
  <r>
    <n v="349"/>
    <x v="1"/>
    <x v="0"/>
    <x v="0"/>
    <x v="1"/>
    <s v="Life Sciences"/>
    <n v="1"/>
    <x v="0"/>
    <x v="7"/>
    <s v="Single"/>
    <s v="No"/>
    <x v="19"/>
    <n v="23"/>
    <s v="Doctoral Degree"/>
    <n v="1"/>
    <n v="4"/>
    <x v="0"/>
    <n v="15992"/>
    <n v="16"/>
    <x v="1"/>
    <x v="6"/>
    <n v="0"/>
    <n v="0"/>
    <n v="0"/>
    <n v="0"/>
  </r>
  <r>
    <n v="350"/>
    <x v="1"/>
    <x v="2"/>
    <x v="2"/>
    <x v="0"/>
    <s v="Life Sciences"/>
    <n v="1"/>
    <x v="1"/>
    <x v="0"/>
    <s v="Married"/>
    <s v="No"/>
    <x v="11"/>
    <n v="2"/>
    <s v="Bachelor's Degree"/>
    <n v="4"/>
    <n v="2"/>
    <x v="2"/>
    <n v="4649"/>
    <n v="4"/>
    <x v="2"/>
    <x v="9"/>
    <n v="3"/>
    <n v="0"/>
    <n v="2"/>
    <n v="0"/>
  </r>
  <r>
    <n v="351"/>
    <x v="1"/>
    <x v="0"/>
    <x v="0"/>
    <x v="2"/>
    <s v="Technical Degree"/>
    <n v="1"/>
    <x v="1"/>
    <x v="8"/>
    <s v="Divorced"/>
    <s v="Yes"/>
    <x v="19"/>
    <n v="2"/>
    <s v="High School"/>
    <n v="3"/>
    <n v="1"/>
    <x v="2"/>
    <n v="2696"/>
    <n v="4"/>
    <x v="1"/>
    <x v="11"/>
    <n v="2"/>
    <n v="1"/>
    <n v="0"/>
    <n v="0"/>
  </r>
  <r>
    <n v="352"/>
    <x v="1"/>
    <x v="0"/>
    <x v="2"/>
    <x v="1"/>
    <s v="Medical"/>
    <n v="1"/>
    <x v="0"/>
    <x v="2"/>
    <s v="Married"/>
    <s v="No"/>
    <x v="5"/>
    <n v="2"/>
    <s v="Bachelor's Degree"/>
    <n v="3"/>
    <n v="1"/>
    <x v="1"/>
    <n v="2370"/>
    <n v="8"/>
    <x v="1"/>
    <x v="3"/>
    <n v="0"/>
    <n v="0"/>
    <n v="7"/>
    <n v="0"/>
  </r>
  <r>
    <n v="353"/>
    <x v="1"/>
    <x v="0"/>
    <x v="1"/>
    <x v="0"/>
    <s v="Medical"/>
    <n v="1"/>
    <x v="0"/>
    <x v="5"/>
    <s v="Married"/>
    <s v="No"/>
    <x v="26"/>
    <n v="29"/>
    <s v="High School"/>
    <n v="1"/>
    <n v="3"/>
    <x v="2"/>
    <n v="12504"/>
    <n v="15"/>
    <x v="0"/>
    <x v="2"/>
    <n v="0"/>
    <n v="0"/>
    <n v="0"/>
    <n v="0"/>
  </r>
  <r>
    <n v="354"/>
    <x v="1"/>
    <x v="0"/>
    <x v="0"/>
    <x v="1"/>
    <s v="Medical"/>
    <n v="1"/>
    <x v="1"/>
    <x v="1"/>
    <s v="Divorced"/>
    <s v="Yes"/>
    <x v="2"/>
    <n v="6"/>
    <s v="Bachelor's Degree"/>
    <n v="3"/>
    <n v="2"/>
    <x v="3"/>
    <n v="5974"/>
    <n v="13"/>
    <x v="1"/>
    <x v="5"/>
    <n v="7"/>
    <n v="6"/>
    <n v="7"/>
    <n v="0"/>
  </r>
  <r>
    <n v="355"/>
    <x v="1"/>
    <x v="2"/>
    <x v="2"/>
    <x v="0"/>
    <s v="Technical Degree"/>
    <n v="1"/>
    <x v="0"/>
    <x v="0"/>
    <s v="Married"/>
    <s v="Yes"/>
    <x v="7"/>
    <n v="25"/>
    <s v="Associates Degree"/>
    <n v="4"/>
    <n v="2"/>
    <x v="2"/>
    <n v="4736"/>
    <n v="4"/>
    <x v="3"/>
    <x v="4"/>
    <n v="2"/>
    <n v="2"/>
    <n v="2"/>
    <n v="0"/>
  </r>
  <r>
    <n v="356"/>
    <x v="1"/>
    <x v="0"/>
    <x v="2"/>
    <x v="0"/>
    <s v="Life Sciences"/>
    <n v="1"/>
    <x v="1"/>
    <x v="0"/>
    <s v="Married"/>
    <s v="No"/>
    <x v="25"/>
    <n v="1"/>
    <s v="Bachelor's Degree"/>
    <n v="3"/>
    <n v="2"/>
    <x v="2"/>
    <n v="5296"/>
    <n v="8"/>
    <x v="1"/>
    <x v="3"/>
    <n v="7"/>
    <n v="7"/>
    <n v="7"/>
    <n v="0"/>
  </r>
  <r>
    <n v="357"/>
    <x v="1"/>
    <x v="0"/>
    <x v="0"/>
    <x v="1"/>
    <s v="Other"/>
    <n v="1"/>
    <x v="1"/>
    <x v="4"/>
    <s v="Single"/>
    <s v="No"/>
    <x v="19"/>
    <n v="2"/>
    <s v="Master's Degree"/>
    <n v="1"/>
    <n v="2"/>
    <x v="0"/>
    <n v="6781"/>
    <n v="14"/>
    <x v="1"/>
    <x v="6"/>
    <n v="0"/>
    <n v="0"/>
    <n v="0"/>
    <n v="0"/>
  </r>
  <r>
    <n v="358"/>
    <x v="0"/>
    <x v="1"/>
    <x v="4"/>
    <x v="0"/>
    <s v="Technical Degree"/>
    <n v="1"/>
    <x v="0"/>
    <x v="6"/>
    <s v="Single"/>
    <s v="Yes"/>
    <x v="18"/>
    <n v="1"/>
    <s v="High School"/>
    <n v="1"/>
    <n v="1"/>
    <x v="1"/>
    <n v="2174"/>
    <n v="3"/>
    <x v="1"/>
    <x v="11"/>
    <n v="2"/>
    <n v="1"/>
    <n v="2"/>
    <n v="1"/>
  </r>
  <r>
    <n v="359"/>
    <x v="1"/>
    <x v="2"/>
    <x v="0"/>
    <x v="0"/>
    <s v="Medical"/>
    <n v="1"/>
    <x v="0"/>
    <x v="0"/>
    <s v="Single"/>
    <s v="No"/>
    <x v="9"/>
    <n v="1"/>
    <s v="Doctoral Degree"/>
    <n v="4"/>
    <n v="2"/>
    <x v="0"/>
    <n v="6653"/>
    <n v="7"/>
    <x v="1"/>
    <x v="6"/>
    <n v="0"/>
    <n v="0"/>
    <n v="0"/>
    <n v="0"/>
  </r>
  <r>
    <n v="360"/>
    <x v="1"/>
    <x v="1"/>
    <x v="0"/>
    <x v="0"/>
    <s v="Medical"/>
    <n v="1"/>
    <x v="1"/>
    <x v="0"/>
    <s v="Married"/>
    <s v="No"/>
    <x v="9"/>
    <n v="3"/>
    <s v="Master's Degree"/>
    <n v="1"/>
    <n v="3"/>
    <x v="0"/>
    <n v="9699"/>
    <n v="16"/>
    <x v="1"/>
    <x v="20"/>
    <n v="9"/>
    <n v="1"/>
    <n v="12"/>
    <n v="0"/>
  </r>
  <r>
    <n v="361"/>
    <x v="1"/>
    <x v="0"/>
    <x v="3"/>
    <x v="1"/>
    <s v="Medical"/>
    <n v="1"/>
    <x v="1"/>
    <x v="4"/>
    <s v="Married"/>
    <s v="No"/>
    <x v="38"/>
    <n v="1"/>
    <s v="Master's Degree"/>
    <n v="4"/>
    <n v="2"/>
    <x v="2"/>
    <n v="6755"/>
    <n v="15"/>
    <x v="1"/>
    <x v="11"/>
    <n v="2"/>
    <n v="1"/>
    <n v="2"/>
    <n v="0"/>
  </r>
  <r>
    <n v="362"/>
    <x v="1"/>
    <x v="0"/>
    <x v="0"/>
    <x v="1"/>
    <s v="Life Sciences"/>
    <n v="1"/>
    <x v="0"/>
    <x v="2"/>
    <s v="Married"/>
    <s v="Yes"/>
    <x v="32"/>
    <n v="10"/>
    <s v="Master's Degree"/>
    <n v="4"/>
    <n v="1"/>
    <x v="2"/>
    <n v="2213"/>
    <n v="10"/>
    <x v="1"/>
    <x v="5"/>
    <n v="7"/>
    <n v="1"/>
    <n v="7"/>
    <n v="0"/>
  </r>
  <r>
    <n v="363"/>
    <x v="1"/>
    <x v="2"/>
    <x v="4"/>
    <x v="0"/>
    <s v="Medical"/>
    <n v="1"/>
    <x v="1"/>
    <x v="6"/>
    <s v="Single"/>
    <s v="No"/>
    <x v="18"/>
    <n v="9"/>
    <s v="Associates Degree"/>
    <n v="1"/>
    <n v="1"/>
    <x v="0"/>
    <n v="2610"/>
    <n v="3"/>
    <x v="2"/>
    <x v="11"/>
    <n v="2"/>
    <n v="2"/>
    <n v="2"/>
    <n v="0"/>
  </r>
  <r>
    <n v="364"/>
    <x v="0"/>
    <x v="0"/>
    <x v="2"/>
    <x v="0"/>
    <s v="Marketing"/>
    <n v="1"/>
    <x v="0"/>
    <x v="6"/>
    <s v="Single"/>
    <s v="Yes"/>
    <x v="3"/>
    <n v="5"/>
    <s v="Bachelor's Degree"/>
    <n v="4"/>
    <n v="1"/>
    <x v="2"/>
    <n v="2851"/>
    <n v="1"/>
    <x v="1"/>
    <x v="6"/>
    <n v="0"/>
    <n v="0"/>
    <n v="0"/>
    <n v="1"/>
  </r>
  <r>
    <n v="365"/>
    <x v="1"/>
    <x v="0"/>
    <x v="0"/>
    <x v="1"/>
    <s v="Medical"/>
    <n v="1"/>
    <x v="0"/>
    <x v="2"/>
    <s v="Married"/>
    <s v="No"/>
    <x v="2"/>
    <n v="10"/>
    <s v="Bachelor's Degree"/>
    <n v="3"/>
    <n v="1"/>
    <x v="3"/>
    <n v="3452"/>
    <n v="17"/>
    <x v="1"/>
    <x v="8"/>
    <n v="4"/>
    <n v="0"/>
    <n v="3"/>
    <n v="0"/>
  </r>
  <r>
    <n v="366"/>
    <x v="1"/>
    <x v="2"/>
    <x v="1"/>
    <x v="1"/>
    <s v="Medical"/>
    <n v="1"/>
    <x v="0"/>
    <x v="3"/>
    <s v="Married"/>
    <s v="No"/>
    <x v="21"/>
    <n v="7"/>
    <s v="Master's Degree"/>
    <n v="3"/>
    <n v="2"/>
    <x v="2"/>
    <n v="5258"/>
    <n v="7"/>
    <x v="3"/>
    <x v="6"/>
    <n v="0"/>
    <n v="0"/>
    <n v="0"/>
    <n v="0"/>
  </r>
  <r>
    <n v="367"/>
    <x v="0"/>
    <x v="1"/>
    <x v="0"/>
    <x v="0"/>
    <s v="Marketing"/>
    <n v="1"/>
    <x v="1"/>
    <x v="0"/>
    <s v="Single"/>
    <s v="No"/>
    <x v="0"/>
    <n v="4"/>
    <s v="Bachelor's Degree"/>
    <n v="1"/>
    <n v="2"/>
    <x v="1"/>
    <n v="9355"/>
    <n v="8"/>
    <x v="1"/>
    <x v="3"/>
    <n v="7"/>
    <n v="7"/>
    <n v="7"/>
    <n v="1"/>
  </r>
  <r>
    <n v="368"/>
    <x v="1"/>
    <x v="0"/>
    <x v="1"/>
    <x v="1"/>
    <s v="Technical Degree"/>
    <n v="1"/>
    <x v="1"/>
    <x v="4"/>
    <s v="Single"/>
    <s v="No"/>
    <x v="24"/>
    <n v="10"/>
    <s v="Bachelor's Degree"/>
    <n v="4"/>
    <n v="3"/>
    <x v="0"/>
    <n v="10496"/>
    <n v="20"/>
    <x v="1"/>
    <x v="9"/>
    <n v="3"/>
    <n v="1"/>
    <n v="3"/>
    <n v="0"/>
  </r>
  <r>
    <n v="369"/>
    <x v="0"/>
    <x v="0"/>
    <x v="0"/>
    <x v="0"/>
    <s v="Marketing"/>
    <n v="1"/>
    <x v="1"/>
    <x v="0"/>
    <s v="Married"/>
    <s v="Yes"/>
    <x v="32"/>
    <n v="22"/>
    <s v="Associates Degree"/>
    <n v="3"/>
    <n v="2"/>
    <x v="2"/>
    <n v="6380"/>
    <n v="8"/>
    <x v="1"/>
    <x v="0"/>
    <n v="4"/>
    <n v="1"/>
    <n v="0"/>
    <n v="1"/>
  </r>
  <r>
    <n v="370"/>
    <x v="1"/>
    <x v="0"/>
    <x v="2"/>
    <x v="1"/>
    <s v="Life Sciences"/>
    <n v="1"/>
    <x v="1"/>
    <x v="1"/>
    <s v="Single"/>
    <s v="Yes"/>
    <x v="12"/>
    <n v="9"/>
    <s v="Master's Degree"/>
    <n v="3"/>
    <n v="1"/>
    <x v="1"/>
    <n v="2657"/>
    <n v="3"/>
    <x v="1"/>
    <x v="4"/>
    <n v="2"/>
    <n v="2"/>
    <n v="2"/>
    <n v="0"/>
  </r>
  <r>
    <n v="371"/>
    <x v="0"/>
    <x v="0"/>
    <x v="4"/>
    <x v="0"/>
    <s v="Life Sciences"/>
    <n v="1"/>
    <x v="0"/>
    <x v="6"/>
    <s v="Single"/>
    <s v="No"/>
    <x v="18"/>
    <n v="12"/>
    <s v="Bachelor's Degree"/>
    <n v="3"/>
    <n v="1"/>
    <x v="1"/>
    <n v="2716"/>
    <n v="1"/>
    <x v="1"/>
    <x v="6"/>
    <n v="0"/>
    <n v="0"/>
    <n v="0"/>
    <n v="1"/>
  </r>
  <r>
    <n v="372"/>
    <x v="1"/>
    <x v="0"/>
    <x v="2"/>
    <x v="1"/>
    <s v="Life Sciences"/>
    <n v="1"/>
    <x v="1"/>
    <x v="1"/>
    <s v="Single"/>
    <s v="No"/>
    <x v="11"/>
    <n v="23"/>
    <s v="Bachelor's Degree"/>
    <n v="4"/>
    <n v="1"/>
    <x v="0"/>
    <n v="2201"/>
    <n v="6"/>
    <x v="1"/>
    <x v="11"/>
    <n v="2"/>
    <n v="1"/>
    <n v="2"/>
    <n v="0"/>
  </r>
  <r>
    <n v="373"/>
    <x v="1"/>
    <x v="0"/>
    <x v="0"/>
    <x v="1"/>
    <s v="Life Sciences"/>
    <n v="1"/>
    <x v="1"/>
    <x v="4"/>
    <s v="Single"/>
    <s v="No"/>
    <x v="10"/>
    <n v="9"/>
    <s v="Master's Degree"/>
    <n v="3"/>
    <n v="2"/>
    <x v="1"/>
    <n v="6540"/>
    <n v="10"/>
    <x v="1"/>
    <x v="6"/>
    <n v="1"/>
    <n v="0"/>
    <n v="0"/>
    <n v="0"/>
  </r>
  <r>
    <n v="374"/>
    <x v="1"/>
    <x v="0"/>
    <x v="2"/>
    <x v="1"/>
    <s v="Medical"/>
    <n v="1"/>
    <x v="1"/>
    <x v="2"/>
    <s v="Divorced"/>
    <s v="No"/>
    <x v="4"/>
    <n v="1"/>
    <s v="Associates Degree"/>
    <n v="4"/>
    <n v="1"/>
    <x v="1"/>
    <n v="3816"/>
    <n v="5"/>
    <x v="1"/>
    <x v="8"/>
    <n v="2"/>
    <n v="0"/>
    <n v="4"/>
    <n v="0"/>
  </r>
  <r>
    <n v="375"/>
    <x v="1"/>
    <x v="0"/>
    <x v="2"/>
    <x v="0"/>
    <s v="Life Sciences"/>
    <n v="1"/>
    <x v="1"/>
    <x v="0"/>
    <s v="Single"/>
    <s v="No"/>
    <x v="14"/>
    <n v="9"/>
    <s v="Master's Degree"/>
    <n v="2"/>
    <n v="2"/>
    <x v="0"/>
    <n v="5253"/>
    <n v="7"/>
    <x v="1"/>
    <x v="5"/>
    <n v="5"/>
    <n v="0"/>
    <n v="7"/>
    <n v="0"/>
  </r>
  <r>
    <n v="376"/>
    <x v="1"/>
    <x v="0"/>
    <x v="1"/>
    <x v="1"/>
    <s v="Other"/>
    <n v="1"/>
    <x v="1"/>
    <x v="4"/>
    <s v="Single"/>
    <s v="No"/>
    <x v="1"/>
    <n v="7"/>
    <s v="Bachelor's Degree"/>
    <n v="2"/>
    <n v="3"/>
    <x v="2"/>
    <n v="10965"/>
    <n v="26"/>
    <x v="1"/>
    <x v="8"/>
    <n v="2"/>
    <n v="0"/>
    <n v="0"/>
    <n v="0"/>
  </r>
  <r>
    <n v="377"/>
    <x v="1"/>
    <x v="0"/>
    <x v="1"/>
    <x v="0"/>
    <s v="Life Sciences"/>
    <n v="1"/>
    <x v="0"/>
    <x v="0"/>
    <s v="Married"/>
    <s v="No"/>
    <x v="31"/>
    <n v="14"/>
    <s v="Associates Degree"/>
    <n v="3"/>
    <n v="2"/>
    <x v="0"/>
    <n v="4936"/>
    <n v="18"/>
    <x v="2"/>
    <x v="5"/>
    <n v="7"/>
    <n v="0"/>
    <n v="7"/>
    <n v="0"/>
  </r>
  <r>
    <n v="378"/>
    <x v="1"/>
    <x v="0"/>
    <x v="0"/>
    <x v="1"/>
    <s v="Life Sciences"/>
    <n v="1"/>
    <x v="0"/>
    <x v="1"/>
    <s v="Married"/>
    <s v="No"/>
    <x v="9"/>
    <n v="2"/>
    <s v="Bachelor's Degree"/>
    <n v="4"/>
    <n v="1"/>
    <x v="2"/>
    <n v="2543"/>
    <n v="6"/>
    <x v="1"/>
    <x v="4"/>
    <n v="2"/>
    <n v="2"/>
    <n v="2"/>
    <n v="0"/>
  </r>
  <r>
    <n v="379"/>
    <x v="0"/>
    <x v="2"/>
    <x v="2"/>
    <x v="0"/>
    <s v="Marketing"/>
    <n v="1"/>
    <x v="1"/>
    <x v="0"/>
    <s v="Single"/>
    <s v="Yes"/>
    <x v="13"/>
    <n v="19"/>
    <s v="Bachelor's Degree"/>
    <n v="1"/>
    <n v="2"/>
    <x v="0"/>
    <n v="5304"/>
    <n v="9"/>
    <x v="2"/>
    <x v="8"/>
    <n v="2"/>
    <n v="0"/>
    <n v="4"/>
    <n v="1"/>
  </r>
  <r>
    <n v="380"/>
    <x v="1"/>
    <x v="0"/>
    <x v="3"/>
    <x v="1"/>
    <s v="Life Sciences"/>
    <n v="1"/>
    <x v="0"/>
    <x v="5"/>
    <s v="Single"/>
    <s v="Yes"/>
    <x v="27"/>
    <n v="2"/>
    <s v="Bachelor's Degree"/>
    <n v="3"/>
    <n v="4"/>
    <x v="0"/>
    <n v="16659"/>
    <n v="30"/>
    <x v="1"/>
    <x v="8"/>
    <n v="4"/>
    <n v="1"/>
    <n v="2"/>
    <n v="0"/>
  </r>
  <r>
    <n v="381"/>
    <x v="1"/>
    <x v="0"/>
    <x v="4"/>
    <x v="0"/>
    <s v="Marketing"/>
    <n v="1"/>
    <x v="0"/>
    <x v="0"/>
    <s v="Divorced"/>
    <s v="Yes"/>
    <x v="17"/>
    <n v="10"/>
    <s v="Master's Degree"/>
    <n v="4"/>
    <n v="2"/>
    <x v="2"/>
    <n v="4260"/>
    <n v="5"/>
    <x v="3"/>
    <x v="8"/>
    <n v="2"/>
    <n v="0"/>
    <n v="3"/>
    <n v="0"/>
  </r>
  <r>
    <n v="382"/>
    <x v="1"/>
    <x v="0"/>
    <x v="2"/>
    <x v="0"/>
    <s v="Technical Degree"/>
    <n v="1"/>
    <x v="1"/>
    <x v="6"/>
    <s v="Married"/>
    <s v="No"/>
    <x v="7"/>
    <n v="2"/>
    <s v="High School"/>
    <n v="3"/>
    <n v="1"/>
    <x v="1"/>
    <n v="2476"/>
    <n v="1"/>
    <x v="1"/>
    <x v="6"/>
    <n v="0"/>
    <n v="0"/>
    <n v="0"/>
    <n v="0"/>
  </r>
  <r>
    <n v="383"/>
    <x v="0"/>
    <x v="1"/>
    <x v="2"/>
    <x v="1"/>
    <s v="Technical Degree"/>
    <n v="1"/>
    <x v="1"/>
    <x v="1"/>
    <s v="Single"/>
    <s v="No"/>
    <x v="25"/>
    <n v="3"/>
    <s v="High School"/>
    <n v="3"/>
    <n v="1"/>
    <x v="3"/>
    <n v="3102"/>
    <n v="7"/>
    <x v="1"/>
    <x v="0"/>
    <n v="4"/>
    <n v="0"/>
    <n v="4"/>
    <n v="1"/>
  </r>
  <r>
    <n v="384"/>
    <x v="1"/>
    <x v="0"/>
    <x v="4"/>
    <x v="1"/>
    <s v="Medical"/>
    <n v="1"/>
    <x v="0"/>
    <x v="1"/>
    <s v="Married"/>
    <s v="No"/>
    <x v="15"/>
    <n v="11"/>
    <s v="Bachelor's Degree"/>
    <n v="1"/>
    <n v="1"/>
    <x v="1"/>
    <n v="2244"/>
    <n v="2"/>
    <x v="1"/>
    <x v="4"/>
    <n v="1"/>
    <n v="1"/>
    <n v="2"/>
    <n v="0"/>
  </r>
  <r>
    <n v="385"/>
    <x v="1"/>
    <x v="0"/>
    <x v="0"/>
    <x v="0"/>
    <s v="Medical"/>
    <n v="1"/>
    <x v="1"/>
    <x v="0"/>
    <s v="Married"/>
    <s v="No"/>
    <x v="9"/>
    <n v="2"/>
    <s v="Associates Degree"/>
    <n v="2"/>
    <n v="3"/>
    <x v="2"/>
    <n v="7596"/>
    <n v="10"/>
    <x v="1"/>
    <x v="1"/>
    <n v="9"/>
    <n v="9"/>
    <n v="0"/>
    <n v="0"/>
  </r>
  <r>
    <n v="386"/>
    <x v="0"/>
    <x v="1"/>
    <x v="2"/>
    <x v="1"/>
    <s v="Technical Degree"/>
    <n v="1"/>
    <x v="1"/>
    <x v="1"/>
    <s v="Single"/>
    <s v="Yes"/>
    <x v="7"/>
    <n v="4"/>
    <s v="Bachelor's Degree"/>
    <n v="3"/>
    <n v="1"/>
    <x v="0"/>
    <n v="2285"/>
    <n v="3"/>
    <x v="1"/>
    <x v="6"/>
    <n v="0"/>
    <n v="0"/>
    <n v="0"/>
    <n v="1"/>
  </r>
  <r>
    <n v="387"/>
    <x v="1"/>
    <x v="0"/>
    <x v="0"/>
    <x v="1"/>
    <s v="Life Sciences"/>
    <n v="1"/>
    <x v="0"/>
    <x v="2"/>
    <s v="Divorced"/>
    <s v="No"/>
    <x v="2"/>
    <n v="14"/>
    <s v="Bachelor's Degree"/>
    <n v="4"/>
    <n v="1"/>
    <x v="3"/>
    <n v="3034"/>
    <n v="18"/>
    <x v="2"/>
    <x v="29"/>
    <n v="7"/>
    <n v="12"/>
    <n v="17"/>
    <n v="0"/>
  </r>
  <r>
    <n v="388"/>
    <x v="1"/>
    <x v="0"/>
    <x v="0"/>
    <x v="0"/>
    <s v="Marketing"/>
    <n v="1"/>
    <x v="0"/>
    <x v="0"/>
    <s v="Divorced"/>
    <s v="No"/>
    <x v="32"/>
    <n v="2"/>
    <s v="Associates Degree"/>
    <n v="4"/>
    <n v="2"/>
    <x v="1"/>
    <n v="5715"/>
    <n v="8"/>
    <x v="1"/>
    <x v="8"/>
    <n v="4"/>
    <n v="1"/>
    <n v="3"/>
    <n v="0"/>
  </r>
  <r>
    <n v="389"/>
    <x v="1"/>
    <x v="0"/>
    <x v="0"/>
    <x v="1"/>
    <s v="Life Sciences"/>
    <n v="1"/>
    <x v="0"/>
    <x v="2"/>
    <s v="Divorced"/>
    <s v="No"/>
    <x v="19"/>
    <n v="1"/>
    <s v="Master's Degree"/>
    <n v="2"/>
    <n v="1"/>
    <x v="3"/>
    <n v="2576"/>
    <n v="8"/>
    <x v="1"/>
    <x v="8"/>
    <n v="2"/>
    <n v="1"/>
    <n v="2"/>
    <n v="0"/>
  </r>
  <r>
    <n v="390"/>
    <x v="1"/>
    <x v="0"/>
    <x v="0"/>
    <x v="1"/>
    <s v="Life Sciences"/>
    <n v="1"/>
    <x v="1"/>
    <x v="3"/>
    <s v="Single"/>
    <s v="Yes"/>
    <x v="2"/>
    <n v="10"/>
    <s v="Master's Degree"/>
    <n v="3"/>
    <n v="2"/>
    <x v="1"/>
    <n v="4197"/>
    <n v="18"/>
    <x v="2"/>
    <x v="6"/>
    <n v="0"/>
    <n v="0"/>
    <n v="1"/>
    <n v="0"/>
  </r>
  <r>
    <n v="391"/>
    <x v="1"/>
    <x v="0"/>
    <x v="0"/>
    <x v="1"/>
    <s v="Life Sciences"/>
    <n v="1"/>
    <x v="1"/>
    <x v="7"/>
    <s v="Divorced"/>
    <s v="No"/>
    <x v="23"/>
    <n v="12"/>
    <s v="Bachelor's Degree"/>
    <n v="1"/>
    <n v="4"/>
    <x v="1"/>
    <n v="14336"/>
    <n v="25"/>
    <x v="1"/>
    <x v="10"/>
    <n v="10"/>
    <n v="3"/>
    <n v="9"/>
    <n v="0"/>
  </r>
  <r>
    <n v="392"/>
    <x v="1"/>
    <x v="0"/>
    <x v="0"/>
    <x v="1"/>
    <s v="Medical"/>
    <n v="1"/>
    <x v="0"/>
    <x v="2"/>
    <s v="Married"/>
    <s v="No"/>
    <x v="32"/>
    <n v="2"/>
    <s v="Bachelor's Degree"/>
    <n v="2"/>
    <n v="2"/>
    <x v="2"/>
    <n v="3448"/>
    <n v="20"/>
    <x v="1"/>
    <x v="6"/>
    <n v="0"/>
    <n v="0"/>
    <n v="0"/>
    <n v="0"/>
  </r>
  <r>
    <n v="393"/>
    <x v="1"/>
    <x v="0"/>
    <x v="1"/>
    <x v="1"/>
    <s v="Medical"/>
    <n v="1"/>
    <x v="1"/>
    <x v="7"/>
    <s v="Married"/>
    <s v="No"/>
    <x v="33"/>
    <n v="5"/>
    <s v="Associates Degree"/>
    <n v="1"/>
    <n v="5"/>
    <x v="3"/>
    <n v="19406"/>
    <n v="24"/>
    <x v="2"/>
    <x v="9"/>
    <n v="2"/>
    <n v="1"/>
    <n v="2"/>
    <n v="0"/>
  </r>
  <r>
    <n v="394"/>
    <x v="1"/>
    <x v="2"/>
    <x v="2"/>
    <x v="0"/>
    <s v="Marketing"/>
    <n v="1"/>
    <x v="0"/>
    <x v="0"/>
    <s v="Married"/>
    <s v="No"/>
    <x v="13"/>
    <n v="4"/>
    <s v="Master's Degree"/>
    <n v="3"/>
    <n v="2"/>
    <x v="2"/>
    <n v="6538"/>
    <n v="6"/>
    <x v="1"/>
    <x v="11"/>
    <n v="2"/>
    <n v="1"/>
    <n v="2"/>
    <n v="0"/>
  </r>
  <r>
    <n v="395"/>
    <x v="1"/>
    <x v="0"/>
    <x v="2"/>
    <x v="1"/>
    <s v="Medical"/>
    <n v="1"/>
    <x v="0"/>
    <x v="3"/>
    <s v="Married"/>
    <s v="No"/>
    <x v="12"/>
    <n v="7"/>
    <s v="Associates Degree"/>
    <n v="2"/>
    <n v="2"/>
    <x v="3"/>
    <n v="4306"/>
    <n v="13"/>
    <x v="0"/>
    <x v="20"/>
    <n v="10"/>
    <n v="3"/>
    <n v="12"/>
    <n v="0"/>
  </r>
  <r>
    <n v="396"/>
    <x v="1"/>
    <x v="1"/>
    <x v="0"/>
    <x v="1"/>
    <s v="Medical"/>
    <n v="1"/>
    <x v="1"/>
    <x v="2"/>
    <s v="Married"/>
    <s v="No"/>
    <x v="23"/>
    <n v="21"/>
    <s v="Bachelor's Degree"/>
    <n v="4"/>
    <n v="1"/>
    <x v="0"/>
    <n v="2258"/>
    <n v="8"/>
    <x v="1"/>
    <x v="11"/>
    <n v="2"/>
    <n v="1"/>
    <n v="2"/>
    <n v="0"/>
  </r>
  <r>
    <n v="397"/>
    <x v="1"/>
    <x v="0"/>
    <x v="0"/>
    <x v="1"/>
    <s v="Other"/>
    <n v="1"/>
    <x v="0"/>
    <x v="4"/>
    <s v="Divorced"/>
    <s v="Yes"/>
    <x v="23"/>
    <n v="8"/>
    <s v="Master's Degree"/>
    <n v="3"/>
    <n v="2"/>
    <x v="2"/>
    <n v="4522"/>
    <n v="8"/>
    <x v="1"/>
    <x v="8"/>
    <n v="2"/>
    <n v="0"/>
    <n v="2"/>
    <n v="0"/>
  </r>
  <r>
    <n v="398"/>
    <x v="1"/>
    <x v="0"/>
    <x v="2"/>
    <x v="0"/>
    <s v="Life Sciences"/>
    <n v="1"/>
    <x v="0"/>
    <x v="0"/>
    <s v="Single"/>
    <s v="Yes"/>
    <x v="36"/>
    <n v="4"/>
    <s v="Associates Degree"/>
    <n v="2"/>
    <n v="2"/>
    <x v="0"/>
    <n v="4487"/>
    <n v="5"/>
    <x v="1"/>
    <x v="8"/>
    <n v="4"/>
    <n v="1"/>
    <n v="3"/>
    <n v="0"/>
  </r>
  <r>
    <n v="399"/>
    <x v="1"/>
    <x v="2"/>
    <x v="0"/>
    <x v="1"/>
    <s v="Medical"/>
    <n v="1"/>
    <x v="0"/>
    <x v="1"/>
    <s v="Married"/>
    <s v="Yes"/>
    <x v="2"/>
    <n v="25"/>
    <s v="Doctoral Degree"/>
    <n v="2"/>
    <n v="2"/>
    <x v="2"/>
    <n v="4449"/>
    <n v="15"/>
    <x v="1"/>
    <x v="20"/>
    <n v="11"/>
    <n v="10"/>
    <n v="7"/>
    <n v="0"/>
  </r>
  <r>
    <n v="400"/>
    <x v="1"/>
    <x v="0"/>
    <x v="2"/>
    <x v="1"/>
    <s v="Life Sciences"/>
    <n v="1"/>
    <x v="1"/>
    <x v="2"/>
    <s v="Married"/>
    <s v="No"/>
    <x v="12"/>
    <n v="1"/>
    <s v="Associates Degree"/>
    <n v="4"/>
    <n v="1"/>
    <x v="3"/>
    <n v="2218"/>
    <n v="4"/>
    <x v="1"/>
    <x v="9"/>
    <n v="2"/>
    <n v="3"/>
    <n v="2"/>
    <n v="0"/>
  </r>
  <r>
    <n v="401"/>
    <x v="1"/>
    <x v="1"/>
    <x v="0"/>
    <x v="1"/>
    <s v="Life Sciences"/>
    <n v="1"/>
    <x v="1"/>
    <x v="5"/>
    <s v="Divorced"/>
    <s v="Yes"/>
    <x v="22"/>
    <n v="1"/>
    <s v="High School"/>
    <n v="2"/>
    <n v="5"/>
    <x v="2"/>
    <n v="19197"/>
    <n v="21"/>
    <x v="1"/>
    <x v="17"/>
    <n v="8"/>
    <n v="1"/>
    <n v="6"/>
    <n v="0"/>
  </r>
  <r>
    <n v="402"/>
    <x v="1"/>
    <x v="1"/>
    <x v="3"/>
    <x v="0"/>
    <s v="Life Sciences"/>
    <n v="1"/>
    <x v="0"/>
    <x v="0"/>
    <s v="Married"/>
    <s v="No"/>
    <x v="29"/>
    <n v="6"/>
    <s v="Bachelor's Degree"/>
    <n v="3"/>
    <n v="4"/>
    <x v="3"/>
    <n v="13212"/>
    <n v="36"/>
    <x v="2"/>
    <x v="5"/>
    <n v="7"/>
    <n v="7"/>
    <n v="7"/>
    <n v="0"/>
  </r>
  <r>
    <n v="403"/>
    <x v="1"/>
    <x v="0"/>
    <x v="2"/>
    <x v="0"/>
    <s v="Technical Degree"/>
    <n v="1"/>
    <x v="0"/>
    <x v="0"/>
    <s v="Single"/>
    <s v="No"/>
    <x v="7"/>
    <n v="12"/>
    <s v="Bachelor's Degree"/>
    <n v="2"/>
    <n v="2"/>
    <x v="2"/>
    <n v="6577"/>
    <n v="6"/>
    <x v="1"/>
    <x v="8"/>
    <n v="4"/>
    <n v="4"/>
    <n v="4"/>
    <n v="0"/>
  </r>
  <r>
    <n v="404"/>
    <x v="1"/>
    <x v="0"/>
    <x v="0"/>
    <x v="0"/>
    <s v="Marketing"/>
    <n v="1"/>
    <x v="1"/>
    <x v="0"/>
    <s v="Married"/>
    <s v="No"/>
    <x v="0"/>
    <n v="1"/>
    <s v="Bachelor's Degree"/>
    <n v="2"/>
    <n v="3"/>
    <x v="3"/>
    <n v="8392"/>
    <n v="10"/>
    <x v="1"/>
    <x v="1"/>
    <n v="7"/>
    <n v="0"/>
    <n v="7"/>
    <n v="0"/>
  </r>
  <r>
    <n v="405"/>
    <x v="1"/>
    <x v="0"/>
    <x v="2"/>
    <x v="1"/>
    <s v="Medical"/>
    <n v="1"/>
    <x v="1"/>
    <x v="2"/>
    <s v="Divorced"/>
    <s v="No"/>
    <x v="14"/>
    <n v="17"/>
    <s v="Associates Degree"/>
    <n v="3"/>
    <n v="2"/>
    <x v="3"/>
    <n v="4558"/>
    <n v="10"/>
    <x v="1"/>
    <x v="1"/>
    <n v="0"/>
    <n v="1"/>
    <n v="8"/>
    <n v="0"/>
  </r>
  <r>
    <n v="406"/>
    <x v="0"/>
    <x v="0"/>
    <x v="2"/>
    <x v="1"/>
    <s v="Medical"/>
    <n v="1"/>
    <x v="1"/>
    <x v="2"/>
    <s v="Married"/>
    <s v="No"/>
    <x v="36"/>
    <n v="3"/>
    <s v="Bachelor's Degree"/>
    <n v="1"/>
    <n v="1"/>
    <x v="3"/>
    <n v="4031"/>
    <n v="6"/>
    <x v="1"/>
    <x v="4"/>
    <n v="2"/>
    <n v="0"/>
    <n v="2"/>
    <n v="1"/>
  </r>
  <r>
    <n v="407"/>
    <x v="1"/>
    <x v="0"/>
    <x v="1"/>
    <x v="1"/>
    <s v="Medical"/>
    <n v="1"/>
    <x v="1"/>
    <x v="3"/>
    <s v="Married"/>
    <s v="Yes"/>
    <x v="39"/>
    <n v="3"/>
    <s v="Bachelor's Degree"/>
    <n v="4"/>
    <n v="3"/>
    <x v="2"/>
    <n v="7969"/>
    <n v="28"/>
    <x v="1"/>
    <x v="8"/>
    <n v="4"/>
    <n v="0"/>
    <n v="4"/>
    <n v="0"/>
  </r>
  <r>
    <n v="408"/>
    <x v="1"/>
    <x v="0"/>
    <x v="1"/>
    <x v="1"/>
    <s v="Life Sciences"/>
    <n v="1"/>
    <x v="1"/>
    <x v="1"/>
    <s v="Married"/>
    <s v="No"/>
    <x v="28"/>
    <n v="10"/>
    <s v="Associates Degree"/>
    <n v="1"/>
    <n v="1"/>
    <x v="0"/>
    <n v="2654"/>
    <n v="8"/>
    <x v="2"/>
    <x v="4"/>
    <n v="2"/>
    <n v="0"/>
    <n v="2"/>
    <n v="0"/>
  </r>
  <r>
    <n v="409"/>
    <x v="1"/>
    <x v="0"/>
    <x v="1"/>
    <x v="1"/>
    <s v="Life Sciences"/>
    <n v="1"/>
    <x v="0"/>
    <x v="5"/>
    <s v="Married"/>
    <s v="No"/>
    <x v="39"/>
    <n v="4"/>
    <s v="Associates Degree"/>
    <n v="4"/>
    <n v="4"/>
    <x v="0"/>
    <n v="16555"/>
    <n v="31"/>
    <x v="0"/>
    <x v="8"/>
    <n v="2"/>
    <n v="1"/>
    <n v="4"/>
    <n v="0"/>
  </r>
  <r>
    <n v="410"/>
    <x v="1"/>
    <x v="1"/>
    <x v="0"/>
    <x v="1"/>
    <s v="Life Sciences"/>
    <n v="1"/>
    <x v="0"/>
    <x v="1"/>
    <s v="Divorced"/>
    <s v="No"/>
    <x v="19"/>
    <n v="29"/>
    <s v="Associates Degree"/>
    <n v="1"/>
    <n v="2"/>
    <x v="2"/>
    <n v="4556"/>
    <n v="19"/>
    <x v="1"/>
    <x v="8"/>
    <n v="4"/>
    <n v="0"/>
    <n v="2"/>
    <n v="0"/>
  </r>
  <r>
    <n v="411"/>
    <x v="1"/>
    <x v="0"/>
    <x v="2"/>
    <x v="1"/>
    <s v="Life Sciences"/>
    <n v="1"/>
    <x v="0"/>
    <x v="3"/>
    <s v="Single"/>
    <s v="No"/>
    <x v="7"/>
    <n v="2"/>
    <s v="Bachelor's Degree"/>
    <n v="3"/>
    <n v="2"/>
    <x v="0"/>
    <n v="6091"/>
    <n v="11"/>
    <x v="1"/>
    <x v="8"/>
    <n v="4"/>
    <n v="0"/>
    <n v="2"/>
    <n v="0"/>
  </r>
  <r>
    <n v="412"/>
    <x v="1"/>
    <x v="0"/>
    <x v="3"/>
    <x v="1"/>
    <s v="Life Sciences"/>
    <n v="1"/>
    <x v="0"/>
    <x v="5"/>
    <s v="Married"/>
    <s v="No"/>
    <x v="42"/>
    <n v="7"/>
    <s v="Bachelor's Degree"/>
    <n v="1"/>
    <n v="5"/>
    <x v="3"/>
    <n v="19566"/>
    <n v="33"/>
    <x v="0"/>
    <x v="30"/>
    <n v="8"/>
    <n v="11"/>
    <n v="10"/>
    <n v="0"/>
  </r>
  <r>
    <n v="413"/>
    <x v="1"/>
    <x v="0"/>
    <x v="1"/>
    <x v="1"/>
    <s v="Medical"/>
    <n v="1"/>
    <x v="0"/>
    <x v="3"/>
    <s v="Divorced"/>
    <s v="No"/>
    <x v="21"/>
    <n v="18"/>
    <s v="Bachelor's Degree"/>
    <n v="3"/>
    <n v="2"/>
    <x v="2"/>
    <n v="4810"/>
    <n v="19"/>
    <x v="2"/>
    <x v="1"/>
    <n v="7"/>
    <n v="0"/>
    <n v="8"/>
    <n v="0"/>
  </r>
  <r>
    <n v="414"/>
    <x v="1"/>
    <x v="1"/>
    <x v="0"/>
    <x v="1"/>
    <s v="Technical Degree"/>
    <n v="1"/>
    <x v="0"/>
    <x v="4"/>
    <s v="Married"/>
    <s v="No"/>
    <x v="19"/>
    <n v="28"/>
    <s v="Master's Degree"/>
    <n v="4"/>
    <n v="2"/>
    <x v="0"/>
    <n v="4523"/>
    <n v="7"/>
    <x v="3"/>
    <x v="0"/>
    <n v="5"/>
    <n v="0"/>
    <n v="4"/>
    <n v="0"/>
  </r>
  <r>
    <n v="415"/>
    <x v="0"/>
    <x v="0"/>
    <x v="4"/>
    <x v="0"/>
    <s v="Technical Degree"/>
    <n v="1"/>
    <x v="0"/>
    <x v="6"/>
    <s v="Single"/>
    <s v="Yes"/>
    <x v="17"/>
    <n v="1"/>
    <s v="High School"/>
    <n v="1"/>
    <n v="1"/>
    <x v="1"/>
    <n v="3202"/>
    <n v="6"/>
    <x v="1"/>
    <x v="8"/>
    <n v="3"/>
    <n v="1"/>
    <n v="4"/>
    <n v="1"/>
  </r>
  <r>
    <n v="416"/>
    <x v="0"/>
    <x v="1"/>
    <x v="2"/>
    <x v="0"/>
    <s v="Marketing"/>
    <n v="1"/>
    <x v="0"/>
    <x v="6"/>
    <s v="Divorced"/>
    <s v="No"/>
    <x v="13"/>
    <n v="6"/>
    <s v="Associates Degree"/>
    <n v="4"/>
    <n v="1"/>
    <x v="2"/>
    <n v="2351"/>
    <n v="3"/>
    <x v="2"/>
    <x v="4"/>
    <n v="2"/>
    <n v="1"/>
    <n v="0"/>
    <n v="1"/>
  </r>
  <r>
    <n v="417"/>
    <x v="1"/>
    <x v="1"/>
    <x v="0"/>
    <x v="1"/>
    <s v="Life Sciences"/>
    <n v="1"/>
    <x v="1"/>
    <x v="2"/>
    <s v="Married"/>
    <s v="Yes"/>
    <x v="8"/>
    <n v="2"/>
    <s v="Associates Degree"/>
    <n v="4"/>
    <n v="1"/>
    <x v="0"/>
    <n v="1702"/>
    <n v="1"/>
    <x v="1"/>
    <x v="6"/>
    <n v="0"/>
    <n v="0"/>
    <n v="0"/>
    <n v="0"/>
  </r>
  <r>
    <n v="418"/>
    <x v="1"/>
    <x v="0"/>
    <x v="0"/>
    <x v="0"/>
    <s v="Life Sciences"/>
    <n v="1"/>
    <x v="0"/>
    <x v="5"/>
    <s v="Married"/>
    <s v="No"/>
    <x v="32"/>
    <n v="2"/>
    <s v="Master's Degree"/>
    <n v="3"/>
    <n v="5"/>
    <x v="2"/>
    <n v="18041"/>
    <n v="21"/>
    <x v="1"/>
    <x v="23"/>
    <n v="15"/>
    <n v="1"/>
    <n v="12"/>
    <n v="0"/>
  </r>
  <r>
    <n v="419"/>
    <x v="1"/>
    <x v="0"/>
    <x v="2"/>
    <x v="1"/>
    <s v="Life Sciences"/>
    <n v="1"/>
    <x v="0"/>
    <x v="1"/>
    <s v="Divorced"/>
    <s v="No"/>
    <x v="25"/>
    <n v="23"/>
    <s v="Bachelor's Degree"/>
    <n v="1"/>
    <n v="1"/>
    <x v="0"/>
    <n v="2886"/>
    <n v="3"/>
    <x v="0"/>
    <x v="11"/>
    <n v="2"/>
    <n v="0"/>
    <n v="2"/>
    <n v="0"/>
  </r>
  <r>
    <n v="420"/>
    <x v="1"/>
    <x v="2"/>
    <x v="2"/>
    <x v="1"/>
    <s v="Life Sciences"/>
    <n v="1"/>
    <x v="1"/>
    <x v="2"/>
    <s v="Married"/>
    <s v="No"/>
    <x v="7"/>
    <n v="3"/>
    <s v="Bachelor's Degree"/>
    <n v="3"/>
    <n v="1"/>
    <x v="0"/>
    <n v="2097"/>
    <n v="9"/>
    <x v="0"/>
    <x v="8"/>
    <n v="3"/>
    <n v="1"/>
    <n v="4"/>
    <n v="0"/>
  </r>
  <r>
    <n v="421"/>
    <x v="1"/>
    <x v="0"/>
    <x v="2"/>
    <x v="1"/>
    <s v="Medical"/>
    <n v="1"/>
    <x v="1"/>
    <x v="7"/>
    <s v="Married"/>
    <s v="No"/>
    <x v="11"/>
    <n v="3"/>
    <s v="Master's Degree"/>
    <n v="2"/>
    <n v="3"/>
    <x v="2"/>
    <n v="11935"/>
    <n v="10"/>
    <x v="1"/>
    <x v="1"/>
    <n v="2"/>
    <n v="0"/>
    <n v="7"/>
    <n v="0"/>
  </r>
  <r>
    <n v="422"/>
    <x v="0"/>
    <x v="0"/>
    <x v="2"/>
    <x v="1"/>
    <s v="Technical Degree"/>
    <n v="1"/>
    <x v="0"/>
    <x v="1"/>
    <s v="Married"/>
    <s v="No"/>
    <x v="11"/>
    <n v="25"/>
    <s v="Doctoral Degree"/>
    <n v="3"/>
    <n v="1"/>
    <x v="1"/>
    <n v="2546"/>
    <n v="6"/>
    <x v="3"/>
    <x v="4"/>
    <n v="2"/>
    <n v="1"/>
    <n v="1"/>
    <n v="1"/>
  </r>
  <r>
    <n v="423"/>
    <x v="0"/>
    <x v="0"/>
    <x v="4"/>
    <x v="2"/>
    <s v="Technical Degree"/>
    <n v="1"/>
    <x v="1"/>
    <x v="8"/>
    <s v="Single"/>
    <s v="No"/>
    <x v="37"/>
    <n v="2"/>
    <s v="Associates Degree"/>
    <n v="1"/>
    <n v="1"/>
    <x v="0"/>
    <n v="2564"/>
    <n v="1"/>
    <x v="3"/>
    <x v="6"/>
    <n v="0"/>
    <n v="0"/>
    <n v="0"/>
    <n v="1"/>
  </r>
  <r>
    <n v="424"/>
    <x v="1"/>
    <x v="2"/>
    <x v="2"/>
    <x v="0"/>
    <s v="Other"/>
    <n v="1"/>
    <x v="0"/>
    <x v="0"/>
    <s v="Married"/>
    <s v="No"/>
    <x v="7"/>
    <n v="22"/>
    <s v="Master's Degree"/>
    <n v="3"/>
    <n v="3"/>
    <x v="3"/>
    <n v="8412"/>
    <n v="10"/>
    <x v="1"/>
    <x v="7"/>
    <n v="8"/>
    <n v="7"/>
    <n v="8"/>
    <n v="0"/>
  </r>
  <r>
    <n v="425"/>
    <x v="1"/>
    <x v="0"/>
    <x v="3"/>
    <x v="0"/>
    <s v="Marketing"/>
    <n v="1"/>
    <x v="1"/>
    <x v="5"/>
    <s v="Divorced"/>
    <s v="No"/>
    <x v="38"/>
    <n v="29"/>
    <s v="Bachelor's Degree"/>
    <n v="1"/>
    <n v="4"/>
    <x v="0"/>
    <n v="14118"/>
    <n v="32"/>
    <x v="2"/>
    <x v="6"/>
    <n v="0"/>
    <n v="0"/>
    <n v="0"/>
    <n v="0"/>
  </r>
  <r>
    <n v="426"/>
    <x v="1"/>
    <x v="0"/>
    <x v="1"/>
    <x v="1"/>
    <s v="Life Sciences"/>
    <n v="1"/>
    <x v="1"/>
    <x v="5"/>
    <s v="Married"/>
    <s v="No"/>
    <x v="24"/>
    <n v="29"/>
    <s v="Master's Degree"/>
    <n v="2"/>
    <n v="4"/>
    <x v="2"/>
    <n v="17046"/>
    <n v="28"/>
    <x v="1"/>
    <x v="16"/>
    <n v="10"/>
    <n v="15"/>
    <n v="7"/>
    <n v="0"/>
  </r>
  <r>
    <n v="427"/>
    <x v="1"/>
    <x v="2"/>
    <x v="2"/>
    <x v="1"/>
    <s v="Medical"/>
    <n v="1"/>
    <x v="0"/>
    <x v="2"/>
    <s v="Single"/>
    <s v="No"/>
    <x v="7"/>
    <n v="2"/>
    <s v="Bachelor's Degree"/>
    <n v="3"/>
    <n v="1"/>
    <x v="0"/>
    <n v="2564"/>
    <n v="12"/>
    <x v="2"/>
    <x v="19"/>
    <n v="7"/>
    <n v="6"/>
    <n v="7"/>
    <n v="0"/>
  </r>
  <r>
    <n v="428"/>
    <x v="1"/>
    <x v="1"/>
    <x v="3"/>
    <x v="0"/>
    <s v="Marketing"/>
    <n v="1"/>
    <x v="0"/>
    <x v="0"/>
    <s v="Married"/>
    <s v="No"/>
    <x v="42"/>
    <n v="28"/>
    <s v="Bachelor's Degree"/>
    <n v="3"/>
    <n v="3"/>
    <x v="3"/>
    <n v="10266"/>
    <n v="22"/>
    <x v="3"/>
    <x v="29"/>
    <n v="13"/>
    <n v="13"/>
    <n v="11"/>
    <n v="0"/>
  </r>
  <r>
    <n v="429"/>
    <x v="1"/>
    <x v="0"/>
    <x v="1"/>
    <x v="1"/>
    <s v="Medical"/>
    <n v="1"/>
    <x v="0"/>
    <x v="3"/>
    <s v="Divorced"/>
    <s v="No"/>
    <x v="40"/>
    <n v="2"/>
    <s v="Associates Degree"/>
    <n v="1"/>
    <n v="2"/>
    <x v="0"/>
    <n v="5070"/>
    <n v="20"/>
    <x v="1"/>
    <x v="8"/>
    <n v="0"/>
    <n v="0"/>
    <n v="4"/>
    <n v="0"/>
  </r>
  <r>
    <n v="430"/>
    <x v="1"/>
    <x v="0"/>
    <x v="1"/>
    <x v="1"/>
    <s v="Life Sciences"/>
    <n v="1"/>
    <x v="1"/>
    <x v="7"/>
    <s v="Married"/>
    <s v="No"/>
    <x v="21"/>
    <n v="2"/>
    <s v="Bachelor's Degree"/>
    <n v="1"/>
    <n v="4"/>
    <x v="2"/>
    <n v="17861"/>
    <n v="26"/>
    <x v="0"/>
    <x v="11"/>
    <n v="2"/>
    <n v="0"/>
    <n v="1"/>
    <n v="0"/>
  </r>
  <r>
    <n v="431"/>
    <x v="1"/>
    <x v="0"/>
    <x v="0"/>
    <x v="1"/>
    <s v="Life Sciences"/>
    <n v="1"/>
    <x v="1"/>
    <x v="2"/>
    <s v="Single"/>
    <s v="No"/>
    <x v="10"/>
    <n v="22"/>
    <s v="Bachelor's Degree"/>
    <n v="4"/>
    <n v="1"/>
    <x v="2"/>
    <n v="4230"/>
    <n v="6"/>
    <x v="1"/>
    <x v="8"/>
    <n v="4"/>
    <n v="4"/>
    <n v="3"/>
    <n v="0"/>
  </r>
  <r>
    <n v="432"/>
    <x v="1"/>
    <x v="0"/>
    <x v="1"/>
    <x v="1"/>
    <s v="Life Sciences"/>
    <n v="1"/>
    <x v="0"/>
    <x v="2"/>
    <s v="Single"/>
    <s v="No"/>
    <x v="33"/>
    <n v="8"/>
    <s v="Master's Degree"/>
    <n v="3"/>
    <n v="2"/>
    <x v="2"/>
    <n v="3780"/>
    <n v="19"/>
    <x v="1"/>
    <x v="6"/>
    <n v="0"/>
    <n v="0"/>
    <n v="0"/>
    <n v="0"/>
  </r>
  <r>
    <n v="433"/>
    <x v="1"/>
    <x v="0"/>
    <x v="2"/>
    <x v="1"/>
    <s v="Life Sciences"/>
    <n v="1"/>
    <x v="1"/>
    <x v="1"/>
    <s v="Divorced"/>
    <s v="No"/>
    <x v="13"/>
    <n v="2"/>
    <s v="Master's Degree"/>
    <n v="4"/>
    <n v="1"/>
    <x v="2"/>
    <n v="2768"/>
    <n v="14"/>
    <x v="1"/>
    <x v="5"/>
    <n v="3"/>
    <n v="5"/>
    <n v="7"/>
    <n v="0"/>
  </r>
  <r>
    <n v="434"/>
    <x v="1"/>
    <x v="0"/>
    <x v="1"/>
    <x v="0"/>
    <s v="Marketing"/>
    <n v="1"/>
    <x v="0"/>
    <x v="0"/>
    <s v="Married"/>
    <s v="Yes"/>
    <x v="21"/>
    <n v="10"/>
    <s v="Bachelor's Degree"/>
    <n v="3"/>
    <n v="3"/>
    <x v="0"/>
    <n v="9071"/>
    <n v="15"/>
    <x v="1"/>
    <x v="11"/>
    <n v="2"/>
    <n v="1"/>
    <n v="2"/>
    <n v="0"/>
  </r>
  <r>
    <n v="435"/>
    <x v="1"/>
    <x v="0"/>
    <x v="2"/>
    <x v="1"/>
    <s v="Life Sciences"/>
    <n v="1"/>
    <x v="1"/>
    <x v="3"/>
    <s v="Divorced"/>
    <s v="No"/>
    <x v="12"/>
    <n v="9"/>
    <s v="High School"/>
    <n v="3"/>
    <n v="3"/>
    <x v="1"/>
    <n v="10648"/>
    <n v="13"/>
    <x v="3"/>
    <x v="20"/>
    <n v="8"/>
    <n v="0"/>
    <n v="8"/>
    <n v="0"/>
  </r>
  <r>
    <n v="436"/>
    <x v="0"/>
    <x v="0"/>
    <x v="2"/>
    <x v="1"/>
    <s v="Medical"/>
    <n v="1"/>
    <x v="1"/>
    <x v="5"/>
    <s v="Married"/>
    <s v="Yes"/>
    <x v="3"/>
    <n v="15"/>
    <s v="High School"/>
    <n v="2"/>
    <n v="3"/>
    <x v="2"/>
    <n v="13610"/>
    <n v="15"/>
    <x v="3"/>
    <x v="5"/>
    <n v="6"/>
    <n v="7"/>
    <n v="7"/>
    <n v="1"/>
  </r>
  <r>
    <n v="437"/>
    <x v="0"/>
    <x v="0"/>
    <x v="2"/>
    <x v="1"/>
    <s v="Medical"/>
    <n v="1"/>
    <x v="1"/>
    <x v="2"/>
    <s v="Divorced"/>
    <s v="No"/>
    <x v="3"/>
    <n v="10"/>
    <s v="High School"/>
    <n v="1"/>
    <n v="1"/>
    <x v="0"/>
    <n v="3408"/>
    <n v="8"/>
    <x v="1"/>
    <x v="9"/>
    <n v="3"/>
    <n v="1"/>
    <n v="3"/>
    <n v="1"/>
  </r>
  <r>
    <n v="438"/>
    <x v="1"/>
    <x v="0"/>
    <x v="2"/>
    <x v="0"/>
    <s v="Marketing"/>
    <n v="1"/>
    <x v="1"/>
    <x v="6"/>
    <s v="Single"/>
    <s v="No"/>
    <x v="7"/>
    <n v="7"/>
    <s v="High School"/>
    <n v="4"/>
    <n v="1"/>
    <x v="1"/>
    <n v="2983"/>
    <n v="4"/>
    <x v="1"/>
    <x v="11"/>
    <n v="2"/>
    <n v="1"/>
    <n v="2"/>
    <n v="0"/>
  </r>
  <r>
    <n v="439"/>
    <x v="1"/>
    <x v="0"/>
    <x v="0"/>
    <x v="1"/>
    <s v="Life Sciences"/>
    <n v="1"/>
    <x v="1"/>
    <x v="4"/>
    <s v="Married"/>
    <s v="Yes"/>
    <x v="10"/>
    <n v="16"/>
    <s v="Bachelor's Degree"/>
    <n v="4"/>
    <n v="3"/>
    <x v="2"/>
    <n v="7632"/>
    <n v="10"/>
    <x v="1"/>
    <x v="3"/>
    <n v="7"/>
    <n v="0"/>
    <n v="0"/>
    <n v="0"/>
  </r>
  <r>
    <n v="440"/>
    <x v="0"/>
    <x v="1"/>
    <x v="2"/>
    <x v="1"/>
    <s v="Life Sciences"/>
    <n v="1"/>
    <x v="1"/>
    <x v="4"/>
    <s v="Married"/>
    <s v="No"/>
    <x v="12"/>
    <n v="20"/>
    <s v="Bachelor's Degree"/>
    <n v="1"/>
    <n v="3"/>
    <x v="2"/>
    <n v="9824"/>
    <n v="12"/>
    <x v="1"/>
    <x v="6"/>
    <n v="0"/>
    <n v="0"/>
    <n v="0"/>
    <n v="1"/>
  </r>
  <r>
    <n v="441"/>
    <x v="0"/>
    <x v="1"/>
    <x v="2"/>
    <x v="2"/>
    <s v="Human Resources"/>
    <n v="1"/>
    <x v="0"/>
    <x v="8"/>
    <s v="Divorced"/>
    <s v="Yes"/>
    <x v="13"/>
    <n v="23"/>
    <s v="Bachelor's Degree"/>
    <n v="2"/>
    <n v="3"/>
    <x v="3"/>
    <n v="9950"/>
    <n v="11"/>
    <x v="1"/>
    <x v="11"/>
    <n v="2"/>
    <n v="0"/>
    <n v="2"/>
    <n v="1"/>
  </r>
  <r>
    <n v="442"/>
    <x v="1"/>
    <x v="1"/>
    <x v="0"/>
    <x v="1"/>
    <s v="Other"/>
    <n v="1"/>
    <x v="1"/>
    <x v="2"/>
    <s v="Married"/>
    <s v="No"/>
    <x v="19"/>
    <n v="5"/>
    <s v="Associates Degree"/>
    <n v="2"/>
    <n v="1"/>
    <x v="2"/>
    <n v="2093"/>
    <n v="8"/>
    <x v="1"/>
    <x v="4"/>
    <n v="2"/>
    <n v="2"/>
    <n v="0"/>
    <n v="0"/>
  </r>
  <r>
    <n v="443"/>
    <x v="1"/>
    <x v="2"/>
    <x v="0"/>
    <x v="0"/>
    <s v="Medical"/>
    <n v="1"/>
    <x v="1"/>
    <x v="0"/>
    <s v="Single"/>
    <s v="No"/>
    <x v="9"/>
    <n v="10"/>
    <s v="Master's Degree"/>
    <n v="2"/>
    <n v="3"/>
    <x v="0"/>
    <n v="9980"/>
    <n v="10"/>
    <x v="2"/>
    <x v="1"/>
    <n v="3"/>
    <n v="9"/>
    <n v="7"/>
    <n v="0"/>
  </r>
  <r>
    <n v="444"/>
    <x v="0"/>
    <x v="1"/>
    <x v="4"/>
    <x v="1"/>
    <s v="Technical Degree"/>
    <n v="1"/>
    <x v="1"/>
    <x v="2"/>
    <s v="Single"/>
    <s v="No"/>
    <x v="15"/>
    <n v="4"/>
    <s v="High School"/>
    <n v="3"/>
    <n v="1"/>
    <x v="2"/>
    <n v="3894"/>
    <n v="4"/>
    <x v="1"/>
    <x v="4"/>
    <n v="2"/>
    <n v="1"/>
    <n v="2"/>
    <n v="1"/>
  </r>
  <r>
    <n v="445"/>
    <x v="1"/>
    <x v="0"/>
    <x v="1"/>
    <x v="0"/>
    <s v="Marketing"/>
    <n v="1"/>
    <x v="0"/>
    <x v="0"/>
    <s v="Married"/>
    <s v="No"/>
    <x v="26"/>
    <n v="2"/>
    <s v="Doctoral Degree"/>
    <n v="2"/>
    <n v="2"/>
    <x v="0"/>
    <n v="4051"/>
    <n v="14"/>
    <x v="1"/>
    <x v="7"/>
    <n v="7"/>
    <n v="6"/>
    <n v="7"/>
    <n v="0"/>
  </r>
  <r>
    <n v="446"/>
    <x v="1"/>
    <x v="0"/>
    <x v="3"/>
    <x v="0"/>
    <s v="Life Sciences"/>
    <n v="1"/>
    <x v="0"/>
    <x v="5"/>
    <s v="Single"/>
    <s v="No"/>
    <x v="27"/>
    <n v="18"/>
    <s v="Doctoral Degree"/>
    <n v="1"/>
    <n v="4"/>
    <x v="1"/>
    <n v="16835"/>
    <n v="37"/>
    <x v="1"/>
    <x v="1"/>
    <n v="9"/>
    <n v="7"/>
    <n v="7"/>
    <n v="0"/>
  </r>
  <r>
    <n v="447"/>
    <x v="1"/>
    <x v="2"/>
    <x v="0"/>
    <x v="0"/>
    <s v="Life Sciences"/>
    <n v="1"/>
    <x v="1"/>
    <x v="0"/>
    <s v="Single"/>
    <s v="No"/>
    <x v="0"/>
    <n v="10"/>
    <s v="Associates Degree"/>
    <n v="4"/>
    <n v="2"/>
    <x v="0"/>
    <n v="6230"/>
    <n v="16"/>
    <x v="1"/>
    <x v="13"/>
    <n v="3"/>
    <n v="1"/>
    <n v="10"/>
    <n v="0"/>
  </r>
  <r>
    <n v="448"/>
    <x v="1"/>
    <x v="0"/>
    <x v="0"/>
    <x v="0"/>
    <s v="Marketing"/>
    <n v="1"/>
    <x v="1"/>
    <x v="0"/>
    <s v="Married"/>
    <s v="No"/>
    <x v="10"/>
    <n v="1"/>
    <s v="Bachelor's Degree"/>
    <n v="2"/>
    <n v="2"/>
    <x v="2"/>
    <n v="4717"/>
    <n v="15"/>
    <x v="1"/>
    <x v="19"/>
    <n v="9"/>
    <n v="6"/>
    <n v="9"/>
    <n v="0"/>
  </r>
  <r>
    <n v="449"/>
    <x v="1"/>
    <x v="0"/>
    <x v="0"/>
    <x v="1"/>
    <s v="Life Sciences"/>
    <n v="1"/>
    <x v="0"/>
    <x v="3"/>
    <s v="Single"/>
    <s v="No"/>
    <x v="32"/>
    <n v="6"/>
    <s v="Bachelor's Degree"/>
    <n v="2"/>
    <n v="4"/>
    <x v="2"/>
    <n v="13237"/>
    <n v="22"/>
    <x v="1"/>
    <x v="23"/>
    <n v="6"/>
    <n v="5"/>
    <n v="13"/>
    <n v="0"/>
  </r>
  <r>
    <n v="450"/>
    <x v="1"/>
    <x v="1"/>
    <x v="0"/>
    <x v="1"/>
    <s v="Life Sciences"/>
    <n v="1"/>
    <x v="0"/>
    <x v="2"/>
    <s v="Married"/>
    <s v="No"/>
    <x v="22"/>
    <n v="8"/>
    <s v="High School"/>
    <n v="3"/>
    <n v="1"/>
    <x v="2"/>
    <n v="3755"/>
    <n v="8"/>
    <x v="1"/>
    <x v="3"/>
    <n v="3"/>
    <n v="0"/>
    <n v="7"/>
    <n v="0"/>
  </r>
  <r>
    <n v="451"/>
    <x v="1"/>
    <x v="0"/>
    <x v="2"/>
    <x v="0"/>
    <s v="Life Sciences"/>
    <n v="1"/>
    <x v="1"/>
    <x v="0"/>
    <s v="Single"/>
    <s v="Yes"/>
    <x v="12"/>
    <n v="2"/>
    <s v="High School"/>
    <n v="2"/>
    <n v="2"/>
    <x v="0"/>
    <n v="6582"/>
    <n v="10"/>
    <x v="3"/>
    <x v="0"/>
    <n v="5"/>
    <n v="0"/>
    <n v="5"/>
    <n v="0"/>
  </r>
  <r>
    <n v="452"/>
    <x v="1"/>
    <x v="0"/>
    <x v="0"/>
    <x v="1"/>
    <s v="Medical"/>
    <n v="1"/>
    <x v="1"/>
    <x v="3"/>
    <s v="Married"/>
    <s v="Yes"/>
    <x v="19"/>
    <n v="24"/>
    <s v="Bachelor's Degree"/>
    <n v="4"/>
    <n v="3"/>
    <x v="3"/>
    <n v="7406"/>
    <n v="10"/>
    <x v="2"/>
    <x v="1"/>
    <n v="9"/>
    <n v="5"/>
    <n v="8"/>
    <n v="0"/>
  </r>
  <r>
    <n v="453"/>
    <x v="1"/>
    <x v="0"/>
    <x v="1"/>
    <x v="0"/>
    <s v="Other"/>
    <n v="1"/>
    <x v="1"/>
    <x v="0"/>
    <s v="Married"/>
    <s v="No"/>
    <x v="28"/>
    <n v="2"/>
    <s v="Bachelor's Degree"/>
    <n v="4"/>
    <n v="2"/>
    <x v="1"/>
    <n v="4805"/>
    <n v="9"/>
    <x v="3"/>
    <x v="3"/>
    <n v="7"/>
    <n v="3"/>
    <n v="7"/>
    <n v="0"/>
  </r>
  <r>
    <n v="454"/>
    <x v="0"/>
    <x v="1"/>
    <x v="2"/>
    <x v="2"/>
    <s v="Life Sciences"/>
    <n v="1"/>
    <x v="0"/>
    <x v="8"/>
    <s v="Divorced"/>
    <s v="Yes"/>
    <x v="25"/>
    <n v="17"/>
    <s v="Master's Degree"/>
    <n v="2"/>
    <n v="1"/>
    <x v="2"/>
    <n v="2741"/>
    <n v="8"/>
    <x v="2"/>
    <x v="5"/>
    <n v="7"/>
    <n v="1"/>
    <n v="0"/>
    <n v="1"/>
  </r>
  <r>
    <n v="455"/>
    <x v="1"/>
    <x v="0"/>
    <x v="2"/>
    <x v="1"/>
    <s v="Technical Degree"/>
    <n v="1"/>
    <x v="1"/>
    <x v="3"/>
    <s v="Divorced"/>
    <s v="No"/>
    <x v="11"/>
    <n v="19"/>
    <s v="Bachelor's Degree"/>
    <n v="4"/>
    <n v="2"/>
    <x v="0"/>
    <n v="4262"/>
    <n v="8"/>
    <x v="3"/>
    <x v="11"/>
    <n v="2"/>
    <n v="1"/>
    <n v="2"/>
    <n v="0"/>
  </r>
  <r>
    <n v="456"/>
    <x v="1"/>
    <x v="0"/>
    <x v="2"/>
    <x v="1"/>
    <s v="Medical"/>
    <n v="1"/>
    <x v="0"/>
    <x v="7"/>
    <s v="Divorced"/>
    <s v="No"/>
    <x v="3"/>
    <n v="1"/>
    <s v="Doctoral Degree"/>
    <n v="1"/>
    <n v="4"/>
    <x v="2"/>
    <n v="16184"/>
    <n v="10"/>
    <x v="1"/>
    <x v="0"/>
    <n v="1"/>
    <n v="0"/>
    <n v="5"/>
    <n v="0"/>
  </r>
  <r>
    <n v="457"/>
    <x v="1"/>
    <x v="0"/>
    <x v="2"/>
    <x v="0"/>
    <s v="Life Sciences"/>
    <n v="1"/>
    <x v="1"/>
    <x v="5"/>
    <s v="Divorced"/>
    <s v="No"/>
    <x v="12"/>
    <n v="7"/>
    <s v="Bachelor's Degree"/>
    <n v="3"/>
    <n v="3"/>
    <x v="0"/>
    <n v="11557"/>
    <n v="10"/>
    <x v="2"/>
    <x v="8"/>
    <n v="4"/>
    <n v="0"/>
    <n v="1"/>
    <n v="0"/>
  </r>
  <r>
    <n v="458"/>
    <x v="0"/>
    <x v="1"/>
    <x v="4"/>
    <x v="0"/>
    <s v="Marketing"/>
    <n v="1"/>
    <x v="1"/>
    <x v="6"/>
    <s v="Single"/>
    <s v="Yes"/>
    <x v="41"/>
    <n v="5"/>
    <s v="Bachelor's Degree"/>
    <n v="2"/>
    <n v="1"/>
    <x v="1"/>
    <n v="1878"/>
    <n v="0"/>
    <x v="1"/>
    <x v="2"/>
    <n v="0"/>
    <n v="0"/>
    <n v="0"/>
    <n v="1"/>
  </r>
  <r>
    <n v="459"/>
    <x v="1"/>
    <x v="2"/>
    <x v="0"/>
    <x v="0"/>
    <s v="Other"/>
    <n v="1"/>
    <x v="1"/>
    <x v="0"/>
    <s v="Divorced"/>
    <s v="No"/>
    <x v="32"/>
    <n v="28"/>
    <s v="Bachelor's Degree"/>
    <n v="3"/>
    <n v="3"/>
    <x v="3"/>
    <n v="10932"/>
    <n v="20"/>
    <x v="1"/>
    <x v="6"/>
    <n v="0"/>
    <n v="0"/>
    <n v="1"/>
    <n v="0"/>
  </r>
  <r>
    <n v="460"/>
    <x v="1"/>
    <x v="2"/>
    <x v="0"/>
    <x v="1"/>
    <s v="Other"/>
    <n v="1"/>
    <x v="0"/>
    <x v="4"/>
    <s v="Single"/>
    <s v="Yes"/>
    <x v="0"/>
    <n v="2"/>
    <s v="Master's Degree"/>
    <n v="1"/>
    <n v="2"/>
    <x v="2"/>
    <n v="6811"/>
    <n v="10"/>
    <x v="1"/>
    <x v="3"/>
    <n v="7"/>
    <n v="0"/>
    <n v="7"/>
    <n v="0"/>
  </r>
  <r>
    <n v="461"/>
    <x v="1"/>
    <x v="0"/>
    <x v="2"/>
    <x v="0"/>
    <s v="Medical"/>
    <n v="1"/>
    <x v="1"/>
    <x v="0"/>
    <s v="Divorced"/>
    <s v="No"/>
    <x v="25"/>
    <n v="29"/>
    <s v="Associates Degree"/>
    <n v="1"/>
    <n v="2"/>
    <x v="2"/>
    <n v="4306"/>
    <n v="8"/>
    <x v="1"/>
    <x v="2"/>
    <n v="0"/>
    <n v="0"/>
    <n v="0"/>
    <n v="0"/>
  </r>
  <r>
    <n v="462"/>
    <x v="1"/>
    <x v="0"/>
    <x v="0"/>
    <x v="0"/>
    <s v="Medical"/>
    <n v="1"/>
    <x v="0"/>
    <x v="0"/>
    <s v="Single"/>
    <s v="No"/>
    <x v="10"/>
    <n v="1"/>
    <s v="Bachelor's Degree"/>
    <n v="1"/>
    <n v="2"/>
    <x v="2"/>
    <n v="4859"/>
    <n v="5"/>
    <x v="1"/>
    <x v="8"/>
    <n v="4"/>
    <n v="0"/>
    <n v="3"/>
    <n v="0"/>
  </r>
  <r>
    <n v="463"/>
    <x v="1"/>
    <x v="0"/>
    <x v="2"/>
    <x v="0"/>
    <s v="Life Sciences"/>
    <n v="1"/>
    <x v="1"/>
    <x v="0"/>
    <s v="Single"/>
    <s v="No"/>
    <x v="13"/>
    <n v="21"/>
    <s v="Master's Degree"/>
    <n v="4"/>
    <n v="2"/>
    <x v="0"/>
    <n v="5337"/>
    <n v="10"/>
    <x v="1"/>
    <x v="1"/>
    <n v="7"/>
    <n v="5"/>
    <n v="7"/>
    <n v="0"/>
  </r>
  <r>
    <n v="464"/>
    <x v="0"/>
    <x v="0"/>
    <x v="2"/>
    <x v="1"/>
    <s v="Technical Degree"/>
    <n v="1"/>
    <x v="1"/>
    <x v="2"/>
    <s v="Single"/>
    <s v="Yes"/>
    <x v="25"/>
    <n v="24"/>
    <s v="Bachelor's Degree"/>
    <n v="3"/>
    <n v="1"/>
    <x v="0"/>
    <n v="2340"/>
    <n v="1"/>
    <x v="0"/>
    <x v="6"/>
    <n v="0"/>
    <n v="0"/>
    <n v="0"/>
    <n v="1"/>
  </r>
  <r>
    <n v="465"/>
    <x v="1"/>
    <x v="0"/>
    <x v="0"/>
    <x v="1"/>
    <s v="Technical Degree"/>
    <n v="1"/>
    <x v="0"/>
    <x v="3"/>
    <s v="Single"/>
    <s v="No"/>
    <x v="2"/>
    <n v="1"/>
    <s v="Bachelor's Degree"/>
    <n v="2"/>
    <n v="3"/>
    <x v="0"/>
    <n v="7491"/>
    <n v="12"/>
    <x v="3"/>
    <x v="0"/>
    <n v="5"/>
    <n v="1"/>
    <n v="2"/>
    <n v="0"/>
  </r>
  <r>
    <n v="466"/>
    <x v="1"/>
    <x v="1"/>
    <x v="1"/>
    <x v="1"/>
    <s v="Medical"/>
    <n v="1"/>
    <x v="0"/>
    <x v="4"/>
    <s v="Married"/>
    <s v="No"/>
    <x v="21"/>
    <n v="18"/>
    <s v="High School"/>
    <n v="1"/>
    <n v="3"/>
    <x v="2"/>
    <n v="10527"/>
    <n v="28"/>
    <x v="2"/>
    <x v="4"/>
    <n v="2"/>
    <n v="1"/>
    <n v="2"/>
    <n v="0"/>
  </r>
  <r>
    <n v="467"/>
    <x v="1"/>
    <x v="0"/>
    <x v="0"/>
    <x v="0"/>
    <s v="Life Sciences"/>
    <n v="1"/>
    <x v="0"/>
    <x v="5"/>
    <s v="Married"/>
    <s v="No"/>
    <x v="0"/>
    <n v="2"/>
    <s v="Doctoral Degree"/>
    <n v="2"/>
    <n v="4"/>
    <x v="3"/>
    <n v="16595"/>
    <n v="22"/>
    <x v="1"/>
    <x v="29"/>
    <n v="16"/>
    <n v="11"/>
    <n v="8"/>
    <n v="0"/>
  </r>
  <r>
    <n v="468"/>
    <x v="1"/>
    <x v="2"/>
    <x v="0"/>
    <x v="0"/>
    <s v="Medical"/>
    <n v="1"/>
    <x v="1"/>
    <x v="0"/>
    <s v="Divorced"/>
    <s v="No"/>
    <x v="2"/>
    <n v="9"/>
    <s v="Master's Degree"/>
    <n v="1"/>
    <n v="3"/>
    <x v="1"/>
    <n v="8834"/>
    <n v="9"/>
    <x v="1"/>
    <x v="7"/>
    <n v="5"/>
    <n v="7"/>
    <n v="7"/>
    <n v="0"/>
  </r>
  <r>
    <n v="469"/>
    <x v="1"/>
    <x v="0"/>
    <x v="1"/>
    <x v="1"/>
    <s v="Technical Degree"/>
    <n v="1"/>
    <x v="1"/>
    <x v="1"/>
    <s v="Divorced"/>
    <s v="Yes"/>
    <x v="39"/>
    <n v="6"/>
    <s v="Associates Degree"/>
    <n v="4"/>
    <n v="2"/>
    <x v="3"/>
    <n v="5577"/>
    <n v="18"/>
    <x v="1"/>
    <x v="1"/>
    <n v="9"/>
    <n v="6"/>
    <n v="9"/>
    <n v="0"/>
  </r>
  <r>
    <n v="470"/>
    <x v="0"/>
    <x v="2"/>
    <x v="2"/>
    <x v="0"/>
    <s v="Other"/>
    <n v="1"/>
    <x v="1"/>
    <x v="0"/>
    <s v="Married"/>
    <s v="No"/>
    <x v="5"/>
    <n v="11"/>
    <s v="Master's Degree"/>
    <n v="4"/>
    <n v="2"/>
    <x v="2"/>
    <n v="4707"/>
    <n v="6"/>
    <x v="1"/>
    <x v="9"/>
    <n v="2"/>
    <n v="1"/>
    <n v="2"/>
    <n v="1"/>
  </r>
  <r>
    <n v="471"/>
    <x v="1"/>
    <x v="1"/>
    <x v="4"/>
    <x v="0"/>
    <s v="Medical"/>
    <n v="1"/>
    <x v="1"/>
    <x v="6"/>
    <s v="Married"/>
    <s v="No"/>
    <x v="17"/>
    <n v="24"/>
    <s v="Bachelor's Degree"/>
    <n v="4"/>
    <n v="1"/>
    <x v="0"/>
    <n v="2400"/>
    <n v="3"/>
    <x v="1"/>
    <x v="4"/>
    <n v="2"/>
    <n v="2"/>
    <n v="1"/>
    <n v="0"/>
  </r>
  <r>
    <n v="472"/>
    <x v="1"/>
    <x v="0"/>
    <x v="0"/>
    <x v="1"/>
    <s v="Medical"/>
    <n v="1"/>
    <x v="0"/>
    <x v="4"/>
    <s v="Married"/>
    <s v="No"/>
    <x v="8"/>
    <n v="10"/>
    <s v="Bachelor's Degree"/>
    <n v="3"/>
    <n v="2"/>
    <x v="2"/>
    <n v="9824"/>
    <n v="18"/>
    <x v="1"/>
    <x v="6"/>
    <n v="0"/>
    <n v="0"/>
    <n v="0"/>
    <n v="0"/>
  </r>
  <r>
    <n v="473"/>
    <x v="1"/>
    <x v="0"/>
    <x v="0"/>
    <x v="1"/>
    <s v="Life Sciences"/>
    <n v="1"/>
    <x v="0"/>
    <x v="3"/>
    <s v="Married"/>
    <s v="No"/>
    <x v="2"/>
    <n v="1"/>
    <s v="Master's Degree"/>
    <n v="2"/>
    <n v="2"/>
    <x v="1"/>
    <n v="6447"/>
    <n v="8"/>
    <x v="2"/>
    <x v="0"/>
    <n v="5"/>
    <n v="4"/>
    <n v="3"/>
    <n v="0"/>
  </r>
  <r>
    <n v="474"/>
    <x v="1"/>
    <x v="0"/>
    <x v="1"/>
    <x v="1"/>
    <s v="Life Sciences"/>
    <n v="1"/>
    <x v="1"/>
    <x v="7"/>
    <s v="Divorced"/>
    <s v="Yes"/>
    <x v="1"/>
    <n v="18"/>
    <s v="Master's Degree"/>
    <n v="4"/>
    <n v="5"/>
    <x v="2"/>
    <n v="19502"/>
    <n v="31"/>
    <x v="1"/>
    <x v="31"/>
    <n v="9"/>
    <n v="0"/>
    <n v="9"/>
    <n v="0"/>
  </r>
  <r>
    <n v="475"/>
    <x v="1"/>
    <x v="0"/>
    <x v="4"/>
    <x v="1"/>
    <s v="Medical"/>
    <n v="1"/>
    <x v="1"/>
    <x v="1"/>
    <s v="Married"/>
    <s v="Yes"/>
    <x v="17"/>
    <n v="23"/>
    <s v="Bachelor's Degree"/>
    <n v="2"/>
    <n v="1"/>
    <x v="0"/>
    <n v="2725"/>
    <n v="6"/>
    <x v="1"/>
    <x v="0"/>
    <n v="5"/>
    <n v="1"/>
    <n v="4"/>
    <n v="0"/>
  </r>
  <r>
    <n v="476"/>
    <x v="1"/>
    <x v="0"/>
    <x v="2"/>
    <x v="0"/>
    <s v="Marketing"/>
    <n v="1"/>
    <x v="1"/>
    <x v="0"/>
    <s v="Married"/>
    <s v="No"/>
    <x v="25"/>
    <n v="28"/>
    <s v="Associates Degree"/>
    <n v="1"/>
    <n v="2"/>
    <x v="1"/>
    <n v="6272"/>
    <n v="6"/>
    <x v="3"/>
    <x v="8"/>
    <n v="3"/>
    <n v="1"/>
    <n v="4"/>
    <n v="0"/>
  </r>
  <r>
    <n v="477"/>
    <x v="1"/>
    <x v="0"/>
    <x v="4"/>
    <x v="1"/>
    <s v="Other"/>
    <n v="1"/>
    <x v="1"/>
    <x v="2"/>
    <s v="Married"/>
    <s v="No"/>
    <x v="17"/>
    <n v="17"/>
    <s v="Associates Degree"/>
    <n v="4"/>
    <n v="1"/>
    <x v="1"/>
    <n v="2127"/>
    <n v="1"/>
    <x v="1"/>
    <x v="6"/>
    <n v="0"/>
    <n v="0"/>
    <n v="0"/>
    <n v="0"/>
  </r>
  <r>
    <n v="478"/>
    <x v="1"/>
    <x v="1"/>
    <x v="1"/>
    <x v="2"/>
    <s v="Medical"/>
    <n v="1"/>
    <x v="1"/>
    <x v="5"/>
    <s v="Married"/>
    <s v="No"/>
    <x v="24"/>
    <n v="3"/>
    <s v="Bachelor's Degree"/>
    <n v="1"/>
    <n v="5"/>
    <x v="1"/>
    <n v="18200"/>
    <n v="32"/>
    <x v="1"/>
    <x v="32"/>
    <n v="5"/>
    <n v="10"/>
    <n v="7"/>
    <n v="0"/>
  </r>
  <r>
    <n v="479"/>
    <x v="1"/>
    <x v="0"/>
    <x v="2"/>
    <x v="0"/>
    <s v="Medical"/>
    <n v="1"/>
    <x v="1"/>
    <x v="6"/>
    <s v="Married"/>
    <s v="No"/>
    <x v="36"/>
    <n v="13"/>
    <s v="High School"/>
    <n v="2"/>
    <n v="1"/>
    <x v="2"/>
    <n v="2096"/>
    <n v="7"/>
    <x v="1"/>
    <x v="5"/>
    <n v="4"/>
    <n v="0"/>
    <n v="6"/>
    <n v="0"/>
  </r>
  <r>
    <n v="480"/>
    <x v="0"/>
    <x v="1"/>
    <x v="4"/>
    <x v="1"/>
    <s v="Life Sciences"/>
    <n v="1"/>
    <x v="0"/>
    <x v="2"/>
    <s v="Married"/>
    <s v="Yes"/>
    <x v="17"/>
    <n v="7"/>
    <s v="Bachelor's Degree"/>
    <n v="1"/>
    <n v="1"/>
    <x v="2"/>
    <n v="2886"/>
    <n v="6"/>
    <x v="1"/>
    <x v="0"/>
    <n v="3"/>
    <n v="1"/>
    <n v="2"/>
    <n v="1"/>
  </r>
  <r>
    <n v="481"/>
    <x v="0"/>
    <x v="1"/>
    <x v="2"/>
    <x v="0"/>
    <s v="Life Sciences"/>
    <n v="1"/>
    <x v="1"/>
    <x v="6"/>
    <s v="Married"/>
    <s v="No"/>
    <x v="7"/>
    <n v="12"/>
    <s v="Master's Degree"/>
    <n v="2"/>
    <n v="1"/>
    <x v="3"/>
    <n v="2033"/>
    <n v="1"/>
    <x v="3"/>
    <x v="6"/>
    <n v="0"/>
    <n v="0"/>
    <n v="0"/>
    <n v="1"/>
  </r>
  <r>
    <n v="482"/>
    <x v="1"/>
    <x v="0"/>
    <x v="2"/>
    <x v="1"/>
    <s v="Life Sciences"/>
    <n v="1"/>
    <x v="1"/>
    <x v="1"/>
    <s v="Married"/>
    <s v="Yes"/>
    <x v="13"/>
    <n v="1"/>
    <s v="Associates Degree"/>
    <n v="2"/>
    <n v="1"/>
    <x v="0"/>
    <n v="3622"/>
    <n v="6"/>
    <x v="1"/>
    <x v="0"/>
    <n v="5"/>
    <n v="1"/>
    <n v="3"/>
    <n v="0"/>
  </r>
  <r>
    <n v="483"/>
    <x v="0"/>
    <x v="0"/>
    <x v="2"/>
    <x v="0"/>
    <s v="Medical"/>
    <n v="1"/>
    <x v="1"/>
    <x v="0"/>
    <s v="Divorced"/>
    <s v="No"/>
    <x v="12"/>
    <n v="13"/>
    <s v="Master's Degree"/>
    <n v="2"/>
    <n v="2"/>
    <x v="3"/>
    <n v="4233"/>
    <n v="9"/>
    <x v="0"/>
    <x v="11"/>
    <n v="1"/>
    <n v="1"/>
    <n v="2"/>
    <n v="1"/>
  </r>
  <r>
    <n v="484"/>
    <x v="1"/>
    <x v="0"/>
    <x v="0"/>
    <x v="1"/>
    <s v="Other"/>
    <n v="1"/>
    <x v="1"/>
    <x v="2"/>
    <s v="Single"/>
    <s v="No"/>
    <x v="10"/>
    <n v="25"/>
    <s v="Associates Degree"/>
    <n v="1"/>
    <n v="2"/>
    <x v="0"/>
    <n v="3681"/>
    <n v="9"/>
    <x v="1"/>
    <x v="11"/>
    <n v="2"/>
    <n v="0"/>
    <n v="2"/>
    <n v="0"/>
  </r>
  <r>
    <n v="485"/>
    <x v="1"/>
    <x v="0"/>
    <x v="2"/>
    <x v="0"/>
    <s v="Medical"/>
    <n v="1"/>
    <x v="1"/>
    <x v="0"/>
    <s v="Divorced"/>
    <s v="No"/>
    <x v="12"/>
    <n v="6"/>
    <s v="Master's Degree"/>
    <n v="1"/>
    <n v="2"/>
    <x v="0"/>
    <n v="5460"/>
    <n v="13"/>
    <x v="3"/>
    <x v="5"/>
    <n v="7"/>
    <n v="5"/>
    <n v="7"/>
    <n v="0"/>
  </r>
  <r>
    <n v="486"/>
    <x v="1"/>
    <x v="0"/>
    <x v="2"/>
    <x v="1"/>
    <s v="Medical"/>
    <n v="1"/>
    <x v="0"/>
    <x v="1"/>
    <s v="Divorced"/>
    <s v="No"/>
    <x v="4"/>
    <n v="6"/>
    <s v="Master's Degree"/>
    <n v="1"/>
    <n v="1"/>
    <x v="2"/>
    <n v="2187"/>
    <n v="6"/>
    <x v="2"/>
    <x v="8"/>
    <n v="3"/>
    <n v="0"/>
    <n v="3"/>
    <n v="0"/>
  </r>
  <r>
    <n v="487"/>
    <x v="1"/>
    <x v="0"/>
    <x v="0"/>
    <x v="0"/>
    <s v="Marketing"/>
    <n v="1"/>
    <x v="1"/>
    <x v="0"/>
    <s v="Married"/>
    <s v="Yes"/>
    <x v="2"/>
    <n v="2"/>
    <s v="Bachelor's Degree"/>
    <n v="4"/>
    <n v="2"/>
    <x v="2"/>
    <n v="9602"/>
    <n v="17"/>
    <x v="2"/>
    <x v="11"/>
    <n v="0"/>
    <n v="1"/>
    <n v="0"/>
    <n v="0"/>
  </r>
  <r>
    <n v="488"/>
    <x v="1"/>
    <x v="0"/>
    <x v="4"/>
    <x v="1"/>
    <s v="Life Sciences"/>
    <n v="1"/>
    <x v="0"/>
    <x v="1"/>
    <s v="Single"/>
    <s v="No"/>
    <x v="35"/>
    <n v="1"/>
    <s v="Bachelor's Degree"/>
    <n v="4"/>
    <n v="1"/>
    <x v="1"/>
    <n v="2836"/>
    <n v="1"/>
    <x v="3"/>
    <x v="6"/>
    <n v="0"/>
    <n v="0"/>
    <n v="0"/>
    <n v="0"/>
  </r>
  <r>
    <n v="489"/>
    <x v="1"/>
    <x v="0"/>
    <x v="0"/>
    <x v="1"/>
    <s v="Life Sciences"/>
    <n v="1"/>
    <x v="0"/>
    <x v="4"/>
    <s v="Married"/>
    <s v="No"/>
    <x v="19"/>
    <n v="2"/>
    <s v="Master's Degree"/>
    <n v="3"/>
    <n v="2"/>
    <x v="0"/>
    <n v="4089"/>
    <n v="10"/>
    <x v="1"/>
    <x v="1"/>
    <n v="2"/>
    <n v="2"/>
    <n v="2"/>
    <n v="0"/>
  </r>
  <r>
    <n v="490"/>
    <x v="1"/>
    <x v="0"/>
    <x v="0"/>
    <x v="1"/>
    <s v="Other"/>
    <n v="1"/>
    <x v="1"/>
    <x v="7"/>
    <s v="Divorced"/>
    <s v="Yes"/>
    <x v="23"/>
    <n v="6"/>
    <s v="Master's Degree"/>
    <n v="2"/>
    <n v="4"/>
    <x v="0"/>
    <n v="16627"/>
    <n v="21"/>
    <x v="2"/>
    <x v="6"/>
    <n v="0"/>
    <n v="0"/>
    <n v="0"/>
    <n v="0"/>
  </r>
  <r>
    <n v="491"/>
    <x v="1"/>
    <x v="0"/>
    <x v="0"/>
    <x v="1"/>
    <s v="Life Sciences"/>
    <n v="1"/>
    <x v="0"/>
    <x v="1"/>
    <s v="Single"/>
    <s v="No"/>
    <x v="8"/>
    <n v="1"/>
    <s v="High School"/>
    <n v="3"/>
    <n v="1"/>
    <x v="3"/>
    <n v="2619"/>
    <n v="8"/>
    <x v="2"/>
    <x v="2"/>
    <n v="0"/>
    <n v="0"/>
    <n v="0"/>
    <n v="0"/>
  </r>
  <r>
    <n v="492"/>
    <x v="1"/>
    <x v="1"/>
    <x v="0"/>
    <x v="1"/>
    <s v="Medical"/>
    <n v="1"/>
    <x v="1"/>
    <x v="2"/>
    <s v="Divorced"/>
    <s v="Yes"/>
    <x v="23"/>
    <n v="9"/>
    <s v="Doctoral Degree"/>
    <n v="4"/>
    <n v="2"/>
    <x v="2"/>
    <n v="5679"/>
    <n v="10"/>
    <x v="1"/>
    <x v="3"/>
    <n v="7"/>
    <n v="4"/>
    <n v="7"/>
    <n v="0"/>
  </r>
  <r>
    <n v="493"/>
    <x v="1"/>
    <x v="0"/>
    <x v="1"/>
    <x v="1"/>
    <s v="Life Sciences"/>
    <n v="1"/>
    <x v="0"/>
    <x v="5"/>
    <s v="Married"/>
    <s v="No"/>
    <x v="26"/>
    <n v="1"/>
    <s v="Master's Degree"/>
    <n v="4"/>
    <n v="4"/>
    <x v="3"/>
    <n v="15402"/>
    <n v="21"/>
    <x v="0"/>
    <x v="11"/>
    <n v="2"/>
    <n v="0"/>
    <n v="2"/>
    <n v="0"/>
  </r>
  <r>
    <n v="494"/>
    <x v="1"/>
    <x v="0"/>
    <x v="0"/>
    <x v="2"/>
    <s v="Life Sciences"/>
    <n v="1"/>
    <x v="0"/>
    <x v="8"/>
    <s v="Single"/>
    <s v="No"/>
    <x v="20"/>
    <n v="1"/>
    <s v="Master's Degree"/>
    <n v="1"/>
    <n v="2"/>
    <x v="2"/>
    <n v="5985"/>
    <n v="10"/>
    <x v="3"/>
    <x v="4"/>
    <n v="2"/>
    <n v="0"/>
    <n v="2"/>
    <n v="0"/>
  </r>
  <r>
    <n v="495"/>
    <x v="1"/>
    <x v="0"/>
    <x v="2"/>
    <x v="0"/>
    <s v="Technical Degree"/>
    <n v="1"/>
    <x v="0"/>
    <x v="6"/>
    <s v="Divorced"/>
    <s v="Yes"/>
    <x v="13"/>
    <n v="14"/>
    <s v="Bachelor's Degree"/>
    <n v="3"/>
    <n v="1"/>
    <x v="2"/>
    <n v="2579"/>
    <n v="8"/>
    <x v="1"/>
    <x v="3"/>
    <n v="2"/>
    <n v="0"/>
    <n v="6"/>
    <n v="0"/>
  </r>
  <r>
    <n v="496"/>
    <x v="0"/>
    <x v="0"/>
    <x v="2"/>
    <x v="0"/>
    <s v="Marketing"/>
    <n v="1"/>
    <x v="1"/>
    <x v="6"/>
    <s v="Divorced"/>
    <s v="No"/>
    <x v="4"/>
    <n v="2"/>
    <s v="High School"/>
    <n v="3"/>
    <n v="1"/>
    <x v="3"/>
    <n v="3041"/>
    <n v="5"/>
    <x v="1"/>
    <x v="9"/>
    <n v="3"/>
    <n v="0"/>
    <n v="2"/>
    <n v="1"/>
  </r>
  <r>
    <n v="497"/>
    <x v="1"/>
    <x v="0"/>
    <x v="4"/>
    <x v="0"/>
    <s v="Technical Degree"/>
    <n v="1"/>
    <x v="1"/>
    <x v="6"/>
    <s v="Single"/>
    <s v="No"/>
    <x v="18"/>
    <n v="22"/>
    <s v="High School"/>
    <n v="3"/>
    <n v="1"/>
    <x v="2"/>
    <n v="3447"/>
    <n v="3"/>
    <x v="1"/>
    <x v="11"/>
    <n v="2"/>
    <n v="1"/>
    <n v="2"/>
    <n v="0"/>
  </r>
  <r>
    <n v="498"/>
    <x v="1"/>
    <x v="0"/>
    <x v="0"/>
    <x v="1"/>
    <s v="Other"/>
    <n v="1"/>
    <x v="1"/>
    <x v="5"/>
    <s v="Married"/>
    <s v="Yes"/>
    <x v="20"/>
    <n v="3"/>
    <s v="Master's Degree"/>
    <n v="4"/>
    <n v="5"/>
    <x v="0"/>
    <n v="19513"/>
    <n v="26"/>
    <x v="3"/>
    <x v="4"/>
    <n v="2"/>
    <n v="0"/>
    <n v="1"/>
    <n v="0"/>
  </r>
  <r>
    <n v="499"/>
    <x v="1"/>
    <x v="0"/>
    <x v="4"/>
    <x v="1"/>
    <s v="Medical"/>
    <n v="1"/>
    <x v="1"/>
    <x v="1"/>
    <s v="Married"/>
    <s v="No"/>
    <x v="15"/>
    <n v="6"/>
    <s v="High School"/>
    <n v="1"/>
    <n v="1"/>
    <x v="2"/>
    <n v="2773"/>
    <n v="3"/>
    <x v="1"/>
    <x v="4"/>
    <n v="2"/>
    <n v="2"/>
    <n v="2"/>
    <n v="0"/>
  </r>
  <r>
    <n v="500"/>
    <x v="1"/>
    <x v="0"/>
    <x v="2"/>
    <x v="0"/>
    <s v="Marketing"/>
    <n v="1"/>
    <x v="1"/>
    <x v="0"/>
    <s v="Divorced"/>
    <s v="No"/>
    <x v="3"/>
    <n v="8"/>
    <s v="Master's Degree"/>
    <n v="3"/>
    <n v="2"/>
    <x v="2"/>
    <n v="7104"/>
    <n v="6"/>
    <x v="1"/>
    <x v="8"/>
    <n v="0"/>
    <n v="1"/>
    <n v="2"/>
    <n v="0"/>
  </r>
  <r>
    <n v="501"/>
    <x v="1"/>
    <x v="0"/>
    <x v="2"/>
    <x v="1"/>
    <s v="Life Sciences"/>
    <n v="1"/>
    <x v="0"/>
    <x v="1"/>
    <s v="Married"/>
    <s v="Yes"/>
    <x v="5"/>
    <n v="9"/>
    <s v="Master's Degree"/>
    <n v="1"/>
    <n v="2"/>
    <x v="0"/>
    <n v="6322"/>
    <n v="6"/>
    <x v="2"/>
    <x v="0"/>
    <n v="4"/>
    <n v="0"/>
    <n v="5"/>
    <n v="0"/>
  </r>
  <r>
    <n v="502"/>
    <x v="1"/>
    <x v="1"/>
    <x v="2"/>
    <x v="1"/>
    <s v="Medical"/>
    <n v="1"/>
    <x v="0"/>
    <x v="1"/>
    <s v="Divorced"/>
    <s v="No"/>
    <x v="7"/>
    <n v="3"/>
    <s v="Bachelor's Degree"/>
    <n v="3"/>
    <n v="1"/>
    <x v="2"/>
    <n v="2083"/>
    <n v="1"/>
    <x v="1"/>
    <x v="6"/>
    <n v="0"/>
    <n v="0"/>
    <n v="0"/>
    <n v="0"/>
  </r>
  <r>
    <n v="503"/>
    <x v="1"/>
    <x v="0"/>
    <x v="1"/>
    <x v="0"/>
    <s v="Medical"/>
    <n v="1"/>
    <x v="0"/>
    <x v="0"/>
    <s v="Single"/>
    <s v="No"/>
    <x v="16"/>
    <n v="1"/>
    <s v="High School"/>
    <n v="4"/>
    <n v="2"/>
    <x v="3"/>
    <n v="8381"/>
    <n v="18"/>
    <x v="3"/>
    <x v="13"/>
    <n v="7"/>
    <n v="8"/>
    <n v="10"/>
    <n v="0"/>
  </r>
  <r>
    <n v="504"/>
    <x v="1"/>
    <x v="0"/>
    <x v="2"/>
    <x v="1"/>
    <s v="Life Sciences"/>
    <n v="1"/>
    <x v="1"/>
    <x v="1"/>
    <s v="Married"/>
    <s v="No"/>
    <x v="13"/>
    <n v="1"/>
    <s v="Doctoral Degree"/>
    <n v="2"/>
    <n v="1"/>
    <x v="0"/>
    <n v="2691"/>
    <n v="10"/>
    <x v="2"/>
    <x v="1"/>
    <n v="9"/>
    <n v="8"/>
    <n v="8"/>
    <n v="0"/>
  </r>
  <r>
    <n v="505"/>
    <x v="0"/>
    <x v="1"/>
    <x v="1"/>
    <x v="0"/>
    <s v="Life Sciences"/>
    <n v="1"/>
    <x v="0"/>
    <x v="0"/>
    <s v="Married"/>
    <s v="No"/>
    <x v="28"/>
    <n v="26"/>
    <s v="Master's Degree"/>
    <n v="1"/>
    <n v="2"/>
    <x v="3"/>
    <n v="4286"/>
    <n v="5"/>
    <x v="1"/>
    <x v="6"/>
    <n v="1"/>
    <n v="0"/>
    <n v="0"/>
    <n v="1"/>
  </r>
  <r>
    <n v="506"/>
    <x v="1"/>
    <x v="0"/>
    <x v="2"/>
    <x v="1"/>
    <s v="Life Sciences"/>
    <n v="1"/>
    <x v="0"/>
    <x v="2"/>
    <s v="Married"/>
    <s v="Yes"/>
    <x v="25"/>
    <n v="6"/>
    <s v="Bachelor's Degree"/>
    <n v="3"/>
    <n v="1"/>
    <x v="0"/>
    <n v="2659"/>
    <n v="3"/>
    <x v="1"/>
    <x v="11"/>
    <n v="2"/>
    <n v="0"/>
    <n v="2"/>
    <n v="0"/>
  </r>
  <r>
    <n v="507"/>
    <x v="1"/>
    <x v="0"/>
    <x v="0"/>
    <x v="1"/>
    <s v="Other"/>
    <n v="1"/>
    <x v="1"/>
    <x v="3"/>
    <s v="Married"/>
    <s v="No"/>
    <x v="2"/>
    <n v="3"/>
    <s v="Bachelor's Degree"/>
    <n v="3"/>
    <n v="3"/>
    <x v="2"/>
    <n v="9434"/>
    <n v="10"/>
    <x v="1"/>
    <x v="1"/>
    <n v="7"/>
    <n v="7"/>
    <n v="8"/>
    <n v="0"/>
  </r>
  <r>
    <n v="508"/>
    <x v="1"/>
    <x v="0"/>
    <x v="2"/>
    <x v="0"/>
    <s v="Medical"/>
    <n v="1"/>
    <x v="0"/>
    <x v="0"/>
    <s v="Married"/>
    <s v="No"/>
    <x v="11"/>
    <n v="3"/>
    <s v="Associates Degree"/>
    <n v="2"/>
    <n v="2"/>
    <x v="2"/>
    <n v="5561"/>
    <n v="6"/>
    <x v="2"/>
    <x v="0"/>
    <n v="0"/>
    <n v="1"/>
    <n v="2"/>
    <n v="0"/>
  </r>
  <r>
    <n v="509"/>
    <x v="1"/>
    <x v="0"/>
    <x v="0"/>
    <x v="1"/>
    <s v="Life Sciences"/>
    <n v="1"/>
    <x v="1"/>
    <x v="1"/>
    <s v="Single"/>
    <s v="No"/>
    <x v="10"/>
    <n v="6"/>
    <s v="Master's Degree"/>
    <n v="2"/>
    <n v="2"/>
    <x v="0"/>
    <n v="6646"/>
    <n v="17"/>
    <x v="1"/>
    <x v="18"/>
    <n v="11"/>
    <n v="11"/>
    <n v="8"/>
    <n v="0"/>
  </r>
  <r>
    <n v="510"/>
    <x v="1"/>
    <x v="1"/>
    <x v="2"/>
    <x v="1"/>
    <s v="Life Sciences"/>
    <n v="1"/>
    <x v="1"/>
    <x v="4"/>
    <s v="Divorced"/>
    <s v="No"/>
    <x v="3"/>
    <n v="6"/>
    <s v="Bachelor's Degree"/>
    <n v="3"/>
    <n v="2"/>
    <x v="0"/>
    <n v="7725"/>
    <n v="15"/>
    <x v="0"/>
    <x v="20"/>
    <n v="11"/>
    <n v="4"/>
    <n v="7"/>
    <n v="0"/>
  </r>
  <r>
    <n v="511"/>
    <x v="1"/>
    <x v="0"/>
    <x v="1"/>
    <x v="2"/>
    <s v="Medical"/>
    <n v="1"/>
    <x v="1"/>
    <x v="8"/>
    <s v="Married"/>
    <s v="No"/>
    <x v="33"/>
    <n v="19"/>
    <s v="Master's Degree"/>
    <n v="3"/>
    <n v="3"/>
    <x v="1"/>
    <n v="10725"/>
    <n v="16"/>
    <x v="3"/>
    <x v="7"/>
    <n v="7"/>
    <n v="7"/>
    <n v="1"/>
    <n v="0"/>
  </r>
  <r>
    <n v="512"/>
    <x v="1"/>
    <x v="0"/>
    <x v="0"/>
    <x v="1"/>
    <s v="Medical"/>
    <n v="1"/>
    <x v="1"/>
    <x v="3"/>
    <s v="Divorced"/>
    <s v="Yes"/>
    <x v="9"/>
    <n v="9"/>
    <s v="Associates Degree"/>
    <n v="2"/>
    <n v="2"/>
    <x v="1"/>
    <n v="8847"/>
    <n v="13"/>
    <x v="1"/>
    <x v="11"/>
    <n v="2"/>
    <n v="0"/>
    <n v="2"/>
    <n v="0"/>
  </r>
  <r>
    <n v="513"/>
    <x v="1"/>
    <x v="0"/>
    <x v="2"/>
    <x v="1"/>
    <s v="Medical"/>
    <n v="1"/>
    <x v="1"/>
    <x v="1"/>
    <s v="Single"/>
    <s v="No"/>
    <x v="4"/>
    <n v="3"/>
    <s v="Master's Degree"/>
    <n v="1"/>
    <n v="1"/>
    <x v="0"/>
    <n v="2045"/>
    <n v="5"/>
    <x v="1"/>
    <x v="9"/>
    <n v="2"/>
    <n v="1"/>
    <n v="1"/>
    <n v="0"/>
  </r>
  <r>
    <n v="514"/>
    <x v="0"/>
    <x v="0"/>
    <x v="4"/>
    <x v="1"/>
    <s v="Medical"/>
    <n v="1"/>
    <x v="1"/>
    <x v="1"/>
    <s v="Single"/>
    <s v="Yes"/>
    <x v="35"/>
    <n v="10"/>
    <s v="High School"/>
    <n v="4"/>
    <n v="1"/>
    <x v="2"/>
    <n v="1009"/>
    <n v="1"/>
    <x v="1"/>
    <x v="6"/>
    <n v="0"/>
    <n v="1"/>
    <n v="1"/>
    <n v="1"/>
  </r>
  <r>
    <n v="515"/>
    <x v="0"/>
    <x v="1"/>
    <x v="2"/>
    <x v="1"/>
    <s v="Life Sciences"/>
    <n v="1"/>
    <x v="1"/>
    <x v="1"/>
    <s v="Single"/>
    <s v="Yes"/>
    <x v="3"/>
    <n v="3"/>
    <s v="Bachelor's Degree"/>
    <n v="1"/>
    <n v="1"/>
    <x v="3"/>
    <n v="3348"/>
    <n v="10"/>
    <x v="1"/>
    <x v="1"/>
    <n v="8"/>
    <n v="9"/>
    <n v="7"/>
    <n v="1"/>
  </r>
  <r>
    <n v="516"/>
    <x v="1"/>
    <x v="2"/>
    <x v="0"/>
    <x v="1"/>
    <s v="Life Sciences"/>
    <n v="1"/>
    <x v="1"/>
    <x v="2"/>
    <s v="Married"/>
    <s v="No"/>
    <x v="10"/>
    <n v="3"/>
    <s v="Bachelor's Degree"/>
    <n v="3"/>
    <n v="1"/>
    <x v="2"/>
    <n v="1281"/>
    <n v="1"/>
    <x v="1"/>
    <x v="6"/>
    <n v="0"/>
    <n v="0"/>
    <n v="0"/>
    <n v="0"/>
  </r>
  <r>
    <n v="517"/>
    <x v="1"/>
    <x v="0"/>
    <x v="4"/>
    <x v="1"/>
    <s v="Medical"/>
    <n v="1"/>
    <x v="1"/>
    <x v="1"/>
    <s v="Married"/>
    <s v="No"/>
    <x v="30"/>
    <n v="4"/>
    <s v="Bachelor's Degree"/>
    <n v="1"/>
    <n v="1"/>
    <x v="3"/>
    <n v="2819"/>
    <n v="5"/>
    <x v="3"/>
    <x v="11"/>
    <n v="2"/>
    <n v="0"/>
    <n v="2"/>
    <n v="0"/>
  </r>
  <r>
    <n v="518"/>
    <x v="1"/>
    <x v="0"/>
    <x v="2"/>
    <x v="0"/>
    <s v="Life Sciences"/>
    <n v="1"/>
    <x v="1"/>
    <x v="0"/>
    <s v="Married"/>
    <s v="No"/>
    <x v="36"/>
    <n v="8"/>
    <s v="Bachelor's Degree"/>
    <n v="4"/>
    <n v="2"/>
    <x v="1"/>
    <n v="4851"/>
    <n v="4"/>
    <x v="1"/>
    <x v="11"/>
    <n v="2"/>
    <n v="1"/>
    <n v="2"/>
    <n v="0"/>
  </r>
  <r>
    <n v="519"/>
    <x v="1"/>
    <x v="0"/>
    <x v="0"/>
    <x v="0"/>
    <s v="Marketing"/>
    <n v="1"/>
    <x v="0"/>
    <x v="0"/>
    <s v="Single"/>
    <s v="No"/>
    <x v="8"/>
    <n v="7"/>
    <s v="Master's Degree"/>
    <n v="4"/>
    <n v="2"/>
    <x v="0"/>
    <n v="4028"/>
    <n v="8"/>
    <x v="1"/>
    <x v="5"/>
    <n v="7"/>
    <n v="0"/>
    <n v="5"/>
    <n v="0"/>
  </r>
  <r>
    <n v="520"/>
    <x v="1"/>
    <x v="1"/>
    <x v="2"/>
    <x v="1"/>
    <s v="Life Sciences"/>
    <n v="1"/>
    <x v="1"/>
    <x v="1"/>
    <s v="Divorced"/>
    <s v="No"/>
    <x v="11"/>
    <n v="1"/>
    <s v="Master's Degree"/>
    <n v="2"/>
    <n v="1"/>
    <x v="0"/>
    <n v="2720"/>
    <n v="10"/>
    <x v="1"/>
    <x v="1"/>
    <n v="7"/>
    <n v="2"/>
    <n v="8"/>
    <n v="0"/>
  </r>
  <r>
    <n v="521"/>
    <x v="1"/>
    <x v="0"/>
    <x v="1"/>
    <x v="0"/>
    <s v="Marketing"/>
    <n v="1"/>
    <x v="1"/>
    <x v="0"/>
    <s v="Married"/>
    <s v="No"/>
    <x v="26"/>
    <n v="2"/>
    <s v="High School"/>
    <n v="2"/>
    <n v="2"/>
    <x v="1"/>
    <n v="8120"/>
    <n v="12"/>
    <x v="1"/>
    <x v="4"/>
    <n v="2"/>
    <n v="2"/>
    <n v="2"/>
    <n v="0"/>
  </r>
  <r>
    <n v="522"/>
    <x v="1"/>
    <x v="1"/>
    <x v="2"/>
    <x v="0"/>
    <s v="Medical"/>
    <n v="1"/>
    <x v="0"/>
    <x v="0"/>
    <s v="Divorced"/>
    <s v="Yes"/>
    <x v="4"/>
    <n v="3"/>
    <s v="High School"/>
    <n v="4"/>
    <n v="2"/>
    <x v="0"/>
    <n v="4647"/>
    <n v="6"/>
    <x v="1"/>
    <x v="0"/>
    <n v="5"/>
    <n v="0"/>
    <n v="4"/>
    <n v="0"/>
  </r>
  <r>
    <n v="523"/>
    <x v="1"/>
    <x v="0"/>
    <x v="0"/>
    <x v="1"/>
    <s v="Life Sciences"/>
    <n v="1"/>
    <x v="1"/>
    <x v="1"/>
    <s v="Single"/>
    <s v="No"/>
    <x v="2"/>
    <n v="10"/>
    <s v="Associates Degree"/>
    <n v="4"/>
    <n v="1"/>
    <x v="0"/>
    <n v="4680"/>
    <n v="4"/>
    <x v="1"/>
    <x v="6"/>
    <n v="0"/>
    <n v="0"/>
    <n v="0"/>
    <n v="0"/>
  </r>
  <r>
    <n v="524"/>
    <x v="1"/>
    <x v="0"/>
    <x v="1"/>
    <x v="1"/>
    <s v="Medical"/>
    <n v="1"/>
    <x v="1"/>
    <x v="2"/>
    <s v="Married"/>
    <s v="Yes"/>
    <x v="24"/>
    <n v="28"/>
    <s v="High School"/>
    <n v="4"/>
    <n v="1"/>
    <x v="2"/>
    <n v="3221"/>
    <n v="20"/>
    <x v="1"/>
    <x v="23"/>
    <n v="8"/>
    <n v="3"/>
    <n v="8"/>
    <n v="0"/>
  </r>
  <r>
    <n v="525"/>
    <x v="1"/>
    <x v="0"/>
    <x v="2"/>
    <x v="1"/>
    <s v="Medical"/>
    <n v="1"/>
    <x v="0"/>
    <x v="4"/>
    <s v="Single"/>
    <s v="No"/>
    <x v="13"/>
    <n v="9"/>
    <s v="Bachelor's Degree"/>
    <n v="4"/>
    <n v="3"/>
    <x v="1"/>
    <n v="8621"/>
    <n v="9"/>
    <x v="3"/>
    <x v="3"/>
    <n v="7"/>
    <n v="7"/>
    <n v="7"/>
    <n v="0"/>
  </r>
  <r>
    <n v="526"/>
    <x v="0"/>
    <x v="0"/>
    <x v="4"/>
    <x v="0"/>
    <s v="Life Sciences"/>
    <n v="1"/>
    <x v="0"/>
    <x v="0"/>
    <s v="Single"/>
    <s v="No"/>
    <x v="17"/>
    <n v="3"/>
    <s v="Associates Degree"/>
    <n v="1"/>
    <n v="2"/>
    <x v="2"/>
    <n v="4577"/>
    <n v="4"/>
    <x v="1"/>
    <x v="4"/>
    <n v="2"/>
    <n v="2"/>
    <n v="0"/>
    <n v="1"/>
  </r>
  <r>
    <n v="527"/>
    <x v="1"/>
    <x v="0"/>
    <x v="0"/>
    <x v="1"/>
    <s v="Technical Degree"/>
    <n v="1"/>
    <x v="0"/>
    <x v="4"/>
    <s v="Single"/>
    <s v="No"/>
    <x v="22"/>
    <n v="2"/>
    <s v="Master's Degree"/>
    <n v="4"/>
    <n v="2"/>
    <x v="2"/>
    <n v="4553"/>
    <n v="20"/>
    <x v="1"/>
    <x v="23"/>
    <n v="7"/>
    <n v="11"/>
    <n v="10"/>
    <n v="0"/>
  </r>
  <r>
    <n v="528"/>
    <x v="1"/>
    <x v="0"/>
    <x v="2"/>
    <x v="0"/>
    <s v="Marketing"/>
    <n v="1"/>
    <x v="1"/>
    <x v="0"/>
    <s v="Single"/>
    <s v="No"/>
    <x v="5"/>
    <n v="10"/>
    <s v="Bachelor's Degree"/>
    <n v="4"/>
    <n v="2"/>
    <x v="0"/>
    <n v="5396"/>
    <n v="10"/>
    <x v="2"/>
    <x v="1"/>
    <n v="7"/>
    <n v="0"/>
    <n v="8"/>
    <n v="0"/>
  </r>
  <r>
    <n v="529"/>
    <x v="0"/>
    <x v="1"/>
    <x v="1"/>
    <x v="0"/>
    <s v="Technical Degree"/>
    <n v="1"/>
    <x v="1"/>
    <x v="0"/>
    <s v="Married"/>
    <s v="Yes"/>
    <x v="24"/>
    <n v="8"/>
    <s v="Associates Degree"/>
    <n v="2"/>
    <n v="2"/>
    <x v="2"/>
    <n v="6796"/>
    <n v="18"/>
    <x v="1"/>
    <x v="9"/>
    <n v="3"/>
    <n v="1"/>
    <n v="3"/>
    <n v="1"/>
  </r>
  <r>
    <n v="530"/>
    <x v="1"/>
    <x v="0"/>
    <x v="0"/>
    <x v="1"/>
    <s v="Life Sciences"/>
    <n v="1"/>
    <x v="0"/>
    <x v="4"/>
    <s v="Single"/>
    <s v="No"/>
    <x v="8"/>
    <n v="1"/>
    <s v="Master's Degree"/>
    <n v="2"/>
    <n v="2"/>
    <x v="0"/>
    <n v="7625"/>
    <n v="10"/>
    <x v="2"/>
    <x v="7"/>
    <n v="7"/>
    <n v="1"/>
    <n v="8"/>
    <n v="0"/>
  </r>
  <r>
    <n v="531"/>
    <x v="1"/>
    <x v="0"/>
    <x v="2"/>
    <x v="1"/>
    <s v="Life Sciences"/>
    <n v="1"/>
    <x v="0"/>
    <x v="3"/>
    <s v="Married"/>
    <s v="No"/>
    <x v="4"/>
    <n v="1"/>
    <s v="Associates Degree"/>
    <n v="3"/>
    <n v="3"/>
    <x v="3"/>
    <n v="7412"/>
    <n v="9"/>
    <x v="1"/>
    <x v="7"/>
    <n v="7"/>
    <n v="0"/>
    <n v="7"/>
    <n v="0"/>
  </r>
  <r>
    <n v="532"/>
    <x v="1"/>
    <x v="0"/>
    <x v="2"/>
    <x v="1"/>
    <s v="Life Sciences"/>
    <n v="1"/>
    <x v="0"/>
    <x v="7"/>
    <s v="Single"/>
    <s v="No"/>
    <x v="5"/>
    <n v="3"/>
    <s v="Associates Degree"/>
    <n v="3"/>
    <n v="3"/>
    <x v="0"/>
    <n v="11159"/>
    <n v="10"/>
    <x v="1"/>
    <x v="5"/>
    <n v="7"/>
    <n v="7"/>
    <n v="7"/>
    <n v="0"/>
  </r>
  <r>
    <n v="533"/>
    <x v="1"/>
    <x v="0"/>
    <x v="1"/>
    <x v="0"/>
    <s v="Marketing"/>
    <n v="1"/>
    <x v="1"/>
    <x v="0"/>
    <s v="Single"/>
    <s v="No"/>
    <x v="40"/>
    <n v="14"/>
    <s v="Master's Degree"/>
    <n v="4"/>
    <n v="2"/>
    <x v="3"/>
    <n v="4960"/>
    <n v="20"/>
    <x v="1"/>
    <x v="5"/>
    <n v="7"/>
    <n v="1"/>
    <n v="7"/>
    <n v="0"/>
  </r>
  <r>
    <n v="534"/>
    <x v="1"/>
    <x v="1"/>
    <x v="0"/>
    <x v="0"/>
    <s v="Life Sciences"/>
    <n v="1"/>
    <x v="1"/>
    <x v="0"/>
    <s v="Married"/>
    <s v="Yes"/>
    <x v="32"/>
    <n v="5"/>
    <s v="Master's Degree"/>
    <n v="4"/>
    <n v="3"/>
    <x v="3"/>
    <n v="10475"/>
    <n v="20"/>
    <x v="1"/>
    <x v="29"/>
    <n v="13"/>
    <n v="1"/>
    <n v="12"/>
    <n v="0"/>
  </r>
  <r>
    <n v="535"/>
    <x v="1"/>
    <x v="0"/>
    <x v="1"/>
    <x v="1"/>
    <s v="Life Sciences"/>
    <n v="1"/>
    <x v="1"/>
    <x v="7"/>
    <s v="Married"/>
    <s v="No"/>
    <x v="16"/>
    <n v="7"/>
    <s v="Bachelor's Degree"/>
    <n v="3"/>
    <n v="4"/>
    <x v="2"/>
    <n v="14814"/>
    <n v="32"/>
    <x v="1"/>
    <x v="8"/>
    <n v="1"/>
    <n v="1"/>
    <n v="3"/>
    <n v="0"/>
  </r>
  <r>
    <n v="536"/>
    <x v="1"/>
    <x v="0"/>
    <x v="0"/>
    <x v="2"/>
    <s v="Human Resources"/>
    <n v="1"/>
    <x v="1"/>
    <x v="5"/>
    <s v="Divorced"/>
    <s v="No"/>
    <x v="0"/>
    <n v="10"/>
    <s v="Master's Degree"/>
    <n v="2"/>
    <n v="5"/>
    <x v="0"/>
    <n v="19141"/>
    <n v="23"/>
    <x v="2"/>
    <x v="17"/>
    <n v="6"/>
    <n v="12"/>
    <n v="6"/>
    <n v="0"/>
  </r>
  <r>
    <n v="537"/>
    <x v="1"/>
    <x v="0"/>
    <x v="3"/>
    <x v="0"/>
    <s v="Marketing"/>
    <n v="1"/>
    <x v="1"/>
    <x v="0"/>
    <s v="Single"/>
    <s v="No"/>
    <x v="42"/>
    <n v="16"/>
    <s v="Master's Degree"/>
    <n v="1"/>
    <n v="2"/>
    <x v="3"/>
    <n v="5405"/>
    <n v="10"/>
    <x v="1"/>
    <x v="4"/>
    <n v="2"/>
    <n v="2"/>
    <n v="2"/>
    <n v="0"/>
  </r>
  <r>
    <n v="538"/>
    <x v="1"/>
    <x v="1"/>
    <x v="2"/>
    <x v="1"/>
    <s v="Life Sciences"/>
    <n v="1"/>
    <x v="1"/>
    <x v="3"/>
    <s v="Divorced"/>
    <s v="No"/>
    <x v="4"/>
    <n v="10"/>
    <s v="Associates Degree"/>
    <n v="4"/>
    <n v="3"/>
    <x v="3"/>
    <n v="8793"/>
    <n v="9"/>
    <x v="2"/>
    <x v="7"/>
    <n v="7"/>
    <n v="1"/>
    <n v="7"/>
    <n v="0"/>
  </r>
  <r>
    <n v="539"/>
    <x v="1"/>
    <x v="0"/>
    <x v="0"/>
    <x v="2"/>
    <s v="Human Resources"/>
    <n v="1"/>
    <x v="1"/>
    <x v="5"/>
    <s v="Married"/>
    <s v="No"/>
    <x v="0"/>
    <n v="1"/>
    <s v="Bachelor's Degree"/>
    <n v="4"/>
    <n v="5"/>
    <x v="2"/>
    <n v="19189"/>
    <n v="22"/>
    <x v="1"/>
    <x v="14"/>
    <n v="7"/>
    <n v="2"/>
    <n v="10"/>
    <n v="0"/>
  </r>
  <r>
    <n v="540"/>
    <x v="1"/>
    <x v="0"/>
    <x v="1"/>
    <x v="0"/>
    <s v="Marketing"/>
    <n v="1"/>
    <x v="1"/>
    <x v="6"/>
    <s v="Married"/>
    <s v="No"/>
    <x v="24"/>
    <n v="8"/>
    <s v="Master's Degree"/>
    <n v="4"/>
    <n v="1"/>
    <x v="1"/>
    <n v="3875"/>
    <n v="4"/>
    <x v="1"/>
    <x v="4"/>
    <n v="2"/>
    <n v="2"/>
    <n v="2"/>
    <n v="0"/>
  </r>
  <r>
    <n v="541"/>
    <x v="0"/>
    <x v="0"/>
    <x v="2"/>
    <x v="1"/>
    <s v="Life Sciences"/>
    <n v="1"/>
    <x v="0"/>
    <x v="1"/>
    <s v="Single"/>
    <s v="Yes"/>
    <x v="14"/>
    <n v="1"/>
    <s v="Associates Degree"/>
    <n v="1"/>
    <n v="1"/>
    <x v="1"/>
    <n v="2216"/>
    <n v="10"/>
    <x v="1"/>
    <x v="5"/>
    <n v="7"/>
    <n v="3"/>
    <n v="7"/>
    <n v="1"/>
  </r>
  <r>
    <n v="542"/>
    <x v="1"/>
    <x v="2"/>
    <x v="0"/>
    <x v="1"/>
    <s v="Life Sciences"/>
    <n v="1"/>
    <x v="0"/>
    <x v="7"/>
    <s v="Married"/>
    <s v="No"/>
    <x v="9"/>
    <n v="8"/>
    <s v="Bachelor's Degree"/>
    <n v="1"/>
    <n v="3"/>
    <x v="3"/>
    <n v="11713"/>
    <n v="10"/>
    <x v="1"/>
    <x v="3"/>
    <n v="7"/>
    <n v="0"/>
    <n v="5"/>
    <n v="0"/>
  </r>
  <r>
    <n v="543"/>
    <x v="1"/>
    <x v="0"/>
    <x v="0"/>
    <x v="1"/>
    <s v="Life Sciences"/>
    <n v="1"/>
    <x v="0"/>
    <x v="3"/>
    <s v="Single"/>
    <s v="Yes"/>
    <x v="8"/>
    <n v="1"/>
    <s v="Bachelor's Degree"/>
    <n v="3"/>
    <n v="3"/>
    <x v="2"/>
    <n v="7861"/>
    <n v="10"/>
    <x v="3"/>
    <x v="6"/>
    <n v="0"/>
    <n v="0"/>
    <n v="0"/>
    <n v="0"/>
  </r>
  <r>
    <n v="544"/>
    <x v="1"/>
    <x v="2"/>
    <x v="0"/>
    <x v="1"/>
    <s v="Medical"/>
    <n v="1"/>
    <x v="1"/>
    <x v="2"/>
    <s v="Single"/>
    <s v="No"/>
    <x v="20"/>
    <n v="24"/>
    <s v="Bachelor's Degree"/>
    <n v="1"/>
    <n v="1"/>
    <x v="2"/>
    <n v="3708"/>
    <n v="9"/>
    <x v="1"/>
    <x v="8"/>
    <n v="2"/>
    <n v="1"/>
    <n v="4"/>
    <n v="0"/>
  </r>
  <r>
    <n v="545"/>
    <x v="1"/>
    <x v="1"/>
    <x v="1"/>
    <x v="0"/>
    <s v="Medical"/>
    <n v="1"/>
    <x v="0"/>
    <x v="0"/>
    <s v="Divorced"/>
    <s v="Yes"/>
    <x v="40"/>
    <n v="3"/>
    <s v="Bachelor's Degree"/>
    <n v="4"/>
    <n v="4"/>
    <x v="2"/>
    <n v="13770"/>
    <n v="28"/>
    <x v="2"/>
    <x v="14"/>
    <n v="2"/>
    <n v="11"/>
    <n v="13"/>
    <n v="0"/>
  </r>
  <r>
    <n v="546"/>
    <x v="1"/>
    <x v="0"/>
    <x v="2"/>
    <x v="0"/>
    <s v="Marketing"/>
    <n v="1"/>
    <x v="1"/>
    <x v="0"/>
    <s v="Divorced"/>
    <s v="No"/>
    <x v="7"/>
    <n v="27"/>
    <s v="Doctoral Degree"/>
    <n v="3"/>
    <n v="2"/>
    <x v="0"/>
    <n v="5304"/>
    <n v="10"/>
    <x v="2"/>
    <x v="3"/>
    <n v="7"/>
    <n v="7"/>
    <n v="7"/>
    <n v="0"/>
  </r>
  <r>
    <n v="547"/>
    <x v="1"/>
    <x v="0"/>
    <x v="2"/>
    <x v="0"/>
    <s v="Life Sciences"/>
    <n v="1"/>
    <x v="1"/>
    <x v="6"/>
    <s v="Single"/>
    <s v="No"/>
    <x v="11"/>
    <n v="10"/>
    <s v="Bachelor's Degree"/>
    <n v="3"/>
    <n v="1"/>
    <x v="2"/>
    <n v="2642"/>
    <n v="1"/>
    <x v="1"/>
    <x v="6"/>
    <n v="0"/>
    <n v="0"/>
    <n v="0"/>
    <n v="0"/>
  </r>
  <r>
    <n v="548"/>
    <x v="0"/>
    <x v="1"/>
    <x v="0"/>
    <x v="1"/>
    <s v="Medical"/>
    <n v="1"/>
    <x v="1"/>
    <x v="1"/>
    <s v="Divorced"/>
    <s v="Yes"/>
    <x v="19"/>
    <n v="19"/>
    <s v="Bachelor's Degree"/>
    <n v="3"/>
    <n v="1"/>
    <x v="2"/>
    <n v="2759"/>
    <n v="7"/>
    <x v="1"/>
    <x v="4"/>
    <n v="2"/>
    <n v="2"/>
    <n v="2"/>
    <n v="1"/>
  </r>
  <r>
    <n v="549"/>
    <x v="1"/>
    <x v="1"/>
    <x v="0"/>
    <x v="0"/>
    <s v="Life Sciences"/>
    <n v="1"/>
    <x v="1"/>
    <x v="0"/>
    <s v="Married"/>
    <s v="No"/>
    <x v="23"/>
    <n v="15"/>
    <s v="Bachelor's Degree"/>
    <n v="4"/>
    <n v="2"/>
    <x v="0"/>
    <n v="6804"/>
    <n v="7"/>
    <x v="1"/>
    <x v="4"/>
    <n v="2"/>
    <n v="2"/>
    <n v="2"/>
    <n v="0"/>
  </r>
  <r>
    <n v="550"/>
    <x v="1"/>
    <x v="0"/>
    <x v="2"/>
    <x v="1"/>
    <s v="Medical"/>
    <n v="1"/>
    <x v="0"/>
    <x v="4"/>
    <s v="Single"/>
    <s v="No"/>
    <x v="13"/>
    <n v="8"/>
    <s v="Associates Degree"/>
    <n v="2"/>
    <n v="2"/>
    <x v="2"/>
    <n v="6142"/>
    <n v="10"/>
    <x v="1"/>
    <x v="8"/>
    <n v="1"/>
    <n v="4"/>
    <n v="3"/>
    <n v="0"/>
  </r>
  <r>
    <n v="551"/>
    <x v="1"/>
    <x v="0"/>
    <x v="4"/>
    <x v="1"/>
    <s v="Medical"/>
    <n v="1"/>
    <x v="1"/>
    <x v="2"/>
    <s v="Married"/>
    <s v="No"/>
    <x v="30"/>
    <n v="9"/>
    <s v="High School"/>
    <n v="2"/>
    <n v="1"/>
    <x v="3"/>
    <n v="2500"/>
    <n v="5"/>
    <x v="3"/>
    <x v="9"/>
    <n v="3"/>
    <n v="0"/>
    <n v="2"/>
    <n v="0"/>
  </r>
  <r>
    <n v="552"/>
    <x v="1"/>
    <x v="0"/>
    <x v="0"/>
    <x v="2"/>
    <s v="Human Resources"/>
    <n v="1"/>
    <x v="0"/>
    <x v="8"/>
    <s v="Married"/>
    <s v="No"/>
    <x v="22"/>
    <n v="3"/>
    <s v="Bachelor's Degree"/>
    <n v="3"/>
    <n v="2"/>
    <x v="1"/>
    <n v="6389"/>
    <n v="12"/>
    <x v="0"/>
    <x v="3"/>
    <n v="3"/>
    <n v="3"/>
    <n v="6"/>
    <n v="0"/>
  </r>
  <r>
    <n v="553"/>
    <x v="1"/>
    <x v="0"/>
    <x v="3"/>
    <x v="1"/>
    <s v="Medical"/>
    <n v="1"/>
    <x v="1"/>
    <x v="4"/>
    <s v="Married"/>
    <s v="No"/>
    <x v="29"/>
    <n v="9"/>
    <s v="Bachelor's Degree"/>
    <n v="3"/>
    <n v="4"/>
    <x v="0"/>
    <n v="11103"/>
    <n v="30"/>
    <x v="2"/>
    <x v="1"/>
    <n v="7"/>
    <n v="1"/>
    <n v="1"/>
    <n v="0"/>
  </r>
  <r>
    <n v="554"/>
    <x v="1"/>
    <x v="0"/>
    <x v="0"/>
    <x v="1"/>
    <s v="Medical"/>
    <n v="1"/>
    <x v="0"/>
    <x v="1"/>
    <s v="Single"/>
    <s v="Yes"/>
    <x v="32"/>
    <n v="2"/>
    <s v="High School"/>
    <n v="4"/>
    <n v="1"/>
    <x v="0"/>
    <n v="2342"/>
    <n v="5"/>
    <x v="2"/>
    <x v="9"/>
    <n v="2"/>
    <n v="2"/>
    <n v="3"/>
    <n v="0"/>
  </r>
  <r>
    <n v="555"/>
    <x v="1"/>
    <x v="0"/>
    <x v="2"/>
    <x v="1"/>
    <s v="Medical"/>
    <n v="1"/>
    <x v="0"/>
    <x v="4"/>
    <s v="Single"/>
    <s v="No"/>
    <x v="4"/>
    <n v="7"/>
    <s v="Bachelor's Degree"/>
    <n v="4"/>
    <n v="2"/>
    <x v="3"/>
    <n v="6811"/>
    <n v="9"/>
    <x v="0"/>
    <x v="5"/>
    <n v="6"/>
    <n v="0"/>
    <n v="7"/>
    <n v="0"/>
  </r>
  <r>
    <n v="556"/>
    <x v="1"/>
    <x v="0"/>
    <x v="2"/>
    <x v="0"/>
    <s v="Marketing"/>
    <n v="1"/>
    <x v="1"/>
    <x v="6"/>
    <s v="Divorced"/>
    <s v="No"/>
    <x v="11"/>
    <n v="10"/>
    <s v="Bachelor's Degree"/>
    <n v="4"/>
    <n v="1"/>
    <x v="1"/>
    <n v="2297"/>
    <n v="2"/>
    <x v="1"/>
    <x v="4"/>
    <n v="2"/>
    <n v="2"/>
    <n v="2"/>
    <n v="0"/>
  </r>
  <r>
    <n v="557"/>
    <x v="1"/>
    <x v="0"/>
    <x v="1"/>
    <x v="1"/>
    <s v="Life Sciences"/>
    <n v="1"/>
    <x v="1"/>
    <x v="2"/>
    <s v="Single"/>
    <s v="No"/>
    <x v="16"/>
    <n v="6"/>
    <s v="Bachelor's Degree"/>
    <n v="4"/>
    <n v="2"/>
    <x v="0"/>
    <n v="2450"/>
    <n v="19"/>
    <x v="1"/>
    <x v="4"/>
    <n v="2"/>
    <n v="2"/>
    <n v="2"/>
    <n v="0"/>
  </r>
  <r>
    <n v="558"/>
    <x v="1"/>
    <x v="2"/>
    <x v="0"/>
    <x v="1"/>
    <s v="Life Sciences"/>
    <n v="1"/>
    <x v="0"/>
    <x v="4"/>
    <s v="Divorced"/>
    <s v="No"/>
    <x v="10"/>
    <n v="2"/>
    <s v="Master's Degree"/>
    <n v="4"/>
    <n v="2"/>
    <x v="3"/>
    <n v="5093"/>
    <n v="16"/>
    <x v="3"/>
    <x v="6"/>
    <n v="0"/>
    <n v="0"/>
    <n v="0"/>
    <n v="0"/>
  </r>
  <r>
    <n v="559"/>
    <x v="1"/>
    <x v="1"/>
    <x v="2"/>
    <x v="1"/>
    <s v="Life Sciences"/>
    <n v="1"/>
    <x v="1"/>
    <x v="2"/>
    <s v="Married"/>
    <s v="No"/>
    <x v="5"/>
    <n v="24"/>
    <s v="Master's Degree"/>
    <n v="1"/>
    <n v="2"/>
    <x v="0"/>
    <n v="5309"/>
    <n v="10"/>
    <x v="1"/>
    <x v="1"/>
    <n v="8"/>
    <n v="4"/>
    <n v="7"/>
    <n v="0"/>
  </r>
  <r>
    <n v="560"/>
    <x v="1"/>
    <x v="0"/>
    <x v="0"/>
    <x v="1"/>
    <s v="Medical"/>
    <n v="1"/>
    <x v="1"/>
    <x v="1"/>
    <s v="Married"/>
    <s v="Yes"/>
    <x v="8"/>
    <n v="2"/>
    <s v="Doctoral Degree"/>
    <n v="4"/>
    <n v="1"/>
    <x v="2"/>
    <n v="3057"/>
    <n v="6"/>
    <x v="0"/>
    <x v="6"/>
    <n v="0"/>
    <n v="0"/>
    <n v="1"/>
    <n v="0"/>
  </r>
  <r>
    <n v="561"/>
    <x v="1"/>
    <x v="0"/>
    <x v="2"/>
    <x v="1"/>
    <s v="Life Sciences"/>
    <n v="1"/>
    <x v="0"/>
    <x v="3"/>
    <s v="Divorced"/>
    <s v="No"/>
    <x v="13"/>
    <n v="8"/>
    <s v="Doctoral Degree"/>
    <n v="2"/>
    <n v="2"/>
    <x v="3"/>
    <n v="5121"/>
    <n v="7"/>
    <x v="1"/>
    <x v="2"/>
    <n v="0"/>
    <n v="0"/>
    <n v="0"/>
    <n v="0"/>
  </r>
  <r>
    <n v="562"/>
    <x v="1"/>
    <x v="0"/>
    <x v="1"/>
    <x v="0"/>
    <s v="Marketing"/>
    <n v="1"/>
    <x v="1"/>
    <x v="5"/>
    <s v="Married"/>
    <s v="No"/>
    <x v="39"/>
    <n v="3"/>
    <s v="Master's Degree"/>
    <n v="3"/>
    <n v="4"/>
    <x v="3"/>
    <n v="16856"/>
    <n v="34"/>
    <x v="3"/>
    <x v="33"/>
    <n v="6"/>
    <n v="1"/>
    <n v="16"/>
    <n v="0"/>
  </r>
  <r>
    <n v="563"/>
    <x v="0"/>
    <x v="0"/>
    <x v="2"/>
    <x v="1"/>
    <s v="Other"/>
    <n v="1"/>
    <x v="1"/>
    <x v="1"/>
    <s v="Single"/>
    <s v="Yes"/>
    <x v="3"/>
    <n v="1"/>
    <s v="Master's Degree"/>
    <n v="4"/>
    <n v="1"/>
    <x v="0"/>
    <n v="2686"/>
    <n v="10"/>
    <x v="2"/>
    <x v="1"/>
    <n v="9"/>
    <n v="7"/>
    <n v="8"/>
    <n v="1"/>
  </r>
  <r>
    <n v="564"/>
    <x v="1"/>
    <x v="0"/>
    <x v="2"/>
    <x v="0"/>
    <s v="Medical"/>
    <n v="1"/>
    <x v="0"/>
    <x v="0"/>
    <s v="Single"/>
    <s v="No"/>
    <x v="36"/>
    <n v="26"/>
    <s v="High School"/>
    <n v="3"/>
    <n v="2"/>
    <x v="0"/>
    <n v="6180"/>
    <n v="6"/>
    <x v="2"/>
    <x v="0"/>
    <n v="5"/>
    <n v="1"/>
    <n v="4"/>
    <n v="0"/>
  </r>
  <r>
    <n v="565"/>
    <x v="1"/>
    <x v="0"/>
    <x v="1"/>
    <x v="0"/>
    <s v="Technical Degree"/>
    <n v="1"/>
    <x v="1"/>
    <x v="6"/>
    <s v="Single"/>
    <s v="No"/>
    <x v="28"/>
    <n v="2"/>
    <s v="Associates Degree"/>
    <n v="2"/>
    <n v="2"/>
    <x v="2"/>
    <n v="6632"/>
    <n v="9"/>
    <x v="1"/>
    <x v="3"/>
    <n v="7"/>
    <n v="3"/>
    <n v="1"/>
    <n v="0"/>
  </r>
  <r>
    <n v="566"/>
    <x v="1"/>
    <x v="0"/>
    <x v="4"/>
    <x v="1"/>
    <s v="Medical"/>
    <n v="1"/>
    <x v="1"/>
    <x v="1"/>
    <s v="Single"/>
    <s v="No"/>
    <x v="30"/>
    <n v="10"/>
    <s v="High School"/>
    <n v="1"/>
    <n v="1"/>
    <x v="2"/>
    <n v="3505"/>
    <n v="2"/>
    <x v="1"/>
    <x v="4"/>
    <n v="2"/>
    <n v="0"/>
    <n v="2"/>
    <n v="0"/>
  </r>
  <r>
    <n v="567"/>
    <x v="0"/>
    <x v="1"/>
    <x v="1"/>
    <x v="0"/>
    <s v="Life Sciences"/>
    <n v="1"/>
    <x v="0"/>
    <x v="0"/>
    <s v="Single"/>
    <s v="Yes"/>
    <x v="40"/>
    <n v="27"/>
    <s v="Associates Degree"/>
    <n v="2"/>
    <n v="2"/>
    <x v="2"/>
    <n v="6397"/>
    <n v="8"/>
    <x v="1"/>
    <x v="8"/>
    <n v="4"/>
    <n v="1"/>
    <n v="3"/>
    <n v="1"/>
  </r>
  <r>
    <n v="568"/>
    <x v="1"/>
    <x v="0"/>
    <x v="2"/>
    <x v="0"/>
    <s v="Other"/>
    <n v="1"/>
    <x v="1"/>
    <x v="0"/>
    <s v="Single"/>
    <s v="No"/>
    <x v="13"/>
    <n v="2"/>
    <s v="Bachelor's Degree"/>
    <n v="4"/>
    <n v="2"/>
    <x v="0"/>
    <n v="6274"/>
    <n v="6"/>
    <x v="1"/>
    <x v="0"/>
    <n v="5"/>
    <n v="1"/>
    <n v="4"/>
    <n v="0"/>
  </r>
  <r>
    <n v="569"/>
    <x v="0"/>
    <x v="0"/>
    <x v="3"/>
    <x v="1"/>
    <s v="Medical"/>
    <n v="1"/>
    <x v="1"/>
    <x v="5"/>
    <s v="Married"/>
    <s v="Yes"/>
    <x v="27"/>
    <n v="2"/>
    <s v="Bachelor's Degree"/>
    <n v="4"/>
    <n v="5"/>
    <x v="3"/>
    <n v="19859"/>
    <n v="24"/>
    <x v="1"/>
    <x v="8"/>
    <n v="2"/>
    <n v="1"/>
    <n v="4"/>
    <n v="1"/>
  </r>
  <r>
    <n v="570"/>
    <x v="1"/>
    <x v="2"/>
    <x v="0"/>
    <x v="0"/>
    <s v="Life Sciences"/>
    <n v="1"/>
    <x v="1"/>
    <x v="0"/>
    <s v="Single"/>
    <s v="No"/>
    <x v="9"/>
    <n v="8"/>
    <s v="Master's Degree"/>
    <n v="1"/>
    <n v="3"/>
    <x v="3"/>
    <n v="7587"/>
    <n v="10"/>
    <x v="1"/>
    <x v="1"/>
    <n v="7"/>
    <n v="0"/>
    <n v="9"/>
    <n v="0"/>
  </r>
  <r>
    <n v="571"/>
    <x v="1"/>
    <x v="2"/>
    <x v="1"/>
    <x v="1"/>
    <s v="Medical"/>
    <n v="1"/>
    <x v="1"/>
    <x v="1"/>
    <s v="Married"/>
    <s v="No"/>
    <x v="39"/>
    <n v="19"/>
    <s v="Master's Degree"/>
    <n v="4"/>
    <n v="1"/>
    <x v="0"/>
    <n v="4258"/>
    <n v="5"/>
    <x v="1"/>
    <x v="9"/>
    <n v="3"/>
    <n v="1"/>
    <n v="2"/>
    <n v="0"/>
  </r>
  <r>
    <n v="572"/>
    <x v="1"/>
    <x v="1"/>
    <x v="2"/>
    <x v="1"/>
    <s v="Life Sciences"/>
    <n v="1"/>
    <x v="0"/>
    <x v="2"/>
    <s v="Divorced"/>
    <s v="No"/>
    <x v="25"/>
    <n v="1"/>
    <s v="Associates Degree"/>
    <n v="1"/>
    <n v="1"/>
    <x v="0"/>
    <n v="4364"/>
    <n v="5"/>
    <x v="1"/>
    <x v="4"/>
    <n v="2"/>
    <n v="2"/>
    <n v="0"/>
    <n v="0"/>
  </r>
  <r>
    <n v="573"/>
    <x v="1"/>
    <x v="0"/>
    <x v="2"/>
    <x v="1"/>
    <s v="Medical"/>
    <n v="1"/>
    <x v="0"/>
    <x v="4"/>
    <s v="Married"/>
    <s v="No"/>
    <x v="11"/>
    <n v="27"/>
    <s v="Bachelor's Degree"/>
    <n v="2"/>
    <n v="2"/>
    <x v="2"/>
    <n v="4335"/>
    <n v="11"/>
    <x v="2"/>
    <x v="3"/>
    <n v="7"/>
    <n v="1"/>
    <n v="1"/>
    <n v="0"/>
  </r>
  <r>
    <n v="574"/>
    <x v="0"/>
    <x v="0"/>
    <x v="2"/>
    <x v="0"/>
    <s v="Technical Degree"/>
    <n v="1"/>
    <x v="1"/>
    <x v="0"/>
    <s v="Single"/>
    <s v="No"/>
    <x v="25"/>
    <n v="8"/>
    <s v="Bachelor's Degree"/>
    <n v="4"/>
    <n v="2"/>
    <x v="3"/>
    <n v="5326"/>
    <n v="6"/>
    <x v="2"/>
    <x v="9"/>
    <n v="3"/>
    <n v="1"/>
    <n v="2"/>
    <n v="1"/>
  </r>
  <r>
    <n v="575"/>
    <x v="1"/>
    <x v="0"/>
    <x v="2"/>
    <x v="1"/>
    <s v="Life Sciences"/>
    <n v="1"/>
    <x v="0"/>
    <x v="1"/>
    <s v="Single"/>
    <s v="No"/>
    <x v="13"/>
    <n v="1"/>
    <s v="Master's Degree"/>
    <n v="2"/>
    <n v="1"/>
    <x v="0"/>
    <n v="3280"/>
    <n v="10"/>
    <x v="1"/>
    <x v="9"/>
    <n v="2"/>
    <n v="1"/>
    <n v="3"/>
    <n v="0"/>
  </r>
  <r>
    <n v="576"/>
    <x v="1"/>
    <x v="0"/>
    <x v="1"/>
    <x v="1"/>
    <s v="Medical"/>
    <n v="1"/>
    <x v="0"/>
    <x v="3"/>
    <s v="Divorced"/>
    <s v="Yes"/>
    <x v="33"/>
    <n v="19"/>
    <s v="Master's Degree"/>
    <n v="4"/>
    <n v="2"/>
    <x v="3"/>
    <n v="5485"/>
    <n v="9"/>
    <x v="1"/>
    <x v="8"/>
    <n v="3"/>
    <n v="1"/>
    <n v="4"/>
    <n v="0"/>
  </r>
  <r>
    <n v="577"/>
    <x v="1"/>
    <x v="1"/>
    <x v="2"/>
    <x v="0"/>
    <s v="Marketing"/>
    <n v="1"/>
    <x v="1"/>
    <x v="0"/>
    <s v="Married"/>
    <s v="No"/>
    <x v="4"/>
    <n v="8"/>
    <s v="High School"/>
    <n v="3"/>
    <n v="2"/>
    <x v="0"/>
    <n v="4342"/>
    <n v="5"/>
    <x v="1"/>
    <x v="9"/>
    <n v="2"/>
    <n v="1"/>
    <n v="1"/>
    <n v="0"/>
  </r>
  <r>
    <n v="578"/>
    <x v="1"/>
    <x v="0"/>
    <x v="0"/>
    <x v="1"/>
    <s v="Life Sciences"/>
    <n v="1"/>
    <x v="0"/>
    <x v="1"/>
    <s v="Divorced"/>
    <s v="Yes"/>
    <x v="2"/>
    <n v="10"/>
    <s v="High School"/>
    <n v="4"/>
    <n v="1"/>
    <x v="3"/>
    <n v="2782"/>
    <n v="6"/>
    <x v="2"/>
    <x v="8"/>
    <n v="3"/>
    <n v="4"/>
    <n v="3"/>
    <n v="0"/>
  </r>
  <r>
    <n v="579"/>
    <x v="1"/>
    <x v="1"/>
    <x v="0"/>
    <x v="1"/>
    <s v="Life Sciences"/>
    <n v="1"/>
    <x v="0"/>
    <x v="3"/>
    <s v="Single"/>
    <s v="Yes"/>
    <x v="8"/>
    <n v="2"/>
    <s v="Master's Degree"/>
    <n v="1"/>
    <n v="2"/>
    <x v="3"/>
    <n v="5980"/>
    <n v="17"/>
    <x v="1"/>
    <x v="15"/>
    <n v="7"/>
    <n v="4"/>
    <n v="12"/>
    <n v="0"/>
  </r>
  <r>
    <n v="580"/>
    <x v="1"/>
    <x v="0"/>
    <x v="2"/>
    <x v="1"/>
    <s v="Medical"/>
    <n v="1"/>
    <x v="0"/>
    <x v="1"/>
    <s v="Single"/>
    <s v="No"/>
    <x v="13"/>
    <n v="2"/>
    <s v="Master's Degree"/>
    <n v="3"/>
    <n v="1"/>
    <x v="3"/>
    <n v="4381"/>
    <n v="6"/>
    <x v="1"/>
    <x v="0"/>
    <n v="5"/>
    <n v="1"/>
    <n v="3"/>
    <n v="0"/>
  </r>
  <r>
    <n v="581"/>
    <x v="1"/>
    <x v="0"/>
    <x v="0"/>
    <x v="0"/>
    <s v="Life Sciences"/>
    <n v="1"/>
    <x v="0"/>
    <x v="6"/>
    <s v="Married"/>
    <s v="No"/>
    <x v="10"/>
    <n v="8"/>
    <s v="Master's Degree"/>
    <n v="1"/>
    <n v="1"/>
    <x v="0"/>
    <n v="2572"/>
    <n v="3"/>
    <x v="2"/>
    <x v="11"/>
    <n v="2"/>
    <n v="0"/>
    <n v="2"/>
    <n v="0"/>
  </r>
  <r>
    <n v="582"/>
    <x v="1"/>
    <x v="0"/>
    <x v="2"/>
    <x v="1"/>
    <s v="Life Sciences"/>
    <n v="1"/>
    <x v="1"/>
    <x v="2"/>
    <s v="Married"/>
    <s v="No"/>
    <x v="7"/>
    <n v="1"/>
    <s v="Bachelor's Degree"/>
    <n v="4"/>
    <n v="1"/>
    <x v="2"/>
    <n v="3833"/>
    <n v="7"/>
    <x v="1"/>
    <x v="4"/>
    <n v="2"/>
    <n v="0"/>
    <n v="2"/>
    <n v="0"/>
  </r>
  <r>
    <n v="583"/>
    <x v="1"/>
    <x v="1"/>
    <x v="0"/>
    <x v="1"/>
    <s v="Medical"/>
    <n v="1"/>
    <x v="0"/>
    <x v="4"/>
    <s v="Married"/>
    <s v="No"/>
    <x v="32"/>
    <n v="2"/>
    <s v="Associates Degree"/>
    <n v="3"/>
    <n v="2"/>
    <x v="1"/>
    <n v="4244"/>
    <n v="8"/>
    <x v="1"/>
    <x v="3"/>
    <n v="7"/>
    <n v="3"/>
    <n v="7"/>
    <n v="0"/>
  </r>
  <r>
    <n v="584"/>
    <x v="1"/>
    <x v="0"/>
    <x v="2"/>
    <x v="0"/>
    <s v="Life Sciences"/>
    <n v="1"/>
    <x v="0"/>
    <x v="0"/>
    <s v="Married"/>
    <s v="No"/>
    <x v="13"/>
    <n v="8"/>
    <s v="Associates Degree"/>
    <n v="3"/>
    <n v="2"/>
    <x v="3"/>
    <n v="6500"/>
    <n v="6"/>
    <x v="1"/>
    <x v="11"/>
    <n v="2"/>
    <n v="1"/>
    <n v="2"/>
    <n v="0"/>
  </r>
  <r>
    <n v="585"/>
    <x v="1"/>
    <x v="1"/>
    <x v="0"/>
    <x v="1"/>
    <s v="Life Sciences"/>
    <n v="1"/>
    <x v="1"/>
    <x v="5"/>
    <s v="Divorced"/>
    <s v="No"/>
    <x v="19"/>
    <n v="8"/>
    <s v="Bachelor's Degree"/>
    <n v="2"/>
    <n v="5"/>
    <x v="0"/>
    <n v="18430"/>
    <n v="24"/>
    <x v="2"/>
    <x v="25"/>
    <n v="7"/>
    <n v="14"/>
    <n v="9"/>
    <n v="0"/>
  </r>
  <r>
    <n v="586"/>
    <x v="0"/>
    <x v="0"/>
    <x v="4"/>
    <x v="1"/>
    <s v="Life Sciences"/>
    <n v="1"/>
    <x v="1"/>
    <x v="2"/>
    <s v="Married"/>
    <s v="Yes"/>
    <x v="30"/>
    <n v="6"/>
    <s v="Bachelor's Degree"/>
    <n v="3"/>
    <n v="1"/>
    <x v="3"/>
    <n v="1601"/>
    <n v="1"/>
    <x v="1"/>
    <x v="2"/>
    <n v="0"/>
    <n v="0"/>
    <n v="0"/>
    <n v="1"/>
  </r>
  <r>
    <n v="587"/>
    <x v="1"/>
    <x v="2"/>
    <x v="4"/>
    <x v="1"/>
    <s v="Life Sciences"/>
    <n v="1"/>
    <x v="1"/>
    <x v="2"/>
    <s v="Divorced"/>
    <s v="No"/>
    <x v="17"/>
    <n v="9"/>
    <s v="Bachelor's Degree"/>
    <n v="3"/>
    <n v="1"/>
    <x v="1"/>
    <n v="2694"/>
    <n v="1"/>
    <x v="1"/>
    <x v="6"/>
    <n v="0"/>
    <n v="0"/>
    <n v="0"/>
    <n v="0"/>
  </r>
  <r>
    <n v="588"/>
    <x v="1"/>
    <x v="0"/>
    <x v="1"/>
    <x v="1"/>
    <s v="Life Sciences"/>
    <n v="1"/>
    <x v="0"/>
    <x v="2"/>
    <s v="Married"/>
    <s v="No"/>
    <x v="39"/>
    <n v="11"/>
    <s v="Master's Degree"/>
    <n v="4"/>
    <n v="2"/>
    <x v="2"/>
    <n v="3149"/>
    <n v="9"/>
    <x v="1"/>
    <x v="8"/>
    <n v="2"/>
    <n v="1"/>
    <n v="4"/>
    <n v="0"/>
  </r>
  <r>
    <n v="589"/>
    <x v="1"/>
    <x v="0"/>
    <x v="1"/>
    <x v="1"/>
    <s v="Medical"/>
    <n v="1"/>
    <x v="1"/>
    <x v="7"/>
    <s v="Married"/>
    <s v="No"/>
    <x v="24"/>
    <n v="2"/>
    <s v="Bachelor's Degree"/>
    <n v="3"/>
    <n v="4"/>
    <x v="2"/>
    <n v="17639"/>
    <n v="30"/>
    <x v="1"/>
    <x v="9"/>
    <n v="3"/>
    <n v="0"/>
    <n v="3"/>
    <n v="0"/>
  </r>
  <r>
    <n v="590"/>
    <x v="0"/>
    <x v="0"/>
    <x v="2"/>
    <x v="1"/>
    <s v="Life Sciences"/>
    <n v="1"/>
    <x v="0"/>
    <x v="2"/>
    <s v="Married"/>
    <s v="Yes"/>
    <x v="11"/>
    <n v="1"/>
    <s v="Associates Degree"/>
    <n v="2"/>
    <n v="1"/>
    <x v="3"/>
    <n v="2319"/>
    <n v="1"/>
    <x v="1"/>
    <x v="6"/>
    <n v="0"/>
    <n v="0"/>
    <n v="0"/>
    <n v="1"/>
  </r>
  <r>
    <n v="591"/>
    <x v="1"/>
    <x v="0"/>
    <x v="2"/>
    <x v="1"/>
    <s v="Medical"/>
    <n v="1"/>
    <x v="1"/>
    <x v="7"/>
    <s v="Married"/>
    <s v="No"/>
    <x v="3"/>
    <n v="7"/>
    <s v="Bachelor's Degree"/>
    <n v="3"/>
    <n v="3"/>
    <x v="2"/>
    <n v="11691"/>
    <n v="14"/>
    <x v="3"/>
    <x v="20"/>
    <n v="9"/>
    <n v="3"/>
    <n v="7"/>
    <n v="0"/>
  </r>
  <r>
    <n v="592"/>
    <x v="0"/>
    <x v="0"/>
    <x v="2"/>
    <x v="0"/>
    <s v="Marketing"/>
    <n v="1"/>
    <x v="0"/>
    <x v="0"/>
    <s v="Single"/>
    <s v="No"/>
    <x v="3"/>
    <n v="16"/>
    <s v="Bachelor's Degree"/>
    <n v="1"/>
    <n v="2"/>
    <x v="3"/>
    <n v="5324"/>
    <n v="6"/>
    <x v="1"/>
    <x v="11"/>
    <n v="2"/>
    <n v="0"/>
    <n v="2"/>
    <n v="1"/>
  </r>
  <r>
    <n v="593"/>
    <x v="1"/>
    <x v="0"/>
    <x v="1"/>
    <x v="1"/>
    <s v="Other"/>
    <n v="1"/>
    <x v="0"/>
    <x v="5"/>
    <s v="Married"/>
    <s v="Yes"/>
    <x v="40"/>
    <n v="2"/>
    <s v="Associates Degree"/>
    <n v="3"/>
    <n v="4"/>
    <x v="0"/>
    <n v="16752"/>
    <n v="26"/>
    <x v="2"/>
    <x v="34"/>
    <n v="14"/>
    <n v="3"/>
    <n v="0"/>
    <n v="0"/>
  </r>
  <r>
    <n v="594"/>
    <x v="1"/>
    <x v="0"/>
    <x v="0"/>
    <x v="1"/>
    <s v="Other"/>
    <n v="1"/>
    <x v="0"/>
    <x v="3"/>
    <s v="Married"/>
    <s v="No"/>
    <x v="9"/>
    <n v="1"/>
    <s v="Bachelor's Degree"/>
    <n v="3"/>
    <n v="2"/>
    <x v="1"/>
    <n v="5228"/>
    <n v="10"/>
    <x v="1"/>
    <x v="7"/>
    <n v="7"/>
    <n v="0"/>
    <n v="5"/>
    <n v="0"/>
  </r>
  <r>
    <n v="595"/>
    <x v="1"/>
    <x v="0"/>
    <x v="2"/>
    <x v="1"/>
    <s v="Life Sciences"/>
    <n v="1"/>
    <x v="1"/>
    <x v="1"/>
    <s v="Married"/>
    <s v="No"/>
    <x v="11"/>
    <n v="23"/>
    <s v="Associates Degree"/>
    <n v="3"/>
    <n v="1"/>
    <x v="2"/>
    <n v="2700"/>
    <n v="10"/>
    <x v="1"/>
    <x v="1"/>
    <n v="7"/>
    <n v="0"/>
    <n v="7"/>
    <n v="0"/>
  </r>
  <r>
    <n v="596"/>
    <x v="0"/>
    <x v="0"/>
    <x v="3"/>
    <x v="1"/>
    <s v="Life Sciences"/>
    <n v="1"/>
    <x v="1"/>
    <x v="7"/>
    <s v="Single"/>
    <s v="Yes"/>
    <x v="34"/>
    <n v="2"/>
    <s v="Master's Degree"/>
    <n v="4"/>
    <n v="5"/>
    <x v="1"/>
    <n v="19246"/>
    <n v="40"/>
    <x v="1"/>
    <x v="31"/>
    <n v="15"/>
    <n v="13"/>
    <n v="8"/>
    <n v="1"/>
  </r>
  <r>
    <n v="597"/>
    <x v="1"/>
    <x v="0"/>
    <x v="0"/>
    <x v="1"/>
    <s v="Life Sciences"/>
    <n v="1"/>
    <x v="0"/>
    <x v="1"/>
    <s v="Single"/>
    <s v="No"/>
    <x v="10"/>
    <n v="1"/>
    <s v="Master's Degree"/>
    <n v="4"/>
    <n v="1"/>
    <x v="2"/>
    <n v="2506"/>
    <n v="7"/>
    <x v="1"/>
    <x v="4"/>
    <n v="2"/>
    <n v="2"/>
    <n v="2"/>
    <n v="0"/>
  </r>
  <r>
    <n v="598"/>
    <x v="1"/>
    <x v="0"/>
    <x v="0"/>
    <x v="1"/>
    <s v="Life Sciences"/>
    <n v="1"/>
    <x v="0"/>
    <x v="3"/>
    <s v="Married"/>
    <s v="Yes"/>
    <x v="19"/>
    <n v="1"/>
    <s v="Associates Degree"/>
    <n v="4"/>
    <n v="2"/>
    <x v="0"/>
    <n v="6062"/>
    <n v="8"/>
    <x v="1"/>
    <x v="9"/>
    <n v="3"/>
    <n v="0"/>
    <n v="2"/>
    <n v="0"/>
  </r>
  <r>
    <n v="599"/>
    <x v="0"/>
    <x v="0"/>
    <x v="2"/>
    <x v="1"/>
    <s v="Medical"/>
    <n v="1"/>
    <x v="1"/>
    <x v="1"/>
    <s v="Single"/>
    <s v="No"/>
    <x v="14"/>
    <n v="2"/>
    <s v="Master's Degree"/>
    <n v="3"/>
    <n v="1"/>
    <x v="2"/>
    <n v="4382"/>
    <n v="5"/>
    <x v="2"/>
    <x v="4"/>
    <n v="2"/>
    <n v="2"/>
    <n v="1"/>
    <n v="1"/>
  </r>
  <r>
    <n v="600"/>
    <x v="1"/>
    <x v="0"/>
    <x v="0"/>
    <x v="2"/>
    <s v="Human Resources"/>
    <n v="1"/>
    <x v="1"/>
    <x v="8"/>
    <s v="Married"/>
    <s v="No"/>
    <x v="9"/>
    <n v="13"/>
    <s v="Bachelor's Degree"/>
    <n v="3"/>
    <n v="1"/>
    <x v="1"/>
    <n v="2143"/>
    <n v="8"/>
    <x v="1"/>
    <x v="8"/>
    <n v="2"/>
    <n v="0"/>
    <n v="4"/>
    <n v="0"/>
  </r>
  <r>
    <n v="601"/>
    <x v="1"/>
    <x v="0"/>
    <x v="2"/>
    <x v="1"/>
    <s v="Life Sciences"/>
    <n v="1"/>
    <x v="0"/>
    <x v="3"/>
    <s v="Married"/>
    <s v="No"/>
    <x v="5"/>
    <n v="4"/>
    <s v="Bachelor's Degree"/>
    <n v="3"/>
    <n v="2"/>
    <x v="2"/>
    <n v="6162"/>
    <n v="14"/>
    <x v="1"/>
    <x v="13"/>
    <n v="13"/>
    <n v="6"/>
    <n v="8"/>
    <n v="0"/>
  </r>
  <r>
    <n v="602"/>
    <x v="1"/>
    <x v="1"/>
    <x v="0"/>
    <x v="1"/>
    <s v="Medical"/>
    <n v="1"/>
    <x v="1"/>
    <x v="2"/>
    <s v="Single"/>
    <s v="No"/>
    <x v="32"/>
    <n v="16"/>
    <s v="Master's Degree"/>
    <n v="1"/>
    <n v="2"/>
    <x v="2"/>
    <n v="5094"/>
    <n v="10"/>
    <x v="1"/>
    <x v="6"/>
    <n v="0"/>
    <n v="0"/>
    <n v="0"/>
    <n v="0"/>
  </r>
  <r>
    <n v="603"/>
    <x v="1"/>
    <x v="0"/>
    <x v="2"/>
    <x v="1"/>
    <s v="Medical"/>
    <n v="1"/>
    <x v="0"/>
    <x v="3"/>
    <s v="Single"/>
    <s v="Yes"/>
    <x v="7"/>
    <n v="2"/>
    <s v="Bachelor's Degree"/>
    <n v="3"/>
    <n v="2"/>
    <x v="0"/>
    <n v="6877"/>
    <n v="12"/>
    <x v="2"/>
    <x v="2"/>
    <n v="0"/>
    <n v="0"/>
    <n v="0"/>
    <n v="0"/>
  </r>
  <r>
    <n v="604"/>
    <x v="1"/>
    <x v="0"/>
    <x v="1"/>
    <x v="1"/>
    <s v="Life Sciences"/>
    <n v="1"/>
    <x v="0"/>
    <x v="1"/>
    <s v="Single"/>
    <s v="No"/>
    <x v="28"/>
    <n v="2"/>
    <s v="Bachelor's Degree"/>
    <n v="2"/>
    <n v="1"/>
    <x v="2"/>
    <n v="2274"/>
    <n v="1"/>
    <x v="1"/>
    <x v="6"/>
    <n v="0"/>
    <n v="0"/>
    <n v="0"/>
    <n v="0"/>
  </r>
  <r>
    <n v="605"/>
    <x v="1"/>
    <x v="0"/>
    <x v="0"/>
    <x v="1"/>
    <s v="Life Sciences"/>
    <n v="1"/>
    <x v="1"/>
    <x v="3"/>
    <s v="Married"/>
    <s v="No"/>
    <x v="19"/>
    <n v="29"/>
    <s v="Bachelor's Degree"/>
    <n v="2"/>
    <n v="2"/>
    <x v="1"/>
    <n v="4434"/>
    <n v="10"/>
    <x v="2"/>
    <x v="7"/>
    <n v="8"/>
    <n v="7"/>
    <n v="8"/>
    <n v="0"/>
  </r>
  <r>
    <n v="606"/>
    <x v="1"/>
    <x v="1"/>
    <x v="0"/>
    <x v="1"/>
    <s v="Life Sciences"/>
    <n v="1"/>
    <x v="1"/>
    <x v="4"/>
    <s v="Divorced"/>
    <s v="No"/>
    <x v="8"/>
    <n v="12"/>
    <s v="Bachelor's Degree"/>
    <n v="1"/>
    <n v="2"/>
    <x v="3"/>
    <n v="6288"/>
    <n v="13"/>
    <x v="2"/>
    <x v="9"/>
    <n v="3"/>
    <n v="1"/>
    <n v="2"/>
    <n v="0"/>
  </r>
  <r>
    <n v="607"/>
    <x v="1"/>
    <x v="1"/>
    <x v="2"/>
    <x v="1"/>
    <s v="Life Sciences"/>
    <n v="1"/>
    <x v="0"/>
    <x v="1"/>
    <s v="Single"/>
    <s v="No"/>
    <x v="13"/>
    <n v="16"/>
    <s v="Master's Degree"/>
    <n v="3"/>
    <n v="1"/>
    <x v="0"/>
    <n v="2553"/>
    <n v="6"/>
    <x v="1"/>
    <x v="8"/>
    <n v="2"/>
    <n v="1"/>
    <n v="3"/>
    <n v="0"/>
  </r>
  <r>
    <n v="608"/>
    <x v="0"/>
    <x v="0"/>
    <x v="1"/>
    <x v="0"/>
    <s v="Marketing"/>
    <n v="1"/>
    <x v="0"/>
    <x v="0"/>
    <s v="Married"/>
    <s v="No"/>
    <x v="1"/>
    <n v="11"/>
    <s v="Bachelor's Degree"/>
    <n v="3"/>
    <n v="3"/>
    <x v="0"/>
    <n v="7654"/>
    <n v="9"/>
    <x v="3"/>
    <x v="7"/>
    <n v="8"/>
    <n v="7"/>
    <n v="7"/>
    <n v="1"/>
  </r>
  <r>
    <n v="609"/>
    <x v="0"/>
    <x v="0"/>
    <x v="3"/>
    <x v="0"/>
    <s v="Medical"/>
    <n v="1"/>
    <x v="1"/>
    <x v="0"/>
    <s v="Single"/>
    <s v="No"/>
    <x v="27"/>
    <n v="2"/>
    <s v="High School"/>
    <n v="3"/>
    <n v="2"/>
    <x v="0"/>
    <n v="5160"/>
    <n v="12"/>
    <x v="2"/>
    <x v="7"/>
    <n v="7"/>
    <n v="7"/>
    <n v="3"/>
    <n v="1"/>
  </r>
  <r>
    <n v="610"/>
    <x v="1"/>
    <x v="0"/>
    <x v="0"/>
    <x v="1"/>
    <s v="Life Sciences"/>
    <n v="1"/>
    <x v="1"/>
    <x v="7"/>
    <s v="Married"/>
    <s v="No"/>
    <x v="23"/>
    <n v="14"/>
    <s v="Associates Degree"/>
    <n v="2"/>
    <n v="4"/>
    <x v="3"/>
    <n v="17159"/>
    <n v="22"/>
    <x v="1"/>
    <x v="9"/>
    <n v="1"/>
    <n v="1"/>
    <n v="0"/>
    <n v="0"/>
  </r>
  <r>
    <n v="611"/>
    <x v="1"/>
    <x v="0"/>
    <x v="2"/>
    <x v="1"/>
    <s v="Technical Degree"/>
    <n v="1"/>
    <x v="1"/>
    <x v="7"/>
    <s v="Divorced"/>
    <s v="Yes"/>
    <x v="4"/>
    <n v="5"/>
    <s v="High School"/>
    <n v="3"/>
    <n v="3"/>
    <x v="0"/>
    <n v="12808"/>
    <n v="9"/>
    <x v="1"/>
    <x v="7"/>
    <n v="8"/>
    <n v="0"/>
    <n v="8"/>
    <n v="0"/>
  </r>
  <r>
    <n v="612"/>
    <x v="1"/>
    <x v="0"/>
    <x v="0"/>
    <x v="1"/>
    <s v="Other"/>
    <n v="1"/>
    <x v="1"/>
    <x v="3"/>
    <s v="Single"/>
    <s v="No"/>
    <x v="10"/>
    <n v="7"/>
    <s v="Bachelor's Degree"/>
    <n v="3"/>
    <n v="3"/>
    <x v="2"/>
    <n v="10221"/>
    <n v="17"/>
    <x v="3"/>
    <x v="3"/>
    <n v="5"/>
    <n v="1"/>
    <n v="6"/>
    <n v="0"/>
  </r>
  <r>
    <n v="613"/>
    <x v="1"/>
    <x v="0"/>
    <x v="2"/>
    <x v="0"/>
    <s v="Marketing"/>
    <n v="1"/>
    <x v="0"/>
    <x v="0"/>
    <s v="Married"/>
    <s v="Yes"/>
    <x v="14"/>
    <n v="2"/>
    <s v="Master's Degree"/>
    <n v="2"/>
    <n v="2"/>
    <x v="1"/>
    <n v="4779"/>
    <n v="8"/>
    <x v="1"/>
    <x v="3"/>
    <n v="7"/>
    <n v="7"/>
    <n v="5"/>
    <n v="0"/>
  </r>
  <r>
    <n v="614"/>
    <x v="1"/>
    <x v="0"/>
    <x v="2"/>
    <x v="2"/>
    <s v="Human Resources"/>
    <n v="1"/>
    <x v="1"/>
    <x v="8"/>
    <s v="Married"/>
    <s v="No"/>
    <x v="13"/>
    <n v="3"/>
    <s v="Associates Degree"/>
    <n v="3"/>
    <n v="1"/>
    <x v="0"/>
    <n v="3737"/>
    <n v="4"/>
    <x v="0"/>
    <x v="11"/>
    <n v="2"/>
    <n v="0"/>
    <n v="2"/>
    <n v="0"/>
  </r>
  <r>
    <n v="615"/>
    <x v="0"/>
    <x v="1"/>
    <x v="2"/>
    <x v="1"/>
    <s v="Medical"/>
    <n v="1"/>
    <x v="0"/>
    <x v="1"/>
    <s v="Married"/>
    <s v="Yes"/>
    <x v="25"/>
    <n v="5"/>
    <s v="Associates Degree"/>
    <n v="3"/>
    <n v="1"/>
    <x v="2"/>
    <n v="2366"/>
    <n v="8"/>
    <x v="1"/>
    <x v="3"/>
    <n v="7"/>
    <n v="1"/>
    <n v="7"/>
    <n v="1"/>
  </r>
  <r>
    <n v="616"/>
    <x v="1"/>
    <x v="2"/>
    <x v="2"/>
    <x v="1"/>
    <s v="Medical"/>
    <n v="1"/>
    <x v="1"/>
    <x v="1"/>
    <s v="Married"/>
    <s v="No"/>
    <x v="4"/>
    <n v="3"/>
    <s v="Bachelor's Degree"/>
    <n v="4"/>
    <n v="1"/>
    <x v="0"/>
    <n v="1706"/>
    <n v="0"/>
    <x v="2"/>
    <x v="2"/>
    <n v="0"/>
    <n v="0"/>
    <n v="0"/>
    <n v="0"/>
  </r>
  <r>
    <n v="617"/>
    <x v="1"/>
    <x v="0"/>
    <x v="1"/>
    <x v="0"/>
    <s v="Marketing"/>
    <n v="1"/>
    <x v="0"/>
    <x v="5"/>
    <s v="Married"/>
    <s v="No"/>
    <x v="31"/>
    <n v="26"/>
    <s v="Master's Degree"/>
    <n v="1"/>
    <n v="4"/>
    <x v="2"/>
    <n v="16307"/>
    <n v="29"/>
    <x v="2"/>
    <x v="23"/>
    <n v="6"/>
    <n v="4"/>
    <n v="17"/>
    <n v="0"/>
  </r>
  <r>
    <n v="618"/>
    <x v="1"/>
    <x v="0"/>
    <x v="0"/>
    <x v="1"/>
    <s v="Medical"/>
    <n v="1"/>
    <x v="1"/>
    <x v="4"/>
    <s v="Single"/>
    <s v="No"/>
    <x v="20"/>
    <n v="4"/>
    <s v="Bachelor's Degree"/>
    <n v="4"/>
    <n v="2"/>
    <x v="1"/>
    <n v="5933"/>
    <n v="10"/>
    <x v="2"/>
    <x v="8"/>
    <n v="2"/>
    <n v="2"/>
    <n v="3"/>
    <n v="0"/>
  </r>
  <r>
    <n v="619"/>
    <x v="1"/>
    <x v="0"/>
    <x v="2"/>
    <x v="1"/>
    <s v="Medical"/>
    <n v="1"/>
    <x v="1"/>
    <x v="1"/>
    <s v="Single"/>
    <s v="No"/>
    <x v="36"/>
    <n v="2"/>
    <s v="High School"/>
    <n v="1"/>
    <n v="1"/>
    <x v="3"/>
    <n v="3424"/>
    <n v="6"/>
    <x v="2"/>
    <x v="9"/>
    <n v="3"/>
    <n v="0"/>
    <n v="1"/>
    <n v="0"/>
  </r>
  <r>
    <n v="620"/>
    <x v="1"/>
    <x v="0"/>
    <x v="2"/>
    <x v="0"/>
    <s v="Medical"/>
    <n v="1"/>
    <x v="1"/>
    <x v="0"/>
    <s v="Divorced"/>
    <s v="No"/>
    <x v="3"/>
    <n v="1"/>
    <s v="Bachelor's Degree"/>
    <n v="1"/>
    <n v="2"/>
    <x v="3"/>
    <n v="4037"/>
    <n v="9"/>
    <x v="1"/>
    <x v="7"/>
    <n v="8"/>
    <n v="0"/>
    <n v="8"/>
    <n v="0"/>
  </r>
  <r>
    <n v="621"/>
    <x v="1"/>
    <x v="0"/>
    <x v="0"/>
    <x v="1"/>
    <s v="Medical"/>
    <n v="1"/>
    <x v="0"/>
    <x v="1"/>
    <s v="Single"/>
    <s v="No"/>
    <x v="10"/>
    <n v="27"/>
    <s v="High School"/>
    <n v="3"/>
    <n v="1"/>
    <x v="3"/>
    <n v="2559"/>
    <n v="6"/>
    <x v="2"/>
    <x v="0"/>
    <n v="5"/>
    <n v="1"/>
    <n v="1"/>
    <n v="0"/>
  </r>
  <r>
    <n v="622"/>
    <x v="1"/>
    <x v="0"/>
    <x v="0"/>
    <x v="0"/>
    <s v="Life Sciences"/>
    <n v="1"/>
    <x v="1"/>
    <x v="0"/>
    <s v="Married"/>
    <s v="Yes"/>
    <x v="9"/>
    <n v="1"/>
    <s v="Associates Degree"/>
    <n v="2"/>
    <n v="2"/>
    <x v="0"/>
    <n v="6201"/>
    <n v="18"/>
    <x v="2"/>
    <x v="29"/>
    <n v="14"/>
    <n v="4"/>
    <n v="11"/>
    <n v="0"/>
  </r>
  <r>
    <n v="623"/>
    <x v="1"/>
    <x v="0"/>
    <x v="2"/>
    <x v="0"/>
    <s v="Life Sciences"/>
    <n v="1"/>
    <x v="1"/>
    <x v="0"/>
    <s v="Divorced"/>
    <s v="No"/>
    <x v="5"/>
    <n v="13"/>
    <s v="Master's Degree"/>
    <n v="2"/>
    <n v="2"/>
    <x v="0"/>
    <n v="4403"/>
    <n v="8"/>
    <x v="2"/>
    <x v="8"/>
    <n v="2"/>
    <n v="0"/>
    <n v="3"/>
    <n v="0"/>
  </r>
  <r>
    <n v="624"/>
    <x v="1"/>
    <x v="1"/>
    <x v="2"/>
    <x v="1"/>
    <s v="Life Sciences"/>
    <n v="1"/>
    <x v="1"/>
    <x v="1"/>
    <s v="Divorced"/>
    <s v="No"/>
    <x v="7"/>
    <n v="5"/>
    <s v="Master's Degree"/>
    <n v="2"/>
    <n v="1"/>
    <x v="0"/>
    <n v="3761"/>
    <n v="10"/>
    <x v="2"/>
    <x v="8"/>
    <n v="4"/>
    <n v="0"/>
    <n v="3"/>
    <n v="0"/>
  </r>
  <r>
    <n v="625"/>
    <x v="1"/>
    <x v="0"/>
    <x v="1"/>
    <x v="0"/>
    <s v="Marketing"/>
    <n v="1"/>
    <x v="0"/>
    <x v="0"/>
    <s v="Married"/>
    <s v="Yes"/>
    <x v="16"/>
    <n v="7"/>
    <s v="Associates Degree"/>
    <n v="1"/>
    <n v="3"/>
    <x v="0"/>
    <n v="10934"/>
    <n v="35"/>
    <x v="1"/>
    <x v="8"/>
    <n v="2"/>
    <n v="0"/>
    <n v="4"/>
    <n v="0"/>
  </r>
  <r>
    <n v="626"/>
    <x v="1"/>
    <x v="0"/>
    <x v="1"/>
    <x v="0"/>
    <s v="Marketing"/>
    <n v="1"/>
    <x v="1"/>
    <x v="0"/>
    <s v="Divorced"/>
    <s v="Yes"/>
    <x v="28"/>
    <n v="9"/>
    <s v="Bachelor's Degree"/>
    <n v="4"/>
    <n v="3"/>
    <x v="3"/>
    <n v="10761"/>
    <n v="18"/>
    <x v="1"/>
    <x v="8"/>
    <n v="4"/>
    <n v="0"/>
    <n v="2"/>
    <n v="0"/>
  </r>
  <r>
    <n v="627"/>
    <x v="1"/>
    <x v="0"/>
    <x v="2"/>
    <x v="1"/>
    <s v="Medical"/>
    <n v="1"/>
    <x v="0"/>
    <x v="1"/>
    <s v="Married"/>
    <s v="No"/>
    <x v="5"/>
    <n v="8"/>
    <s v="Associates Degree"/>
    <n v="3"/>
    <n v="2"/>
    <x v="2"/>
    <n v="5175"/>
    <n v="9"/>
    <x v="2"/>
    <x v="8"/>
    <n v="3"/>
    <n v="1"/>
    <n v="3"/>
    <n v="0"/>
  </r>
  <r>
    <n v="628"/>
    <x v="1"/>
    <x v="1"/>
    <x v="1"/>
    <x v="1"/>
    <s v="Medical"/>
    <n v="1"/>
    <x v="0"/>
    <x v="3"/>
    <s v="Married"/>
    <s v="No"/>
    <x v="39"/>
    <n v="25"/>
    <s v="Master's Degree"/>
    <n v="3"/>
    <n v="4"/>
    <x v="0"/>
    <n v="13826"/>
    <n v="31"/>
    <x v="1"/>
    <x v="7"/>
    <n v="8"/>
    <n v="0"/>
    <n v="0"/>
    <n v="0"/>
  </r>
  <r>
    <n v="629"/>
    <x v="1"/>
    <x v="0"/>
    <x v="0"/>
    <x v="0"/>
    <s v="Marketing"/>
    <n v="1"/>
    <x v="1"/>
    <x v="0"/>
    <s v="Divorced"/>
    <s v="No"/>
    <x v="2"/>
    <n v="16"/>
    <s v="Master's Degree"/>
    <n v="4"/>
    <n v="2"/>
    <x v="2"/>
    <n v="6334"/>
    <n v="9"/>
    <x v="1"/>
    <x v="6"/>
    <n v="0"/>
    <n v="0"/>
    <n v="0"/>
    <n v="0"/>
  </r>
  <r>
    <n v="630"/>
    <x v="1"/>
    <x v="0"/>
    <x v="2"/>
    <x v="2"/>
    <s v="Medical"/>
    <n v="1"/>
    <x v="1"/>
    <x v="8"/>
    <s v="Divorced"/>
    <s v="No"/>
    <x v="14"/>
    <n v="8"/>
    <s v="Associates Degree"/>
    <n v="2"/>
    <n v="1"/>
    <x v="0"/>
    <n v="4936"/>
    <n v="6"/>
    <x v="1"/>
    <x v="8"/>
    <n v="1"/>
    <n v="0"/>
    <n v="4"/>
    <n v="0"/>
  </r>
  <r>
    <n v="631"/>
    <x v="1"/>
    <x v="0"/>
    <x v="4"/>
    <x v="1"/>
    <s v="Life Sciences"/>
    <n v="1"/>
    <x v="1"/>
    <x v="3"/>
    <s v="Married"/>
    <s v="No"/>
    <x v="15"/>
    <n v="1"/>
    <s v="Associates Degree"/>
    <n v="4"/>
    <n v="2"/>
    <x v="0"/>
    <n v="4775"/>
    <n v="4"/>
    <x v="0"/>
    <x v="4"/>
    <n v="2"/>
    <n v="2"/>
    <n v="2"/>
    <n v="0"/>
  </r>
  <r>
    <n v="632"/>
    <x v="1"/>
    <x v="0"/>
    <x v="0"/>
    <x v="1"/>
    <s v="Life Sciences"/>
    <n v="1"/>
    <x v="1"/>
    <x v="2"/>
    <s v="Married"/>
    <s v="Yes"/>
    <x v="20"/>
    <n v="8"/>
    <s v="Master's Degree"/>
    <n v="1"/>
    <n v="1"/>
    <x v="0"/>
    <n v="2818"/>
    <n v="10"/>
    <x v="2"/>
    <x v="11"/>
    <n v="2"/>
    <n v="0"/>
    <n v="2"/>
    <n v="0"/>
  </r>
  <r>
    <n v="633"/>
    <x v="1"/>
    <x v="1"/>
    <x v="0"/>
    <x v="1"/>
    <s v="Medical"/>
    <n v="1"/>
    <x v="1"/>
    <x v="1"/>
    <s v="Single"/>
    <s v="Yes"/>
    <x v="19"/>
    <n v="2"/>
    <s v="High School"/>
    <n v="2"/>
    <n v="1"/>
    <x v="0"/>
    <n v="2515"/>
    <n v="8"/>
    <x v="1"/>
    <x v="4"/>
    <n v="1"/>
    <n v="2"/>
    <n v="2"/>
    <n v="0"/>
  </r>
  <r>
    <n v="634"/>
    <x v="1"/>
    <x v="0"/>
    <x v="0"/>
    <x v="2"/>
    <s v="Life Sciences"/>
    <n v="1"/>
    <x v="1"/>
    <x v="8"/>
    <s v="Married"/>
    <s v="No"/>
    <x v="9"/>
    <n v="8"/>
    <s v="Bachelor's Degree"/>
    <n v="1"/>
    <n v="1"/>
    <x v="3"/>
    <n v="2342"/>
    <n v="6"/>
    <x v="1"/>
    <x v="8"/>
    <n v="4"/>
    <n v="0"/>
    <n v="3"/>
    <n v="0"/>
  </r>
  <r>
    <n v="635"/>
    <x v="1"/>
    <x v="0"/>
    <x v="2"/>
    <x v="0"/>
    <s v="Other"/>
    <n v="1"/>
    <x v="1"/>
    <x v="0"/>
    <s v="Married"/>
    <s v="Yes"/>
    <x v="36"/>
    <n v="3"/>
    <s v="High School"/>
    <n v="3"/>
    <n v="2"/>
    <x v="3"/>
    <n v="4194"/>
    <n v="5"/>
    <x v="1"/>
    <x v="8"/>
    <n v="3"/>
    <n v="0"/>
    <n v="3"/>
    <n v="0"/>
  </r>
  <r>
    <n v="636"/>
    <x v="1"/>
    <x v="0"/>
    <x v="0"/>
    <x v="1"/>
    <s v="Life Sciences"/>
    <n v="1"/>
    <x v="0"/>
    <x v="3"/>
    <s v="Married"/>
    <s v="Yes"/>
    <x v="10"/>
    <n v="9"/>
    <s v="Bachelor's Degree"/>
    <n v="4"/>
    <n v="3"/>
    <x v="2"/>
    <n v="10685"/>
    <n v="17"/>
    <x v="1"/>
    <x v="18"/>
    <n v="14"/>
    <n v="5"/>
    <n v="15"/>
    <n v="0"/>
  </r>
  <r>
    <n v="637"/>
    <x v="0"/>
    <x v="1"/>
    <x v="0"/>
    <x v="1"/>
    <s v="Life Sciences"/>
    <n v="1"/>
    <x v="0"/>
    <x v="1"/>
    <s v="Divorced"/>
    <s v="Yes"/>
    <x v="10"/>
    <n v="25"/>
    <s v="Master's Degree"/>
    <n v="4"/>
    <n v="1"/>
    <x v="1"/>
    <n v="2022"/>
    <n v="10"/>
    <x v="2"/>
    <x v="1"/>
    <n v="2"/>
    <n v="7"/>
    <n v="8"/>
    <n v="1"/>
  </r>
  <r>
    <n v="638"/>
    <x v="1"/>
    <x v="2"/>
    <x v="2"/>
    <x v="1"/>
    <s v="Life Sciences"/>
    <n v="1"/>
    <x v="1"/>
    <x v="2"/>
    <s v="Divorced"/>
    <s v="No"/>
    <x v="5"/>
    <n v="1"/>
    <s v="Bachelor's Degree"/>
    <n v="4"/>
    <n v="1"/>
    <x v="0"/>
    <n v="2314"/>
    <n v="4"/>
    <x v="1"/>
    <x v="11"/>
    <n v="0"/>
    <n v="0"/>
    <n v="2"/>
    <n v="0"/>
  </r>
  <r>
    <n v="639"/>
    <x v="1"/>
    <x v="0"/>
    <x v="2"/>
    <x v="0"/>
    <s v="Marketing"/>
    <n v="1"/>
    <x v="1"/>
    <x v="0"/>
    <s v="Married"/>
    <s v="No"/>
    <x v="36"/>
    <n v="4"/>
    <s v="High School"/>
    <n v="3"/>
    <n v="2"/>
    <x v="3"/>
    <n v="4256"/>
    <n v="5"/>
    <x v="3"/>
    <x v="8"/>
    <n v="2"/>
    <n v="0"/>
    <n v="3"/>
    <n v="0"/>
  </r>
  <r>
    <n v="640"/>
    <x v="1"/>
    <x v="0"/>
    <x v="1"/>
    <x v="1"/>
    <s v="Technical Degree"/>
    <n v="1"/>
    <x v="0"/>
    <x v="1"/>
    <s v="Married"/>
    <s v="No"/>
    <x v="1"/>
    <n v="1"/>
    <s v="Bachelor's Degree"/>
    <n v="3"/>
    <n v="1"/>
    <x v="3"/>
    <n v="3580"/>
    <n v="7"/>
    <x v="1"/>
    <x v="9"/>
    <n v="2"/>
    <n v="0"/>
    <n v="2"/>
    <n v="0"/>
  </r>
  <r>
    <n v="641"/>
    <x v="1"/>
    <x v="2"/>
    <x v="4"/>
    <x v="1"/>
    <s v="Life Sciences"/>
    <n v="1"/>
    <x v="1"/>
    <x v="2"/>
    <s v="Married"/>
    <s v="No"/>
    <x v="17"/>
    <n v="4"/>
    <s v="High School"/>
    <n v="1"/>
    <n v="1"/>
    <x v="0"/>
    <n v="3162"/>
    <n v="6"/>
    <x v="2"/>
    <x v="8"/>
    <n v="2"/>
    <n v="3"/>
    <n v="4"/>
    <n v="0"/>
  </r>
  <r>
    <n v="642"/>
    <x v="1"/>
    <x v="1"/>
    <x v="2"/>
    <x v="0"/>
    <s v="Life Sciences"/>
    <n v="1"/>
    <x v="1"/>
    <x v="0"/>
    <s v="Married"/>
    <s v="No"/>
    <x v="5"/>
    <n v="5"/>
    <s v="Associates Degree"/>
    <n v="2"/>
    <n v="2"/>
    <x v="1"/>
    <n v="6524"/>
    <n v="10"/>
    <x v="1"/>
    <x v="1"/>
    <n v="8"/>
    <n v="5"/>
    <n v="3"/>
    <n v="0"/>
  </r>
  <r>
    <n v="643"/>
    <x v="1"/>
    <x v="0"/>
    <x v="0"/>
    <x v="0"/>
    <s v="Marketing"/>
    <n v="1"/>
    <x v="1"/>
    <x v="6"/>
    <s v="Married"/>
    <s v="No"/>
    <x v="8"/>
    <n v="9"/>
    <s v="Bachelor's Degree"/>
    <n v="2"/>
    <n v="1"/>
    <x v="1"/>
    <n v="2899"/>
    <n v="3"/>
    <x v="1"/>
    <x v="4"/>
    <n v="2"/>
    <n v="1"/>
    <n v="2"/>
    <n v="0"/>
  </r>
  <r>
    <n v="644"/>
    <x v="1"/>
    <x v="0"/>
    <x v="0"/>
    <x v="1"/>
    <s v="Life Sciences"/>
    <n v="1"/>
    <x v="0"/>
    <x v="2"/>
    <s v="Married"/>
    <s v="Yes"/>
    <x v="19"/>
    <n v="3"/>
    <s v="Bachelor's Degree"/>
    <n v="3"/>
    <n v="2"/>
    <x v="0"/>
    <n v="5231"/>
    <n v="17"/>
    <x v="2"/>
    <x v="8"/>
    <n v="3"/>
    <n v="1"/>
    <n v="3"/>
    <n v="0"/>
  </r>
  <r>
    <n v="645"/>
    <x v="1"/>
    <x v="0"/>
    <x v="2"/>
    <x v="1"/>
    <s v="Life Sciences"/>
    <n v="1"/>
    <x v="1"/>
    <x v="1"/>
    <s v="Married"/>
    <s v="Yes"/>
    <x v="12"/>
    <n v="11"/>
    <s v="Master's Degree"/>
    <n v="4"/>
    <n v="1"/>
    <x v="0"/>
    <n v="2356"/>
    <n v="8"/>
    <x v="1"/>
    <x v="0"/>
    <n v="4"/>
    <n v="0"/>
    <n v="2"/>
    <n v="0"/>
  </r>
  <r>
    <n v="646"/>
    <x v="0"/>
    <x v="0"/>
    <x v="2"/>
    <x v="0"/>
    <s v="Medical"/>
    <n v="1"/>
    <x v="0"/>
    <x v="6"/>
    <s v="Divorced"/>
    <s v="Yes"/>
    <x v="11"/>
    <n v="1"/>
    <s v="Bachelor's Degree"/>
    <n v="2"/>
    <n v="1"/>
    <x v="2"/>
    <n v="2800"/>
    <n v="5"/>
    <x v="1"/>
    <x v="11"/>
    <n v="2"/>
    <n v="0"/>
    <n v="2"/>
    <n v="1"/>
  </r>
  <r>
    <n v="647"/>
    <x v="1"/>
    <x v="0"/>
    <x v="1"/>
    <x v="0"/>
    <s v="Marketing"/>
    <n v="1"/>
    <x v="1"/>
    <x v="0"/>
    <s v="Married"/>
    <s v="No"/>
    <x v="16"/>
    <n v="8"/>
    <s v="Bachelor's Degree"/>
    <n v="1"/>
    <n v="4"/>
    <x v="0"/>
    <n v="11836"/>
    <n v="28"/>
    <x v="1"/>
    <x v="4"/>
    <n v="0"/>
    <n v="2"/>
    <n v="2"/>
    <n v="0"/>
  </r>
  <r>
    <n v="648"/>
    <x v="1"/>
    <x v="0"/>
    <x v="0"/>
    <x v="1"/>
    <s v="Technical Degree"/>
    <n v="1"/>
    <x v="1"/>
    <x v="3"/>
    <s v="Married"/>
    <s v="No"/>
    <x v="10"/>
    <n v="25"/>
    <s v="Bachelor's Degree"/>
    <n v="4"/>
    <n v="3"/>
    <x v="1"/>
    <n v="10903"/>
    <n v="16"/>
    <x v="1"/>
    <x v="20"/>
    <n v="10"/>
    <n v="4"/>
    <n v="8"/>
    <n v="0"/>
  </r>
  <r>
    <n v="649"/>
    <x v="1"/>
    <x v="1"/>
    <x v="0"/>
    <x v="0"/>
    <s v="Medical"/>
    <n v="1"/>
    <x v="0"/>
    <x v="6"/>
    <s v="Married"/>
    <s v="No"/>
    <x v="2"/>
    <n v="21"/>
    <s v="Associates Degree"/>
    <n v="3"/>
    <n v="1"/>
    <x v="0"/>
    <n v="2973"/>
    <n v="10"/>
    <x v="1"/>
    <x v="8"/>
    <n v="4"/>
    <n v="0"/>
    <n v="0"/>
    <n v="0"/>
  </r>
  <r>
    <n v="650"/>
    <x v="1"/>
    <x v="0"/>
    <x v="1"/>
    <x v="1"/>
    <s v="Life Sciences"/>
    <n v="1"/>
    <x v="0"/>
    <x v="7"/>
    <s v="Single"/>
    <s v="No"/>
    <x v="16"/>
    <n v="23"/>
    <s v="Master's Degree"/>
    <n v="4"/>
    <n v="4"/>
    <x v="0"/>
    <n v="14275"/>
    <n v="33"/>
    <x v="1"/>
    <x v="12"/>
    <n v="9"/>
    <n v="3"/>
    <n v="8"/>
    <n v="0"/>
  </r>
  <r>
    <n v="651"/>
    <x v="1"/>
    <x v="1"/>
    <x v="0"/>
    <x v="1"/>
    <s v="Life Sciences"/>
    <n v="1"/>
    <x v="0"/>
    <x v="4"/>
    <s v="Married"/>
    <s v="No"/>
    <x v="23"/>
    <n v="1"/>
    <s v="Bachelor's Degree"/>
    <n v="4"/>
    <n v="2"/>
    <x v="0"/>
    <n v="5562"/>
    <n v="12"/>
    <x v="2"/>
    <x v="8"/>
    <n v="2"/>
    <n v="2"/>
    <n v="2"/>
    <n v="0"/>
  </r>
  <r>
    <n v="652"/>
    <x v="1"/>
    <x v="0"/>
    <x v="1"/>
    <x v="0"/>
    <s v="Marketing"/>
    <n v="1"/>
    <x v="0"/>
    <x v="0"/>
    <s v="Married"/>
    <s v="Yes"/>
    <x v="40"/>
    <n v="2"/>
    <s v="Associates Degree"/>
    <n v="3"/>
    <n v="2"/>
    <x v="0"/>
    <n v="4537"/>
    <n v="8"/>
    <x v="1"/>
    <x v="5"/>
    <n v="6"/>
    <n v="7"/>
    <n v="7"/>
    <n v="0"/>
  </r>
  <r>
    <n v="653"/>
    <x v="1"/>
    <x v="2"/>
    <x v="0"/>
    <x v="0"/>
    <s v="Medical"/>
    <n v="1"/>
    <x v="1"/>
    <x v="0"/>
    <s v="Single"/>
    <s v="Yes"/>
    <x v="2"/>
    <n v="19"/>
    <s v="Associates Degree"/>
    <n v="1"/>
    <n v="3"/>
    <x v="1"/>
    <n v="7642"/>
    <n v="10"/>
    <x v="1"/>
    <x v="1"/>
    <n v="0"/>
    <n v="0"/>
    <n v="9"/>
    <n v="0"/>
  </r>
  <r>
    <n v="654"/>
    <x v="1"/>
    <x v="2"/>
    <x v="1"/>
    <x v="1"/>
    <s v="Life Sciences"/>
    <n v="1"/>
    <x v="1"/>
    <x v="5"/>
    <s v="Divorced"/>
    <s v="No"/>
    <x v="24"/>
    <n v="2"/>
    <s v="Master's Degree"/>
    <n v="1"/>
    <n v="4"/>
    <x v="3"/>
    <n v="17924"/>
    <n v="31"/>
    <x v="1"/>
    <x v="31"/>
    <n v="6"/>
    <n v="14"/>
    <n v="7"/>
    <n v="0"/>
  </r>
  <r>
    <n v="655"/>
    <x v="1"/>
    <x v="0"/>
    <x v="0"/>
    <x v="2"/>
    <s v="Life Sciences"/>
    <n v="1"/>
    <x v="0"/>
    <x v="8"/>
    <s v="Married"/>
    <s v="No"/>
    <x v="22"/>
    <n v="2"/>
    <s v="Bachelor's Degree"/>
    <n v="4"/>
    <n v="2"/>
    <x v="0"/>
    <n v="5204"/>
    <n v="13"/>
    <x v="1"/>
    <x v="8"/>
    <n v="4"/>
    <n v="0"/>
    <n v="4"/>
    <n v="0"/>
  </r>
  <r>
    <n v="656"/>
    <x v="1"/>
    <x v="0"/>
    <x v="2"/>
    <x v="2"/>
    <s v="Human Resources"/>
    <n v="1"/>
    <x v="1"/>
    <x v="8"/>
    <s v="Divorced"/>
    <s v="Yes"/>
    <x v="3"/>
    <n v="3"/>
    <s v="Associates Degree"/>
    <n v="4"/>
    <n v="1"/>
    <x v="1"/>
    <n v="2277"/>
    <n v="7"/>
    <x v="3"/>
    <x v="9"/>
    <n v="3"/>
    <n v="0"/>
    <n v="3"/>
    <n v="0"/>
  </r>
  <r>
    <n v="657"/>
    <x v="0"/>
    <x v="0"/>
    <x v="2"/>
    <x v="1"/>
    <s v="Life Sciences"/>
    <n v="1"/>
    <x v="1"/>
    <x v="2"/>
    <s v="Single"/>
    <s v="Yes"/>
    <x v="5"/>
    <n v="25"/>
    <s v="Master's Degree"/>
    <n v="1"/>
    <n v="1"/>
    <x v="0"/>
    <n v="2795"/>
    <n v="1"/>
    <x v="0"/>
    <x v="6"/>
    <n v="0"/>
    <n v="0"/>
    <n v="1"/>
    <n v="1"/>
  </r>
  <r>
    <n v="658"/>
    <x v="1"/>
    <x v="0"/>
    <x v="2"/>
    <x v="1"/>
    <s v="Medical"/>
    <n v="1"/>
    <x v="0"/>
    <x v="2"/>
    <s v="Divorced"/>
    <s v="No"/>
    <x v="11"/>
    <n v="7"/>
    <s v="High School"/>
    <n v="1"/>
    <n v="1"/>
    <x v="0"/>
    <n v="2532"/>
    <n v="8"/>
    <x v="1"/>
    <x v="9"/>
    <n v="3"/>
    <n v="0"/>
    <n v="3"/>
    <n v="0"/>
  </r>
  <r>
    <n v="659"/>
    <x v="1"/>
    <x v="0"/>
    <x v="0"/>
    <x v="1"/>
    <s v="Life Sciences"/>
    <n v="1"/>
    <x v="1"/>
    <x v="1"/>
    <s v="Married"/>
    <s v="Yes"/>
    <x v="20"/>
    <n v="9"/>
    <s v="Associates Degree"/>
    <n v="2"/>
    <n v="1"/>
    <x v="3"/>
    <n v="2559"/>
    <n v="8"/>
    <x v="1"/>
    <x v="3"/>
    <n v="7"/>
    <n v="7"/>
    <n v="1"/>
    <n v="0"/>
  </r>
  <r>
    <n v="660"/>
    <x v="1"/>
    <x v="0"/>
    <x v="2"/>
    <x v="0"/>
    <s v="Medical"/>
    <n v="1"/>
    <x v="1"/>
    <x v="0"/>
    <s v="Single"/>
    <s v="No"/>
    <x v="14"/>
    <n v="5"/>
    <s v="Master's Degree"/>
    <n v="1"/>
    <n v="2"/>
    <x v="0"/>
    <n v="4908"/>
    <n v="4"/>
    <x v="1"/>
    <x v="9"/>
    <n v="2"/>
    <n v="0"/>
    <n v="2"/>
    <n v="0"/>
  </r>
  <r>
    <n v="661"/>
    <x v="0"/>
    <x v="1"/>
    <x v="3"/>
    <x v="1"/>
    <s v="Life Sciences"/>
    <n v="1"/>
    <x v="1"/>
    <x v="2"/>
    <s v="Divorced"/>
    <s v="Yes"/>
    <x v="34"/>
    <n v="2"/>
    <s v="High School"/>
    <n v="4"/>
    <n v="1"/>
    <x v="0"/>
    <n v="2380"/>
    <n v="3"/>
    <x v="2"/>
    <x v="6"/>
    <n v="0"/>
    <n v="0"/>
    <n v="0"/>
    <n v="1"/>
  </r>
  <r>
    <n v="662"/>
    <x v="1"/>
    <x v="0"/>
    <x v="0"/>
    <x v="1"/>
    <s v="Life Sciences"/>
    <n v="1"/>
    <x v="0"/>
    <x v="3"/>
    <s v="Divorced"/>
    <s v="No"/>
    <x v="23"/>
    <n v="8"/>
    <s v="Bachelor's Degree"/>
    <n v="1"/>
    <n v="2"/>
    <x v="1"/>
    <n v="4765"/>
    <n v="4"/>
    <x v="3"/>
    <x v="6"/>
    <n v="0"/>
    <n v="0"/>
    <n v="0"/>
    <n v="0"/>
  </r>
  <r>
    <n v="663"/>
    <x v="0"/>
    <x v="0"/>
    <x v="4"/>
    <x v="0"/>
    <s v="Medical"/>
    <n v="1"/>
    <x v="0"/>
    <x v="6"/>
    <s v="Single"/>
    <s v="No"/>
    <x v="35"/>
    <n v="2"/>
    <s v="Bachelor's Degree"/>
    <n v="3"/>
    <n v="1"/>
    <x v="2"/>
    <n v="2044"/>
    <n v="2"/>
    <x v="2"/>
    <x v="4"/>
    <n v="2"/>
    <n v="0"/>
    <n v="2"/>
    <n v="1"/>
  </r>
  <r>
    <n v="664"/>
    <x v="0"/>
    <x v="0"/>
    <x v="4"/>
    <x v="1"/>
    <s v="Other"/>
    <n v="1"/>
    <x v="0"/>
    <x v="1"/>
    <s v="Single"/>
    <s v="No"/>
    <x v="18"/>
    <n v="18"/>
    <s v="High School"/>
    <n v="4"/>
    <n v="1"/>
    <x v="0"/>
    <n v="2693"/>
    <n v="1"/>
    <x v="2"/>
    <x v="6"/>
    <n v="0"/>
    <n v="0"/>
    <n v="0"/>
    <n v="1"/>
  </r>
  <r>
    <n v="665"/>
    <x v="1"/>
    <x v="0"/>
    <x v="0"/>
    <x v="1"/>
    <s v="Life Sciences"/>
    <n v="1"/>
    <x v="1"/>
    <x v="4"/>
    <s v="Married"/>
    <s v="Yes"/>
    <x v="9"/>
    <n v="14"/>
    <s v="High School"/>
    <n v="3"/>
    <n v="2"/>
    <x v="0"/>
    <n v="6586"/>
    <n v="17"/>
    <x v="2"/>
    <x v="22"/>
    <n v="8"/>
    <n v="4"/>
    <n v="11"/>
    <n v="0"/>
  </r>
  <r>
    <n v="666"/>
    <x v="1"/>
    <x v="0"/>
    <x v="1"/>
    <x v="0"/>
    <s v="Life Sciences"/>
    <n v="1"/>
    <x v="0"/>
    <x v="6"/>
    <s v="Single"/>
    <s v="Yes"/>
    <x v="40"/>
    <n v="2"/>
    <s v="Master's Degree"/>
    <n v="4"/>
    <n v="1"/>
    <x v="0"/>
    <n v="3294"/>
    <n v="3"/>
    <x v="2"/>
    <x v="11"/>
    <n v="2"/>
    <n v="1"/>
    <n v="2"/>
    <n v="0"/>
  </r>
  <r>
    <n v="667"/>
    <x v="0"/>
    <x v="0"/>
    <x v="4"/>
    <x v="1"/>
    <s v="Life Sciences"/>
    <n v="1"/>
    <x v="0"/>
    <x v="3"/>
    <s v="Married"/>
    <s v="Yes"/>
    <x v="15"/>
    <n v="3"/>
    <s v="High School"/>
    <n v="2"/>
    <n v="2"/>
    <x v="2"/>
    <n v="4171"/>
    <n v="4"/>
    <x v="3"/>
    <x v="11"/>
    <n v="2"/>
    <n v="0"/>
    <n v="2"/>
    <n v="1"/>
  </r>
  <r>
    <n v="668"/>
    <x v="0"/>
    <x v="0"/>
    <x v="0"/>
    <x v="1"/>
    <s v="Life Sciences"/>
    <n v="1"/>
    <x v="0"/>
    <x v="2"/>
    <s v="Divorced"/>
    <s v="Yes"/>
    <x v="0"/>
    <n v="2"/>
    <s v="Master's Degree"/>
    <n v="2"/>
    <n v="1"/>
    <x v="0"/>
    <n v="2778"/>
    <n v="10"/>
    <x v="2"/>
    <x v="5"/>
    <n v="7"/>
    <n v="1"/>
    <n v="0"/>
    <n v="1"/>
  </r>
  <r>
    <n v="669"/>
    <x v="1"/>
    <x v="0"/>
    <x v="2"/>
    <x v="1"/>
    <s v="Medical"/>
    <n v="1"/>
    <x v="0"/>
    <x v="1"/>
    <s v="Divorced"/>
    <s v="No"/>
    <x v="14"/>
    <n v="9"/>
    <s v="Bachelor's Degree"/>
    <n v="3"/>
    <n v="1"/>
    <x v="2"/>
    <n v="2377"/>
    <n v="6"/>
    <x v="1"/>
    <x v="4"/>
    <n v="2"/>
    <n v="2"/>
    <n v="2"/>
    <n v="0"/>
  </r>
  <r>
    <n v="670"/>
    <x v="0"/>
    <x v="0"/>
    <x v="0"/>
    <x v="1"/>
    <s v="Medical"/>
    <n v="1"/>
    <x v="1"/>
    <x v="2"/>
    <s v="Married"/>
    <s v="Yes"/>
    <x v="22"/>
    <n v="6"/>
    <s v="Bachelor's Degree"/>
    <n v="4"/>
    <n v="1"/>
    <x v="3"/>
    <n v="2404"/>
    <n v="8"/>
    <x v="0"/>
    <x v="4"/>
    <n v="2"/>
    <n v="2"/>
    <n v="2"/>
    <n v="1"/>
  </r>
  <r>
    <n v="671"/>
    <x v="1"/>
    <x v="0"/>
    <x v="2"/>
    <x v="1"/>
    <s v="Life Sciences"/>
    <n v="1"/>
    <x v="0"/>
    <x v="1"/>
    <s v="Single"/>
    <s v="No"/>
    <x v="4"/>
    <n v="4"/>
    <s v="Bachelor's Degree"/>
    <n v="2"/>
    <n v="1"/>
    <x v="2"/>
    <n v="2318"/>
    <n v="1"/>
    <x v="1"/>
    <x v="6"/>
    <n v="1"/>
    <n v="0"/>
    <n v="0"/>
    <n v="0"/>
  </r>
  <r>
    <n v="672"/>
    <x v="1"/>
    <x v="0"/>
    <x v="2"/>
    <x v="1"/>
    <s v="Life Sciences"/>
    <n v="1"/>
    <x v="1"/>
    <x v="2"/>
    <s v="Divorced"/>
    <s v="No"/>
    <x v="13"/>
    <n v="10"/>
    <s v="Bachelor's Degree"/>
    <n v="2"/>
    <n v="1"/>
    <x v="1"/>
    <n v="2008"/>
    <n v="1"/>
    <x v="1"/>
    <x v="6"/>
    <n v="0"/>
    <n v="1"/>
    <n v="0"/>
    <n v="0"/>
  </r>
  <r>
    <n v="673"/>
    <x v="1"/>
    <x v="0"/>
    <x v="0"/>
    <x v="0"/>
    <s v="Medical"/>
    <n v="1"/>
    <x v="0"/>
    <x v="0"/>
    <s v="Single"/>
    <s v="No"/>
    <x v="19"/>
    <n v="14"/>
    <s v="Associates Degree"/>
    <n v="3"/>
    <n v="2"/>
    <x v="2"/>
    <n v="6244"/>
    <n v="10"/>
    <x v="1"/>
    <x v="8"/>
    <n v="4"/>
    <n v="0"/>
    <n v="3"/>
    <n v="0"/>
  </r>
  <r>
    <n v="674"/>
    <x v="1"/>
    <x v="0"/>
    <x v="2"/>
    <x v="1"/>
    <s v="Other"/>
    <n v="1"/>
    <x v="1"/>
    <x v="1"/>
    <s v="Single"/>
    <s v="Yes"/>
    <x v="3"/>
    <n v="1"/>
    <s v="Master's Degree"/>
    <n v="3"/>
    <n v="1"/>
    <x v="3"/>
    <n v="2799"/>
    <n v="6"/>
    <x v="1"/>
    <x v="11"/>
    <n v="2"/>
    <n v="0"/>
    <n v="2"/>
    <n v="0"/>
  </r>
  <r>
    <n v="675"/>
    <x v="1"/>
    <x v="0"/>
    <x v="3"/>
    <x v="1"/>
    <s v="Technical Degree"/>
    <n v="1"/>
    <x v="0"/>
    <x v="4"/>
    <s v="Divorced"/>
    <s v="Yes"/>
    <x v="34"/>
    <n v="5"/>
    <s v="Bachelor's Degree"/>
    <n v="3"/>
    <n v="3"/>
    <x v="1"/>
    <n v="10552"/>
    <n v="24"/>
    <x v="1"/>
    <x v="0"/>
    <n v="0"/>
    <n v="0"/>
    <n v="4"/>
    <n v="0"/>
  </r>
  <r>
    <n v="676"/>
    <x v="1"/>
    <x v="0"/>
    <x v="2"/>
    <x v="0"/>
    <s v="Life Sciences"/>
    <n v="1"/>
    <x v="1"/>
    <x v="6"/>
    <s v="Married"/>
    <s v="No"/>
    <x v="12"/>
    <n v="7"/>
    <s v="Master's Degree"/>
    <n v="2"/>
    <n v="1"/>
    <x v="2"/>
    <n v="2329"/>
    <n v="13"/>
    <x v="3"/>
    <x v="5"/>
    <n v="7"/>
    <n v="5"/>
    <n v="2"/>
    <n v="0"/>
  </r>
  <r>
    <n v="677"/>
    <x v="1"/>
    <x v="0"/>
    <x v="0"/>
    <x v="1"/>
    <s v="Life Sciences"/>
    <n v="1"/>
    <x v="0"/>
    <x v="4"/>
    <s v="Married"/>
    <s v="Yes"/>
    <x v="10"/>
    <n v="21"/>
    <s v="High School"/>
    <n v="4"/>
    <n v="2"/>
    <x v="0"/>
    <n v="4014"/>
    <n v="10"/>
    <x v="0"/>
    <x v="1"/>
    <n v="6"/>
    <n v="0"/>
    <n v="7"/>
    <n v="0"/>
  </r>
  <r>
    <n v="678"/>
    <x v="1"/>
    <x v="0"/>
    <x v="1"/>
    <x v="1"/>
    <s v="Other"/>
    <n v="1"/>
    <x v="0"/>
    <x v="2"/>
    <s v="Married"/>
    <s v="No"/>
    <x v="1"/>
    <n v="8"/>
    <s v="Associates Degree"/>
    <n v="1"/>
    <n v="3"/>
    <x v="1"/>
    <n v="7403"/>
    <n v="29"/>
    <x v="2"/>
    <x v="34"/>
    <n v="9"/>
    <n v="1"/>
    <n v="7"/>
    <n v="0"/>
  </r>
  <r>
    <n v="679"/>
    <x v="1"/>
    <x v="0"/>
    <x v="1"/>
    <x v="1"/>
    <s v="Medical"/>
    <n v="1"/>
    <x v="1"/>
    <x v="1"/>
    <s v="Married"/>
    <s v="No"/>
    <x v="26"/>
    <n v="20"/>
    <s v="Master's Degree"/>
    <n v="4"/>
    <n v="1"/>
    <x v="2"/>
    <n v="2259"/>
    <n v="13"/>
    <x v="2"/>
    <x v="2"/>
    <n v="0"/>
    <n v="0"/>
    <n v="0"/>
    <n v="0"/>
  </r>
  <r>
    <n v="680"/>
    <x v="1"/>
    <x v="2"/>
    <x v="2"/>
    <x v="0"/>
    <s v="Marketing"/>
    <n v="1"/>
    <x v="0"/>
    <x v="0"/>
    <s v="Married"/>
    <s v="No"/>
    <x v="12"/>
    <n v="20"/>
    <s v="Associates Degree"/>
    <n v="4"/>
    <n v="2"/>
    <x v="2"/>
    <n v="6932"/>
    <n v="9"/>
    <x v="2"/>
    <x v="7"/>
    <n v="8"/>
    <n v="0"/>
    <n v="0"/>
    <n v="0"/>
  </r>
  <r>
    <n v="681"/>
    <x v="1"/>
    <x v="0"/>
    <x v="0"/>
    <x v="1"/>
    <s v="Other"/>
    <n v="1"/>
    <x v="1"/>
    <x v="1"/>
    <s v="Single"/>
    <s v="No"/>
    <x v="9"/>
    <n v="7"/>
    <s v="Master's Degree"/>
    <n v="2"/>
    <n v="1"/>
    <x v="0"/>
    <n v="4678"/>
    <n v="8"/>
    <x v="1"/>
    <x v="0"/>
    <n v="2"/>
    <n v="0"/>
    <n v="1"/>
    <n v="0"/>
  </r>
  <r>
    <n v="682"/>
    <x v="1"/>
    <x v="0"/>
    <x v="0"/>
    <x v="1"/>
    <s v="Technical Degree"/>
    <n v="1"/>
    <x v="0"/>
    <x v="7"/>
    <s v="Married"/>
    <s v="No"/>
    <x v="8"/>
    <n v="1"/>
    <s v="Bachelor's Degree"/>
    <n v="4"/>
    <n v="3"/>
    <x v="3"/>
    <n v="13582"/>
    <n v="15"/>
    <x v="1"/>
    <x v="15"/>
    <n v="12"/>
    <n v="5"/>
    <n v="11"/>
    <n v="0"/>
  </r>
  <r>
    <n v="683"/>
    <x v="1"/>
    <x v="2"/>
    <x v="2"/>
    <x v="1"/>
    <s v="Life Sciences"/>
    <n v="1"/>
    <x v="0"/>
    <x v="2"/>
    <s v="Married"/>
    <s v="No"/>
    <x v="5"/>
    <n v="1"/>
    <s v="Bachelor's Degree"/>
    <n v="3"/>
    <n v="1"/>
    <x v="1"/>
    <n v="2332"/>
    <n v="5"/>
    <x v="1"/>
    <x v="11"/>
    <n v="0"/>
    <n v="0"/>
    <n v="2"/>
    <n v="0"/>
  </r>
  <r>
    <n v="684"/>
    <x v="0"/>
    <x v="0"/>
    <x v="2"/>
    <x v="0"/>
    <s v="Marketing"/>
    <n v="1"/>
    <x v="1"/>
    <x v="6"/>
    <s v="Married"/>
    <s v="Yes"/>
    <x v="36"/>
    <n v="19"/>
    <s v="Associates Degree"/>
    <n v="3"/>
    <n v="1"/>
    <x v="1"/>
    <n v="2413"/>
    <n v="1"/>
    <x v="1"/>
    <x v="6"/>
    <n v="0"/>
    <n v="0"/>
    <n v="0"/>
    <n v="1"/>
  </r>
  <r>
    <n v="685"/>
    <x v="1"/>
    <x v="0"/>
    <x v="0"/>
    <x v="0"/>
    <s v="Marketing"/>
    <n v="1"/>
    <x v="1"/>
    <x v="0"/>
    <s v="Divorced"/>
    <s v="No"/>
    <x v="32"/>
    <n v="10"/>
    <s v="Master's Degree"/>
    <n v="1"/>
    <n v="3"/>
    <x v="1"/>
    <n v="9705"/>
    <n v="11"/>
    <x v="2"/>
    <x v="6"/>
    <n v="0"/>
    <n v="0"/>
    <n v="0"/>
    <n v="0"/>
  </r>
  <r>
    <n v="686"/>
    <x v="1"/>
    <x v="1"/>
    <x v="2"/>
    <x v="0"/>
    <s v="Medical"/>
    <n v="1"/>
    <x v="1"/>
    <x v="0"/>
    <s v="Single"/>
    <s v="No"/>
    <x v="25"/>
    <n v="1"/>
    <s v="Bachelor's Degree"/>
    <n v="3"/>
    <n v="2"/>
    <x v="3"/>
    <n v="4294"/>
    <n v="7"/>
    <x v="1"/>
    <x v="5"/>
    <n v="7"/>
    <n v="0"/>
    <n v="7"/>
    <n v="0"/>
  </r>
  <r>
    <n v="687"/>
    <x v="1"/>
    <x v="0"/>
    <x v="0"/>
    <x v="1"/>
    <s v="Medical"/>
    <n v="1"/>
    <x v="1"/>
    <x v="2"/>
    <s v="Single"/>
    <s v="Yes"/>
    <x v="0"/>
    <n v="6"/>
    <s v="Bachelor's Degree"/>
    <n v="4"/>
    <n v="1"/>
    <x v="3"/>
    <n v="4721"/>
    <n v="20"/>
    <x v="1"/>
    <x v="29"/>
    <n v="13"/>
    <n v="2"/>
    <n v="17"/>
    <n v="0"/>
  </r>
  <r>
    <n v="688"/>
    <x v="1"/>
    <x v="0"/>
    <x v="0"/>
    <x v="1"/>
    <s v="Medical"/>
    <n v="1"/>
    <x v="1"/>
    <x v="2"/>
    <s v="Single"/>
    <s v="No"/>
    <x v="9"/>
    <n v="2"/>
    <s v="Master's Degree"/>
    <n v="3"/>
    <n v="1"/>
    <x v="2"/>
    <n v="2519"/>
    <n v="16"/>
    <x v="1"/>
    <x v="19"/>
    <n v="8"/>
    <n v="3"/>
    <n v="9"/>
    <n v="0"/>
  </r>
  <r>
    <n v="689"/>
    <x v="0"/>
    <x v="0"/>
    <x v="4"/>
    <x v="0"/>
    <s v="Other"/>
    <n v="1"/>
    <x v="1"/>
    <x v="6"/>
    <s v="Single"/>
    <s v="Yes"/>
    <x v="37"/>
    <n v="21"/>
    <s v="Bachelor's Degree"/>
    <n v="4"/>
    <n v="1"/>
    <x v="1"/>
    <n v="2121"/>
    <n v="1"/>
    <x v="3"/>
    <x v="6"/>
    <n v="0"/>
    <n v="0"/>
    <n v="0"/>
    <n v="1"/>
  </r>
  <r>
    <n v="690"/>
    <x v="0"/>
    <x v="0"/>
    <x v="4"/>
    <x v="1"/>
    <s v="Technical Degree"/>
    <n v="1"/>
    <x v="1"/>
    <x v="2"/>
    <s v="Single"/>
    <s v="No"/>
    <x v="35"/>
    <n v="4"/>
    <s v="Bachelor's Degree"/>
    <n v="1"/>
    <n v="1"/>
    <x v="3"/>
    <n v="2973"/>
    <n v="1"/>
    <x v="1"/>
    <x v="6"/>
    <n v="0"/>
    <n v="0"/>
    <n v="0"/>
    <n v="1"/>
  </r>
  <r>
    <n v="691"/>
    <x v="1"/>
    <x v="0"/>
    <x v="2"/>
    <x v="1"/>
    <s v="Medical"/>
    <n v="1"/>
    <x v="0"/>
    <x v="4"/>
    <s v="Married"/>
    <s v="Yes"/>
    <x v="12"/>
    <n v="12"/>
    <s v="Bachelor's Degree"/>
    <n v="4"/>
    <n v="2"/>
    <x v="0"/>
    <n v="5855"/>
    <n v="10"/>
    <x v="0"/>
    <x v="7"/>
    <n v="7"/>
    <n v="8"/>
    <n v="5"/>
    <n v="0"/>
  </r>
  <r>
    <n v="692"/>
    <x v="1"/>
    <x v="1"/>
    <x v="0"/>
    <x v="1"/>
    <s v="Medical"/>
    <n v="1"/>
    <x v="1"/>
    <x v="1"/>
    <s v="Divorced"/>
    <s v="Yes"/>
    <x v="32"/>
    <n v="9"/>
    <s v="Master's Degree"/>
    <n v="4"/>
    <n v="1"/>
    <x v="1"/>
    <n v="3617"/>
    <n v="3"/>
    <x v="1"/>
    <x v="6"/>
    <n v="1"/>
    <n v="0"/>
    <n v="0"/>
    <n v="0"/>
  </r>
  <r>
    <n v="693"/>
    <x v="1"/>
    <x v="0"/>
    <x v="2"/>
    <x v="1"/>
    <s v="Medical"/>
    <n v="1"/>
    <x v="0"/>
    <x v="3"/>
    <s v="Married"/>
    <s v="No"/>
    <x v="5"/>
    <n v="3"/>
    <s v="Master's Degree"/>
    <n v="3"/>
    <n v="2"/>
    <x v="3"/>
    <n v="6725"/>
    <n v="8"/>
    <x v="3"/>
    <x v="3"/>
    <n v="7"/>
    <n v="6"/>
    <n v="3"/>
    <n v="0"/>
  </r>
  <r>
    <n v="694"/>
    <x v="0"/>
    <x v="0"/>
    <x v="0"/>
    <x v="0"/>
    <s v="Life Sciences"/>
    <n v="1"/>
    <x v="1"/>
    <x v="0"/>
    <s v="Married"/>
    <s v="Yes"/>
    <x v="9"/>
    <n v="3"/>
    <s v="High School"/>
    <n v="3"/>
    <n v="3"/>
    <x v="0"/>
    <n v="10325"/>
    <n v="16"/>
    <x v="1"/>
    <x v="22"/>
    <n v="7"/>
    <n v="3"/>
    <n v="7"/>
    <n v="1"/>
  </r>
  <r>
    <n v="695"/>
    <x v="1"/>
    <x v="0"/>
    <x v="2"/>
    <x v="1"/>
    <s v="Life Sciences"/>
    <n v="1"/>
    <x v="0"/>
    <x v="4"/>
    <s v="Single"/>
    <s v="No"/>
    <x v="3"/>
    <n v="1"/>
    <s v="Bachelor's Degree"/>
    <n v="2"/>
    <n v="2"/>
    <x v="0"/>
    <n v="6949"/>
    <n v="6"/>
    <x v="1"/>
    <x v="8"/>
    <n v="0"/>
    <n v="1"/>
    <n v="4"/>
    <n v="0"/>
  </r>
  <r>
    <n v="696"/>
    <x v="0"/>
    <x v="0"/>
    <x v="0"/>
    <x v="0"/>
    <s v="Life Sciences"/>
    <n v="1"/>
    <x v="1"/>
    <x v="0"/>
    <s v="Married"/>
    <s v="No"/>
    <x v="2"/>
    <n v="1"/>
    <s v="Master's Degree"/>
    <n v="1"/>
    <n v="3"/>
    <x v="2"/>
    <n v="10609"/>
    <n v="17"/>
    <x v="0"/>
    <x v="13"/>
    <n v="1"/>
    <n v="11"/>
    <n v="7"/>
    <n v="1"/>
  </r>
  <r>
    <n v="697"/>
    <x v="1"/>
    <x v="2"/>
    <x v="1"/>
    <x v="1"/>
    <s v="Life Sciences"/>
    <n v="1"/>
    <x v="1"/>
    <x v="2"/>
    <s v="Married"/>
    <s v="No"/>
    <x v="28"/>
    <n v="4"/>
    <s v="Associates Degree"/>
    <n v="3"/>
    <n v="2"/>
    <x v="1"/>
    <n v="4447"/>
    <n v="9"/>
    <x v="2"/>
    <x v="7"/>
    <n v="7"/>
    <n v="0"/>
    <n v="8"/>
    <n v="0"/>
  </r>
  <r>
    <n v="698"/>
    <x v="1"/>
    <x v="1"/>
    <x v="2"/>
    <x v="0"/>
    <s v="Technical Degree"/>
    <n v="1"/>
    <x v="0"/>
    <x v="6"/>
    <s v="Married"/>
    <s v="No"/>
    <x v="11"/>
    <n v="20"/>
    <s v="Bachelor's Degree"/>
    <n v="3"/>
    <n v="1"/>
    <x v="0"/>
    <n v="2157"/>
    <n v="3"/>
    <x v="1"/>
    <x v="11"/>
    <n v="1"/>
    <n v="0"/>
    <n v="2"/>
    <n v="0"/>
  </r>
  <r>
    <n v="699"/>
    <x v="1"/>
    <x v="0"/>
    <x v="0"/>
    <x v="0"/>
    <s v="Medical"/>
    <n v="1"/>
    <x v="0"/>
    <x v="0"/>
    <s v="Married"/>
    <s v="No"/>
    <x v="10"/>
    <n v="18"/>
    <s v="Bachelor's Degree"/>
    <n v="3"/>
    <n v="2"/>
    <x v="2"/>
    <n v="4601"/>
    <n v="5"/>
    <x v="1"/>
    <x v="8"/>
    <n v="2"/>
    <n v="1"/>
    <n v="0"/>
    <n v="0"/>
  </r>
  <r>
    <n v="700"/>
    <x v="1"/>
    <x v="0"/>
    <x v="1"/>
    <x v="1"/>
    <s v="Life Sciences"/>
    <n v="1"/>
    <x v="1"/>
    <x v="5"/>
    <s v="Married"/>
    <s v="No"/>
    <x v="39"/>
    <n v="1"/>
    <s v="Associates Degree"/>
    <n v="4"/>
    <n v="4"/>
    <x v="0"/>
    <n v="17099"/>
    <n v="26"/>
    <x v="2"/>
    <x v="7"/>
    <n v="8"/>
    <n v="7"/>
    <n v="8"/>
    <n v="0"/>
  </r>
  <r>
    <n v="701"/>
    <x v="0"/>
    <x v="0"/>
    <x v="3"/>
    <x v="1"/>
    <s v="Technical Degree"/>
    <n v="1"/>
    <x v="1"/>
    <x v="1"/>
    <s v="Single"/>
    <s v="No"/>
    <x v="34"/>
    <n v="2"/>
    <s v="Bachelor's Degree"/>
    <n v="4"/>
    <n v="1"/>
    <x v="2"/>
    <n v="2479"/>
    <n v="7"/>
    <x v="1"/>
    <x v="6"/>
    <n v="0"/>
    <n v="0"/>
    <n v="0"/>
    <n v="1"/>
  </r>
  <r>
    <n v="702"/>
    <x v="1"/>
    <x v="0"/>
    <x v="1"/>
    <x v="0"/>
    <s v="Medical"/>
    <n v="1"/>
    <x v="1"/>
    <x v="5"/>
    <s v="Divorced"/>
    <s v="No"/>
    <x v="16"/>
    <n v="2"/>
    <s v="Associates Degree"/>
    <n v="3"/>
    <n v="4"/>
    <x v="2"/>
    <n v="14852"/>
    <n v="22"/>
    <x v="3"/>
    <x v="18"/>
    <n v="13"/>
    <n v="15"/>
    <n v="2"/>
    <n v="0"/>
  </r>
  <r>
    <n v="703"/>
    <x v="1"/>
    <x v="0"/>
    <x v="2"/>
    <x v="0"/>
    <s v="Other"/>
    <n v="1"/>
    <x v="1"/>
    <x v="0"/>
    <s v="Divorced"/>
    <s v="No"/>
    <x v="7"/>
    <n v="8"/>
    <s v="Associates Degree"/>
    <n v="3"/>
    <n v="3"/>
    <x v="2"/>
    <n v="7264"/>
    <n v="10"/>
    <x v="3"/>
    <x v="3"/>
    <n v="4"/>
    <n v="7"/>
    <n v="7"/>
    <n v="0"/>
  </r>
  <r>
    <n v="704"/>
    <x v="1"/>
    <x v="2"/>
    <x v="0"/>
    <x v="0"/>
    <s v="Technical Degree"/>
    <n v="1"/>
    <x v="0"/>
    <x v="0"/>
    <s v="Single"/>
    <s v="Yes"/>
    <x v="8"/>
    <n v="10"/>
    <s v="Bachelor's Degree"/>
    <n v="3"/>
    <n v="2"/>
    <x v="0"/>
    <n v="5666"/>
    <n v="6"/>
    <x v="1"/>
    <x v="8"/>
    <n v="3"/>
    <n v="1"/>
    <n v="3"/>
    <n v="0"/>
  </r>
  <r>
    <n v="705"/>
    <x v="1"/>
    <x v="0"/>
    <x v="0"/>
    <x v="0"/>
    <s v="Life Sciences"/>
    <n v="1"/>
    <x v="1"/>
    <x v="0"/>
    <s v="Divorced"/>
    <s v="No"/>
    <x v="10"/>
    <n v="3"/>
    <s v="Master's Degree"/>
    <n v="4"/>
    <n v="3"/>
    <x v="0"/>
    <n v="7823"/>
    <n v="12"/>
    <x v="1"/>
    <x v="1"/>
    <n v="9"/>
    <n v="0"/>
    <n v="8"/>
    <n v="0"/>
  </r>
  <r>
    <n v="706"/>
    <x v="1"/>
    <x v="0"/>
    <x v="0"/>
    <x v="0"/>
    <s v="Life Sciences"/>
    <n v="1"/>
    <x v="1"/>
    <x v="0"/>
    <s v="Single"/>
    <s v="No"/>
    <x v="22"/>
    <n v="2"/>
    <s v="Doctoral Degree"/>
    <n v="1"/>
    <n v="3"/>
    <x v="2"/>
    <n v="7880"/>
    <n v="9"/>
    <x v="1"/>
    <x v="3"/>
    <n v="7"/>
    <n v="0"/>
    <n v="7"/>
    <n v="0"/>
  </r>
  <r>
    <n v="707"/>
    <x v="0"/>
    <x v="2"/>
    <x v="0"/>
    <x v="0"/>
    <s v="Life Sciences"/>
    <n v="1"/>
    <x v="0"/>
    <x v="0"/>
    <s v="Single"/>
    <s v="Yes"/>
    <x v="32"/>
    <n v="24"/>
    <s v="Bachelor's Degree"/>
    <n v="2"/>
    <n v="4"/>
    <x v="1"/>
    <n v="13194"/>
    <n v="22"/>
    <x v="2"/>
    <x v="6"/>
    <n v="0"/>
    <n v="0"/>
    <n v="0"/>
    <n v="1"/>
  </r>
  <r>
    <n v="708"/>
    <x v="1"/>
    <x v="1"/>
    <x v="1"/>
    <x v="1"/>
    <s v="Medical"/>
    <n v="1"/>
    <x v="1"/>
    <x v="3"/>
    <s v="Divorced"/>
    <s v="Yes"/>
    <x v="40"/>
    <n v="16"/>
    <s v="Master's Degree"/>
    <n v="3"/>
    <n v="2"/>
    <x v="2"/>
    <n v="5067"/>
    <n v="20"/>
    <x v="3"/>
    <x v="27"/>
    <n v="10"/>
    <n v="2"/>
    <n v="7"/>
    <n v="0"/>
  </r>
  <r>
    <n v="709"/>
    <x v="1"/>
    <x v="2"/>
    <x v="0"/>
    <x v="0"/>
    <s v="Technical Degree"/>
    <n v="1"/>
    <x v="1"/>
    <x v="0"/>
    <s v="Divorced"/>
    <s v="No"/>
    <x v="9"/>
    <n v="8"/>
    <s v="Master's Degree"/>
    <n v="1"/>
    <n v="2"/>
    <x v="0"/>
    <n v="5079"/>
    <n v="12"/>
    <x v="1"/>
    <x v="5"/>
    <n v="7"/>
    <n v="0"/>
    <n v="7"/>
    <n v="0"/>
  </r>
  <r>
    <n v="710"/>
    <x v="0"/>
    <x v="2"/>
    <x v="2"/>
    <x v="1"/>
    <s v="Medical"/>
    <n v="1"/>
    <x v="1"/>
    <x v="1"/>
    <s v="Single"/>
    <s v="Yes"/>
    <x v="12"/>
    <n v="9"/>
    <s v="Associates Degree"/>
    <n v="3"/>
    <n v="1"/>
    <x v="3"/>
    <n v="2321"/>
    <n v="4"/>
    <x v="1"/>
    <x v="11"/>
    <n v="2"/>
    <n v="1"/>
    <n v="2"/>
    <n v="1"/>
  </r>
  <r>
    <n v="711"/>
    <x v="1"/>
    <x v="2"/>
    <x v="2"/>
    <x v="0"/>
    <s v="Life Sciences"/>
    <n v="1"/>
    <x v="1"/>
    <x v="5"/>
    <s v="Single"/>
    <s v="No"/>
    <x v="3"/>
    <n v="17"/>
    <s v="Bachelor's Degree"/>
    <n v="4"/>
    <n v="4"/>
    <x v="2"/>
    <n v="17444"/>
    <n v="10"/>
    <x v="1"/>
    <x v="1"/>
    <n v="8"/>
    <n v="6"/>
    <n v="0"/>
    <n v="0"/>
  </r>
  <r>
    <n v="712"/>
    <x v="0"/>
    <x v="0"/>
    <x v="2"/>
    <x v="1"/>
    <s v="Life Sciences"/>
    <n v="1"/>
    <x v="0"/>
    <x v="1"/>
    <s v="Single"/>
    <s v="Yes"/>
    <x v="11"/>
    <n v="10"/>
    <s v="Bachelor's Degree"/>
    <n v="4"/>
    <n v="1"/>
    <x v="3"/>
    <n v="2404"/>
    <n v="3"/>
    <x v="1"/>
    <x v="2"/>
    <n v="0"/>
    <n v="0"/>
    <n v="0"/>
    <n v="1"/>
  </r>
  <r>
    <n v="713"/>
    <x v="1"/>
    <x v="0"/>
    <x v="2"/>
    <x v="1"/>
    <s v="Life Sciences"/>
    <n v="1"/>
    <x v="0"/>
    <x v="1"/>
    <s v="Single"/>
    <s v="No"/>
    <x v="3"/>
    <n v="13"/>
    <s v="High School"/>
    <n v="2"/>
    <n v="1"/>
    <x v="0"/>
    <n v="3452"/>
    <n v="5"/>
    <x v="1"/>
    <x v="11"/>
    <n v="2"/>
    <n v="0"/>
    <n v="2"/>
    <n v="0"/>
  </r>
  <r>
    <n v="714"/>
    <x v="1"/>
    <x v="0"/>
    <x v="1"/>
    <x v="1"/>
    <s v="Medical"/>
    <n v="1"/>
    <x v="0"/>
    <x v="2"/>
    <s v="Divorced"/>
    <s v="No"/>
    <x v="28"/>
    <n v="1"/>
    <s v="Master's Degree"/>
    <n v="4"/>
    <n v="1"/>
    <x v="0"/>
    <n v="2270"/>
    <n v="8"/>
    <x v="1"/>
    <x v="8"/>
    <n v="3"/>
    <n v="0"/>
    <n v="2"/>
    <n v="0"/>
  </r>
  <r>
    <n v="715"/>
    <x v="1"/>
    <x v="0"/>
    <x v="1"/>
    <x v="1"/>
    <s v="Medical"/>
    <n v="1"/>
    <x v="1"/>
    <x v="7"/>
    <s v="Divorced"/>
    <s v="No"/>
    <x v="24"/>
    <n v="1"/>
    <s v="Associates Degree"/>
    <n v="4"/>
    <n v="4"/>
    <x v="0"/>
    <n v="17399"/>
    <n v="32"/>
    <x v="2"/>
    <x v="8"/>
    <n v="4"/>
    <n v="1"/>
    <n v="3"/>
    <n v="0"/>
  </r>
  <r>
    <n v="716"/>
    <x v="1"/>
    <x v="1"/>
    <x v="2"/>
    <x v="1"/>
    <s v="Other"/>
    <n v="1"/>
    <x v="0"/>
    <x v="4"/>
    <s v="Married"/>
    <s v="Yes"/>
    <x v="3"/>
    <n v="1"/>
    <s v="Master's Degree"/>
    <n v="3"/>
    <n v="2"/>
    <x v="1"/>
    <n v="5488"/>
    <n v="6"/>
    <x v="1"/>
    <x v="0"/>
    <n v="5"/>
    <n v="1"/>
    <n v="2"/>
    <n v="0"/>
  </r>
  <r>
    <n v="717"/>
    <x v="1"/>
    <x v="1"/>
    <x v="0"/>
    <x v="1"/>
    <s v="Medical"/>
    <n v="1"/>
    <x v="1"/>
    <x v="7"/>
    <s v="Divorced"/>
    <s v="No"/>
    <x v="0"/>
    <n v="9"/>
    <s v="Bachelor's Degree"/>
    <n v="1"/>
    <n v="5"/>
    <x v="2"/>
    <n v="19419"/>
    <n v="21"/>
    <x v="3"/>
    <x v="29"/>
    <n v="16"/>
    <n v="0"/>
    <n v="11"/>
    <n v="0"/>
  </r>
  <r>
    <n v="718"/>
    <x v="1"/>
    <x v="0"/>
    <x v="2"/>
    <x v="1"/>
    <s v="Technical Degree"/>
    <n v="1"/>
    <x v="0"/>
    <x v="2"/>
    <s v="Married"/>
    <s v="No"/>
    <x v="4"/>
    <n v="16"/>
    <s v="Master's Degree"/>
    <n v="3"/>
    <n v="1"/>
    <x v="1"/>
    <n v="2811"/>
    <n v="4"/>
    <x v="1"/>
    <x v="4"/>
    <n v="2"/>
    <n v="2"/>
    <n v="2"/>
    <n v="0"/>
  </r>
  <r>
    <n v="719"/>
    <x v="1"/>
    <x v="2"/>
    <x v="1"/>
    <x v="1"/>
    <s v="Life Sciences"/>
    <n v="1"/>
    <x v="1"/>
    <x v="2"/>
    <s v="Married"/>
    <s v="Yes"/>
    <x v="28"/>
    <n v="23"/>
    <s v="Associates Degree"/>
    <n v="4"/>
    <n v="2"/>
    <x v="3"/>
    <n v="3633"/>
    <n v="9"/>
    <x v="1"/>
    <x v="7"/>
    <n v="8"/>
    <n v="0"/>
    <n v="8"/>
    <n v="0"/>
  </r>
  <r>
    <n v="720"/>
    <x v="1"/>
    <x v="0"/>
    <x v="1"/>
    <x v="0"/>
    <s v="Life Sciences"/>
    <n v="1"/>
    <x v="0"/>
    <x v="0"/>
    <s v="Single"/>
    <s v="Yes"/>
    <x v="40"/>
    <n v="4"/>
    <s v="Associates Degree"/>
    <n v="4"/>
    <n v="2"/>
    <x v="0"/>
    <n v="4163"/>
    <n v="9"/>
    <x v="1"/>
    <x v="7"/>
    <n v="0"/>
    <n v="0"/>
    <n v="7"/>
    <n v="0"/>
  </r>
  <r>
    <n v="721"/>
    <x v="0"/>
    <x v="0"/>
    <x v="2"/>
    <x v="1"/>
    <s v="Life Sciences"/>
    <n v="1"/>
    <x v="0"/>
    <x v="1"/>
    <s v="Married"/>
    <s v="Yes"/>
    <x v="7"/>
    <n v="22"/>
    <s v="Bachelor's Degree"/>
    <n v="1"/>
    <n v="1"/>
    <x v="2"/>
    <n v="2132"/>
    <n v="7"/>
    <x v="1"/>
    <x v="8"/>
    <n v="2"/>
    <n v="0"/>
    <n v="1"/>
    <n v="1"/>
  </r>
  <r>
    <n v="722"/>
    <x v="1"/>
    <x v="0"/>
    <x v="1"/>
    <x v="1"/>
    <s v="Life Sciences"/>
    <n v="1"/>
    <x v="1"/>
    <x v="3"/>
    <s v="Married"/>
    <s v="Yes"/>
    <x v="24"/>
    <n v="24"/>
    <s v="Bachelor's Degree"/>
    <n v="4"/>
    <n v="4"/>
    <x v="2"/>
    <n v="13973"/>
    <n v="22"/>
    <x v="1"/>
    <x v="12"/>
    <n v="11"/>
    <n v="1"/>
    <n v="5"/>
    <n v="0"/>
  </r>
  <r>
    <n v="723"/>
    <x v="1"/>
    <x v="1"/>
    <x v="0"/>
    <x v="1"/>
    <s v="Medical"/>
    <n v="1"/>
    <x v="1"/>
    <x v="1"/>
    <s v="Married"/>
    <s v="No"/>
    <x v="8"/>
    <n v="10"/>
    <s v="High School"/>
    <n v="3"/>
    <n v="1"/>
    <x v="2"/>
    <n v="2684"/>
    <n v="3"/>
    <x v="2"/>
    <x v="4"/>
    <n v="1"/>
    <n v="0"/>
    <n v="2"/>
    <n v="0"/>
  </r>
  <r>
    <n v="724"/>
    <x v="1"/>
    <x v="0"/>
    <x v="1"/>
    <x v="1"/>
    <s v="Medical"/>
    <n v="1"/>
    <x v="1"/>
    <x v="3"/>
    <s v="Divorced"/>
    <s v="No"/>
    <x v="21"/>
    <n v="7"/>
    <s v="Associates Degree"/>
    <n v="4"/>
    <n v="3"/>
    <x v="2"/>
    <n v="10845"/>
    <n v="13"/>
    <x v="1"/>
    <x v="3"/>
    <n v="7"/>
    <n v="0"/>
    <n v="7"/>
    <n v="0"/>
  </r>
  <r>
    <n v="725"/>
    <x v="1"/>
    <x v="0"/>
    <x v="4"/>
    <x v="1"/>
    <s v="Medical"/>
    <n v="1"/>
    <x v="0"/>
    <x v="3"/>
    <s v="Divorced"/>
    <s v="No"/>
    <x v="17"/>
    <n v="17"/>
    <s v="High School"/>
    <n v="4"/>
    <n v="2"/>
    <x v="2"/>
    <n v="4377"/>
    <n v="5"/>
    <x v="1"/>
    <x v="9"/>
    <n v="2"/>
    <n v="3"/>
    <n v="2"/>
    <n v="0"/>
  </r>
  <r>
    <n v="726"/>
    <x v="0"/>
    <x v="0"/>
    <x v="0"/>
    <x v="1"/>
    <s v="Other"/>
    <n v="1"/>
    <x v="1"/>
    <x v="2"/>
    <s v="Divorced"/>
    <s v="Yes"/>
    <x v="10"/>
    <n v="14"/>
    <s v="Master's Degree"/>
    <n v="3"/>
    <n v="1"/>
    <x v="1"/>
    <n v="3743"/>
    <n v="5"/>
    <x v="0"/>
    <x v="9"/>
    <n v="2"/>
    <n v="0"/>
    <n v="2"/>
    <n v="1"/>
  </r>
  <r>
    <n v="727"/>
    <x v="1"/>
    <x v="1"/>
    <x v="2"/>
    <x v="1"/>
    <s v="Life Sciences"/>
    <n v="1"/>
    <x v="0"/>
    <x v="3"/>
    <s v="Married"/>
    <s v="No"/>
    <x v="12"/>
    <n v="1"/>
    <s v="High School"/>
    <n v="3"/>
    <n v="2"/>
    <x v="3"/>
    <n v="4148"/>
    <n v="4"/>
    <x v="1"/>
    <x v="9"/>
    <n v="3"/>
    <n v="0"/>
    <n v="3"/>
    <n v="0"/>
  </r>
  <r>
    <n v="728"/>
    <x v="1"/>
    <x v="2"/>
    <x v="4"/>
    <x v="1"/>
    <s v="Life Sciences"/>
    <n v="1"/>
    <x v="1"/>
    <x v="1"/>
    <s v="Single"/>
    <s v="No"/>
    <x v="41"/>
    <n v="5"/>
    <s v="Associates Degree"/>
    <n v="2"/>
    <n v="1"/>
    <x v="0"/>
    <n v="1051"/>
    <n v="0"/>
    <x v="1"/>
    <x v="2"/>
    <n v="0"/>
    <n v="0"/>
    <n v="0"/>
    <n v="0"/>
  </r>
  <r>
    <n v="729"/>
    <x v="1"/>
    <x v="0"/>
    <x v="1"/>
    <x v="1"/>
    <s v="Technical Degree"/>
    <n v="1"/>
    <x v="0"/>
    <x v="3"/>
    <s v="Married"/>
    <s v="No"/>
    <x v="33"/>
    <n v="17"/>
    <s v="Bachelor's Degree"/>
    <n v="3"/>
    <n v="3"/>
    <x v="2"/>
    <n v="10739"/>
    <n v="22"/>
    <x v="1"/>
    <x v="1"/>
    <n v="7"/>
    <n v="0"/>
    <n v="8"/>
    <n v="0"/>
  </r>
  <r>
    <n v="730"/>
    <x v="1"/>
    <x v="0"/>
    <x v="0"/>
    <x v="1"/>
    <s v="Medical"/>
    <n v="1"/>
    <x v="0"/>
    <x v="4"/>
    <s v="Divorced"/>
    <s v="Yes"/>
    <x v="10"/>
    <n v="25"/>
    <s v="Master's Degree"/>
    <n v="3"/>
    <n v="3"/>
    <x v="2"/>
    <n v="10388"/>
    <n v="16"/>
    <x v="2"/>
    <x v="22"/>
    <n v="10"/>
    <n v="10"/>
    <n v="1"/>
    <n v="0"/>
  </r>
  <r>
    <n v="731"/>
    <x v="1"/>
    <x v="0"/>
    <x v="2"/>
    <x v="1"/>
    <s v="Life Sciences"/>
    <n v="1"/>
    <x v="0"/>
    <x v="7"/>
    <s v="Married"/>
    <s v="Yes"/>
    <x v="7"/>
    <n v="8"/>
    <s v="Associates Degree"/>
    <n v="2"/>
    <n v="3"/>
    <x v="3"/>
    <n v="11416"/>
    <n v="9"/>
    <x v="2"/>
    <x v="3"/>
    <n v="7"/>
    <n v="1"/>
    <n v="7"/>
    <n v="0"/>
  </r>
  <r>
    <n v="732"/>
    <x v="0"/>
    <x v="0"/>
    <x v="4"/>
    <x v="1"/>
    <s v="Medical"/>
    <n v="1"/>
    <x v="0"/>
    <x v="1"/>
    <s v="Single"/>
    <s v="Yes"/>
    <x v="35"/>
    <n v="11"/>
    <s v="Bachelor's Degree"/>
    <n v="4"/>
    <n v="1"/>
    <x v="3"/>
    <n v="2600"/>
    <n v="1"/>
    <x v="1"/>
    <x v="6"/>
    <n v="0"/>
    <n v="0"/>
    <n v="0"/>
    <n v="1"/>
  </r>
  <r>
    <n v="733"/>
    <x v="0"/>
    <x v="1"/>
    <x v="2"/>
    <x v="1"/>
    <s v="Medical"/>
    <n v="1"/>
    <x v="0"/>
    <x v="2"/>
    <s v="Single"/>
    <s v="No"/>
    <x v="7"/>
    <n v="5"/>
    <s v="Bachelor's Degree"/>
    <n v="2"/>
    <n v="1"/>
    <x v="1"/>
    <n v="2422"/>
    <n v="4"/>
    <x v="1"/>
    <x v="11"/>
    <n v="2"/>
    <n v="1"/>
    <n v="2"/>
    <n v="1"/>
  </r>
  <r>
    <n v="734"/>
    <x v="1"/>
    <x v="0"/>
    <x v="2"/>
    <x v="1"/>
    <s v="Medical"/>
    <n v="1"/>
    <x v="1"/>
    <x v="3"/>
    <s v="Married"/>
    <s v="No"/>
    <x v="25"/>
    <n v="2"/>
    <s v="Associates Degree"/>
    <n v="4"/>
    <n v="2"/>
    <x v="0"/>
    <n v="5472"/>
    <n v="8"/>
    <x v="1"/>
    <x v="3"/>
    <n v="7"/>
    <n v="1"/>
    <n v="3"/>
    <n v="0"/>
  </r>
  <r>
    <n v="735"/>
    <x v="1"/>
    <x v="0"/>
    <x v="4"/>
    <x v="1"/>
    <s v="Life Sciences"/>
    <n v="1"/>
    <x v="1"/>
    <x v="2"/>
    <s v="Married"/>
    <s v="No"/>
    <x v="15"/>
    <n v="8"/>
    <s v="High School"/>
    <n v="2"/>
    <n v="1"/>
    <x v="3"/>
    <n v="2451"/>
    <n v="4"/>
    <x v="2"/>
    <x v="9"/>
    <n v="3"/>
    <n v="1"/>
    <n v="1"/>
    <n v="0"/>
  </r>
  <r>
    <n v="736"/>
    <x v="1"/>
    <x v="0"/>
    <x v="1"/>
    <x v="1"/>
    <s v="Life Sciences"/>
    <n v="1"/>
    <x v="1"/>
    <x v="4"/>
    <s v="Single"/>
    <s v="No"/>
    <x v="26"/>
    <n v="6"/>
    <s v="Bachelor's Degree"/>
    <n v="1"/>
    <n v="2"/>
    <x v="2"/>
    <n v="4240"/>
    <n v="19"/>
    <x v="1"/>
    <x v="4"/>
    <n v="2"/>
    <n v="2"/>
    <n v="2"/>
    <n v="0"/>
  </r>
  <r>
    <n v="737"/>
    <x v="1"/>
    <x v="0"/>
    <x v="1"/>
    <x v="1"/>
    <s v="Life Sciences"/>
    <n v="1"/>
    <x v="1"/>
    <x v="4"/>
    <s v="Single"/>
    <s v="No"/>
    <x v="26"/>
    <n v="4"/>
    <s v="Master's Degree"/>
    <n v="3"/>
    <n v="3"/>
    <x v="2"/>
    <n v="10999"/>
    <n v="27"/>
    <x v="1"/>
    <x v="15"/>
    <n v="11"/>
    <n v="4"/>
    <n v="8"/>
    <n v="0"/>
  </r>
  <r>
    <n v="738"/>
    <x v="1"/>
    <x v="0"/>
    <x v="0"/>
    <x v="1"/>
    <s v="Medical"/>
    <n v="1"/>
    <x v="0"/>
    <x v="3"/>
    <s v="Single"/>
    <s v="No"/>
    <x v="0"/>
    <n v="7"/>
    <s v="Associates Degree"/>
    <n v="4"/>
    <n v="2"/>
    <x v="2"/>
    <n v="5003"/>
    <n v="8"/>
    <x v="1"/>
    <x v="4"/>
    <n v="2"/>
    <n v="2"/>
    <n v="1"/>
    <n v="0"/>
  </r>
  <r>
    <n v="739"/>
    <x v="1"/>
    <x v="0"/>
    <x v="0"/>
    <x v="1"/>
    <s v="Life Sciences"/>
    <n v="1"/>
    <x v="0"/>
    <x v="3"/>
    <s v="Married"/>
    <s v="No"/>
    <x v="22"/>
    <n v="1"/>
    <s v="High School"/>
    <n v="4"/>
    <n v="4"/>
    <x v="0"/>
    <n v="12742"/>
    <n v="21"/>
    <x v="1"/>
    <x v="17"/>
    <n v="6"/>
    <n v="11"/>
    <n v="8"/>
    <n v="0"/>
  </r>
  <r>
    <n v="740"/>
    <x v="1"/>
    <x v="0"/>
    <x v="2"/>
    <x v="1"/>
    <s v="Life Sciences"/>
    <n v="1"/>
    <x v="0"/>
    <x v="3"/>
    <s v="Married"/>
    <s v="No"/>
    <x v="4"/>
    <n v="2"/>
    <s v="Master's Degree"/>
    <n v="1"/>
    <n v="2"/>
    <x v="0"/>
    <n v="4227"/>
    <n v="4"/>
    <x v="1"/>
    <x v="11"/>
    <n v="2"/>
    <n v="2"/>
    <n v="2"/>
    <n v="0"/>
  </r>
  <r>
    <n v="741"/>
    <x v="1"/>
    <x v="0"/>
    <x v="0"/>
    <x v="1"/>
    <s v="Other"/>
    <n v="1"/>
    <x v="1"/>
    <x v="2"/>
    <s v="Divorced"/>
    <s v="No"/>
    <x v="10"/>
    <n v="10"/>
    <s v="Bachelor's Degree"/>
    <n v="2"/>
    <n v="1"/>
    <x v="0"/>
    <n v="3917"/>
    <n v="3"/>
    <x v="2"/>
    <x v="11"/>
    <n v="2"/>
    <n v="1"/>
    <n v="2"/>
    <n v="0"/>
  </r>
  <r>
    <n v="742"/>
    <x v="1"/>
    <x v="0"/>
    <x v="0"/>
    <x v="0"/>
    <s v="Marketing"/>
    <n v="1"/>
    <x v="1"/>
    <x v="5"/>
    <s v="Married"/>
    <s v="No"/>
    <x v="19"/>
    <n v="5"/>
    <s v="Associates Degree"/>
    <n v="4"/>
    <n v="5"/>
    <x v="2"/>
    <n v="18303"/>
    <n v="21"/>
    <x v="3"/>
    <x v="6"/>
    <n v="0"/>
    <n v="0"/>
    <n v="0"/>
    <n v="0"/>
  </r>
  <r>
    <n v="743"/>
    <x v="1"/>
    <x v="0"/>
    <x v="1"/>
    <x v="1"/>
    <s v="Life Sciences"/>
    <n v="1"/>
    <x v="1"/>
    <x v="2"/>
    <s v="Married"/>
    <s v="No"/>
    <x v="24"/>
    <n v="9"/>
    <s v="Bachelor's Degree"/>
    <n v="1"/>
    <n v="1"/>
    <x v="0"/>
    <n v="2380"/>
    <n v="8"/>
    <x v="1"/>
    <x v="6"/>
    <n v="0"/>
    <n v="0"/>
    <n v="0"/>
    <n v="0"/>
  </r>
  <r>
    <n v="744"/>
    <x v="1"/>
    <x v="0"/>
    <x v="3"/>
    <x v="1"/>
    <s v="Life Sciences"/>
    <n v="1"/>
    <x v="0"/>
    <x v="3"/>
    <s v="Single"/>
    <s v="Yes"/>
    <x v="6"/>
    <n v="2"/>
    <s v="Bachelor's Degree"/>
    <n v="3"/>
    <n v="4"/>
    <x v="0"/>
    <n v="13726"/>
    <n v="30"/>
    <x v="1"/>
    <x v="8"/>
    <n v="3"/>
    <n v="4"/>
    <n v="3"/>
    <n v="0"/>
  </r>
  <r>
    <n v="745"/>
    <x v="0"/>
    <x v="0"/>
    <x v="0"/>
    <x v="1"/>
    <s v="Medical"/>
    <n v="1"/>
    <x v="0"/>
    <x v="4"/>
    <s v="Married"/>
    <s v="No"/>
    <x v="2"/>
    <n v="11"/>
    <s v="Associates Degree"/>
    <n v="1"/>
    <n v="2"/>
    <x v="1"/>
    <n v="4777"/>
    <n v="15"/>
    <x v="0"/>
    <x v="6"/>
    <n v="0"/>
    <n v="0"/>
    <n v="0"/>
    <n v="1"/>
  </r>
  <r>
    <n v="746"/>
    <x v="1"/>
    <x v="1"/>
    <x v="3"/>
    <x v="1"/>
    <s v="Medical"/>
    <n v="1"/>
    <x v="1"/>
    <x v="4"/>
    <s v="Married"/>
    <s v="Yes"/>
    <x v="27"/>
    <n v="18"/>
    <s v="Master's Degree"/>
    <n v="3"/>
    <n v="2"/>
    <x v="1"/>
    <n v="6385"/>
    <n v="17"/>
    <x v="1"/>
    <x v="3"/>
    <n v="7"/>
    <n v="6"/>
    <n v="7"/>
    <n v="0"/>
  </r>
  <r>
    <n v="747"/>
    <x v="1"/>
    <x v="2"/>
    <x v="0"/>
    <x v="1"/>
    <s v="Life Sciences"/>
    <n v="1"/>
    <x v="0"/>
    <x v="7"/>
    <s v="Divorced"/>
    <s v="No"/>
    <x v="0"/>
    <n v="7"/>
    <s v="High School"/>
    <n v="2"/>
    <n v="5"/>
    <x v="2"/>
    <n v="19973"/>
    <n v="21"/>
    <x v="1"/>
    <x v="17"/>
    <n v="16"/>
    <n v="5"/>
    <n v="10"/>
    <n v="0"/>
  </r>
  <r>
    <n v="748"/>
    <x v="1"/>
    <x v="0"/>
    <x v="0"/>
    <x v="0"/>
    <s v="Life Sciences"/>
    <n v="1"/>
    <x v="1"/>
    <x v="0"/>
    <s v="Single"/>
    <s v="Yes"/>
    <x v="8"/>
    <n v="3"/>
    <s v="Master's Degree"/>
    <n v="2"/>
    <n v="2"/>
    <x v="0"/>
    <n v="6861"/>
    <n v="19"/>
    <x v="1"/>
    <x v="6"/>
    <n v="0"/>
    <n v="0"/>
    <n v="0"/>
    <n v="0"/>
  </r>
  <r>
    <n v="749"/>
    <x v="0"/>
    <x v="2"/>
    <x v="2"/>
    <x v="0"/>
    <s v="Medical"/>
    <n v="1"/>
    <x v="1"/>
    <x v="0"/>
    <s v="Single"/>
    <s v="No"/>
    <x v="25"/>
    <n v="29"/>
    <s v="Associates Degree"/>
    <n v="2"/>
    <n v="2"/>
    <x v="3"/>
    <n v="4969"/>
    <n v="7"/>
    <x v="1"/>
    <x v="4"/>
    <n v="2"/>
    <n v="2"/>
    <n v="2"/>
    <n v="1"/>
  </r>
  <r>
    <n v="750"/>
    <x v="0"/>
    <x v="0"/>
    <x v="1"/>
    <x v="0"/>
    <s v="Marketing"/>
    <n v="1"/>
    <x v="0"/>
    <x v="5"/>
    <s v="Married"/>
    <s v="No"/>
    <x v="39"/>
    <n v="2"/>
    <s v="High School"/>
    <n v="1"/>
    <n v="5"/>
    <x v="0"/>
    <n v="19845"/>
    <n v="33"/>
    <x v="1"/>
    <x v="32"/>
    <n v="14"/>
    <n v="6"/>
    <n v="9"/>
    <n v="1"/>
  </r>
  <r>
    <n v="751"/>
    <x v="1"/>
    <x v="0"/>
    <x v="0"/>
    <x v="0"/>
    <s v="Medical"/>
    <n v="1"/>
    <x v="0"/>
    <x v="0"/>
    <s v="Married"/>
    <s v="Yes"/>
    <x v="20"/>
    <n v="28"/>
    <s v="Bachelor's Degree"/>
    <n v="4"/>
    <n v="4"/>
    <x v="0"/>
    <n v="13320"/>
    <n v="23"/>
    <x v="1"/>
    <x v="12"/>
    <n v="11"/>
    <n v="11"/>
    <n v="11"/>
    <n v="0"/>
  </r>
  <r>
    <n v="752"/>
    <x v="1"/>
    <x v="2"/>
    <x v="1"/>
    <x v="0"/>
    <s v="Life Sciences"/>
    <n v="1"/>
    <x v="0"/>
    <x v="0"/>
    <s v="Married"/>
    <s v="No"/>
    <x v="24"/>
    <n v="1"/>
    <s v="Bachelor's Degree"/>
    <n v="4"/>
    <n v="2"/>
    <x v="2"/>
    <n v="6347"/>
    <n v="19"/>
    <x v="1"/>
    <x v="29"/>
    <n v="7"/>
    <n v="0"/>
    <n v="13"/>
    <n v="0"/>
  </r>
  <r>
    <n v="753"/>
    <x v="0"/>
    <x v="0"/>
    <x v="0"/>
    <x v="1"/>
    <s v="Life Sciences"/>
    <n v="1"/>
    <x v="0"/>
    <x v="2"/>
    <s v="Single"/>
    <s v="No"/>
    <x v="9"/>
    <n v="16"/>
    <s v="Master's Degree"/>
    <n v="3"/>
    <n v="1"/>
    <x v="3"/>
    <n v="2743"/>
    <n v="18"/>
    <x v="1"/>
    <x v="18"/>
    <n v="13"/>
    <n v="15"/>
    <n v="14"/>
    <n v="1"/>
  </r>
  <r>
    <n v="754"/>
    <x v="1"/>
    <x v="1"/>
    <x v="0"/>
    <x v="1"/>
    <s v="Medical"/>
    <n v="1"/>
    <x v="0"/>
    <x v="3"/>
    <s v="Single"/>
    <s v="Yes"/>
    <x v="22"/>
    <n v="22"/>
    <s v="Bachelor's Degree"/>
    <n v="4"/>
    <n v="3"/>
    <x v="3"/>
    <n v="10880"/>
    <n v="21"/>
    <x v="1"/>
    <x v="17"/>
    <n v="6"/>
    <n v="2"/>
    <n v="8"/>
    <n v="0"/>
  </r>
  <r>
    <n v="755"/>
    <x v="1"/>
    <x v="2"/>
    <x v="2"/>
    <x v="0"/>
    <s v="Life Sciences"/>
    <n v="1"/>
    <x v="0"/>
    <x v="6"/>
    <s v="Single"/>
    <s v="No"/>
    <x v="3"/>
    <n v="8"/>
    <s v="High School"/>
    <n v="2"/>
    <n v="1"/>
    <x v="0"/>
    <n v="2342"/>
    <n v="3"/>
    <x v="2"/>
    <x v="4"/>
    <n v="2"/>
    <n v="2"/>
    <n v="2"/>
    <n v="0"/>
  </r>
  <r>
    <n v="756"/>
    <x v="1"/>
    <x v="0"/>
    <x v="1"/>
    <x v="0"/>
    <s v="Life Sciences"/>
    <n v="1"/>
    <x v="0"/>
    <x v="5"/>
    <s v="Married"/>
    <s v="No"/>
    <x v="28"/>
    <n v="11"/>
    <s v="Associates Degree"/>
    <n v="4"/>
    <n v="4"/>
    <x v="0"/>
    <n v="17650"/>
    <n v="26"/>
    <x v="3"/>
    <x v="7"/>
    <n v="3"/>
    <n v="1"/>
    <n v="1"/>
    <n v="0"/>
  </r>
  <r>
    <n v="757"/>
    <x v="1"/>
    <x v="2"/>
    <x v="2"/>
    <x v="1"/>
    <s v="Medical"/>
    <n v="1"/>
    <x v="0"/>
    <x v="2"/>
    <s v="Single"/>
    <s v="No"/>
    <x v="5"/>
    <n v="29"/>
    <s v="Master's Degree"/>
    <n v="4"/>
    <n v="1"/>
    <x v="2"/>
    <n v="4025"/>
    <n v="10"/>
    <x v="1"/>
    <x v="3"/>
    <n v="7"/>
    <n v="7"/>
    <n v="7"/>
    <n v="0"/>
  </r>
  <r>
    <n v="758"/>
    <x v="1"/>
    <x v="0"/>
    <x v="2"/>
    <x v="0"/>
    <s v="Marketing"/>
    <n v="1"/>
    <x v="1"/>
    <x v="0"/>
    <s v="Divorced"/>
    <s v="No"/>
    <x v="13"/>
    <n v="1"/>
    <s v="Master's Degree"/>
    <n v="2"/>
    <n v="2"/>
    <x v="0"/>
    <n v="9725"/>
    <n v="16"/>
    <x v="2"/>
    <x v="15"/>
    <n v="1"/>
    <n v="0"/>
    <n v="9"/>
    <n v="0"/>
  </r>
  <r>
    <n v="759"/>
    <x v="1"/>
    <x v="0"/>
    <x v="3"/>
    <x v="0"/>
    <s v="Technical Degree"/>
    <n v="1"/>
    <x v="1"/>
    <x v="5"/>
    <s v="Married"/>
    <s v="Yes"/>
    <x v="6"/>
    <n v="1"/>
    <s v="Associates Degree"/>
    <n v="2"/>
    <n v="3"/>
    <x v="0"/>
    <n v="11904"/>
    <n v="14"/>
    <x v="0"/>
    <x v="0"/>
    <n v="4"/>
    <n v="0"/>
    <n v="4"/>
    <n v="0"/>
  </r>
  <r>
    <n v="760"/>
    <x v="1"/>
    <x v="0"/>
    <x v="1"/>
    <x v="2"/>
    <s v="Medical"/>
    <n v="1"/>
    <x v="1"/>
    <x v="8"/>
    <s v="Single"/>
    <s v="No"/>
    <x v="28"/>
    <n v="24"/>
    <s v="Master's Degree"/>
    <n v="2"/>
    <n v="1"/>
    <x v="1"/>
    <n v="2177"/>
    <n v="6"/>
    <x v="1"/>
    <x v="0"/>
    <n v="3"/>
    <n v="0"/>
    <n v="4"/>
    <n v="0"/>
  </r>
  <r>
    <n v="761"/>
    <x v="1"/>
    <x v="1"/>
    <x v="1"/>
    <x v="0"/>
    <s v="Marketing"/>
    <n v="1"/>
    <x v="0"/>
    <x v="0"/>
    <s v="Married"/>
    <s v="No"/>
    <x v="16"/>
    <n v="2"/>
    <s v="Bachelor's Degree"/>
    <n v="3"/>
    <n v="3"/>
    <x v="1"/>
    <n v="7525"/>
    <n v="30"/>
    <x v="1"/>
    <x v="15"/>
    <n v="7"/>
    <n v="6"/>
    <n v="12"/>
    <n v="0"/>
  </r>
  <r>
    <n v="762"/>
    <x v="0"/>
    <x v="0"/>
    <x v="0"/>
    <x v="1"/>
    <s v="Other"/>
    <n v="1"/>
    <x v="1"/>
    <x v="2"/>
    <s v="Divorced"/>
    <s v="No"/>
    <x v="9"/>
    <n v="15"/>
    <s v="Bachelor's Degree"/>
    <n v="1"/>
    <n v="2"/>
    <x v="2"/>
    <n v="4834"/>
    <n v="9"/>
    <x v="2"/>
    <x v="6"/>
    <n v="0"/>
    <n v="0"/>
    <n v="0"/>
    <n v="1"/>
  </r>
  <r>
    <n v="763"/>
    <x v="0"/>
    <x v="1"/>
    <x v="2"/>
    <x v="1"/>
    <s v="Life Sciences"/>
    <n v="1"/>
    <x v="1"/>
    <x v="1"/>
    <s v="Married"/>
    <s v="Yes"/>
    <x v="25"/>
    <n v="2"/>
    <s v="Bachelor's Degree"/>
    <n v="1"/>
    <n v="1"/>
    <x v="3"/>
    <n v="2042"/>
    <n v="6"/>
    <x v="1"/>
    <x v="11"/>
    <n v="2"/>
    <n v="1"/>
    <n v="2"/>
    <n v="1"/>
  </r>
  <r>
    <n v="764"/>
    <x v="1"/>
    <x v="0"/>
    <x v="2"/>
    <x v="0"/>
    <s v="Life Sciences"/>
    <n v="1"/>
    <x v="0"/>
    <x v="6"/>
    <s v="Married"/>
    <s v="Yes"/>
    <x v="13"/>
    <n v="10"/>
    <s v="Master's Degree"/>
    <n v="3"/>
    <n v="1"/>
    <x v="2"/>
    <n v="2220"/>
    <n v="1"/>
    <x v="1"/>
    <x v="6"/>
    <n v="1"/>
    <n v="0"/>
    <n v="0"/>
    <n v="0"/>
  </r>
  <r>
    <n v="765"/>
    <x v="1"/>
    <x v="0"/>
    <x v="2"/>
    <x v="0"/>
    <s v="Medical"/>
    <n v="1"/>
    <x v="1"/>
    <x v="6"/>
    <s v="Married"/>
    <s v="No"/>
    <x v="14"/>
    <n v="10"/>
    <s v="High School"/>
    <n v="4"/>
    <n v="1"/>
    <x v="1"/>
    <n v="1052"/>
    <n v="1"/>
    <x v="1"/>
    <x v="6"/>
    <n v="0"/>
    <n v="0"/>
    <n v="0"/>
    <n v="0"/>
  </r>
  <r>
    <n v="766"/>
    <x v="1"/>
    <x v="1"/>
    <x v="0"/>
    <x v="1"/>
    <s v="Other"/>
    <n v="1"/>
    <x v="1"/>
    <x v="1"/>
    <s v="Married"/>
    <s v="No"/>
    <x v="8"/>
    <n v="3"/>
    <s v="Master's Degree"/>
    <n v="3"/>
    <n v="1"/>
    <x v="2"/>
    <n v="2821"/>
    <n v="8"/>
    <x v="1"/>
    <x v="4"/>
    <n v="2"/>
    <n v="2"/>
    <n v="2"/>
    <n v="0"/>
  </r>
  <r>
    <n v="767"/>
    <x v="1"/>
    <x v="0"/>
    <x v="1"/>
    <x v="1"/>
    <s v="Medical"/>
    <n v="1"/>
    <x v="1"/>
    <x v="7"/>
    <s v="Married"/>
    <s v="Yes"/>
    <x v="24"/>
    <n v="2"/>
    <s v="Master's Degree"/>
    <n v="2"/>
    <n v="5"/>
    <x v="2"/>
    <n v="19237"/>
    <n v="29"/>
    <x v="2"/>
    <x v="3"/>
    <n v="1"/>
    <n v="7"/>
    <n v="7"/>
    <n v="0"/>
  </r>
  <r>
    <n v="768"/>
    <x v="1"/>
    <x v="0"/>
    <x v="0"/>
    <x v="1"/>
    <s v="Other"/>
    <n v="1"/>
    <x v="0"/>
    <x v="4"/>
    <s v="Single"/>
    <s v="No"/>
    <x v="2"/>
    <n v="3"/>
    <s v="Bachelor's Degree"/>
    <n v="4"/>
    <n v="2"/>
    <x v="1"/>
    <n v="4107"/>
    <n v="8"/>
    <x v="2"/>
    <x v="9"/>
    <n v="3"/>
    <n v="0"/>
    <n v="1"/>
    <n v="0"/>
  </r>
  <r>
    <n v="769"/>
    <x v="1"/>
    <x v="0"/>
    <x v="0"/>
    <x v="0"/>
    <s v="Marketing"/>
    <n v="1"/>
    <x v="1"/>
    <x v="0"/>
    <s v="Married"/>
    <s v="No"/>
    <x v="32"/>
    <n v="26"/>
    <s v="Bachelor's Degree"/>
    <n v="3"/>
    <n v="2"/>
    <x v="3"/>
    <n v="8396"/>
    <n v="8"/>
    <x v="2"/>
    <x v="5"/>
    <n v="7"/>
    <n v="7"/>
    <n v="5"/>
    <n v="0"/>
  </r>
  <r>
    <n v="770"/>
    <x v="1"/>
    <x v="1"/>
    <x v="2"/>
    <x v="1"/>
    <s v="Medical"/>
    <n v="1"/>
    <x v="0"/>
    <x v="1"/>
    <s v="Divorced"/>
    <s v="No"/>
    <x v="25"/>
    <n v="1"/>
    <s v="High School"/>
    <n v="1"/>
    <n v="1"/>
    <x v="2"/>
    <n v="2007"/>
    <n v="5"/>
    <x v="1"/>
    <x v="8"/>
    <n v="3"/>
    <n v="1"/>
    <n v="3"/>
    <n v="0"/>
  </r>
  <r>
    <n v="771"/>
    <x v="1"/>
    <x v="0"/>
    <x v="1"/>
    <x v="1"/>
    <s v="Medical"/>
    <n v="1"/>
    <x v="1"/>
    <x v="7"/>
    <s v="Divorced"/>
    <s v="No"/>
    <x v="21"/>
    <n v="1"/>
    <s v="Master's Degree"/>
    <n v="4"/>
    <n v="5"/>
    <x v="0"/>
    <n v="19627"/>
    <n v="23"/>
    <x v="1"/>
    <x v="4"/>
    <n v="2"/>
    <n v="2"/>
    <n v="2"/>
    <n v="0"/>
  </r>
  <r>
    <n v="772"/>
    <x v="1"/>
    <x v="0"/>
    <x v="1"/>
    <x v="0"/>
    <s v="Life Sciences"/>
    <n v="1"/>
    <x v="0"/>
    <x v="0"/>
    <s v="Married"/>
    <s v="No"/>
    <x v="33"/>
    <n v="2"/>
    <s v="Master's Degree"/>
    <n v="3"/>
    <n v="3"/>
    <x v="2"/>
    <n v="10686"/>
    <n v="13"/>
    <x v="1"/>
    <x v="7"/>
    <n v="4"/>
    <n v="7"/>
    <n v="0"/>
    <n v="0"/>
  </r>
  <r>
    <n v="773"/>
    <x v="1"/>
    <x v="1"/>
    <x v="3"/>
    <x v="1"/>
    <s v="Medical"/>
    <n v="1"/>
    <x v="0"/>
    <x v="1"/>
    <s v="Married"/>
    <s v="No"/>
    <x v="29"/>
    <n v="9"/>
    <s v="Bachelor's Degree"/>
    <n v="1"/>
    <n v="1"/>
    <x v="2"/>
    <n v="2942"/>
    <n v="18"/>
    <x v="1"/>
    <x v="8"/>
    <n v="4"/>
    <n v="0"/>
    <n v="3"/>
    <n v="0"/>
  </r>
  <r>
    <n v="774"/>
    <x v="1"/>
    <x v="0"/>
    <x v="0"/>
    <x v="1"/>
    <s v="Medical"/>
    <n v="1"/>
    <x v="0"/>
    <x v="3"/>
    <s v="Single"/>
    <s v="No"/>
    <x v="9"/>
    <n v="12"/>
    <s v="Doctoral Degree"/>
    <n v="4"/>
    <n v="3"/>
    <x v="0"/>
    <n v="8858"/>
    <n v="15"/>
    <x v="2"/>
    <x v="13"/>
    <n v="8"/>
    <n v="7"/>
    <n v="8"/>
    <n v="0"/>
  </r>
  <r>
    <n v="775"/>
    <x v="1"/>
    <x v="2"/>
    <x v="3"/>
    <x v="1"/>
    <s v="Medical"/>
    <n v="1"/>
    <x v="1"/>
    <x v="5"/>
    <s v="Single"/>
    <s v="No"/>
    <x v="27"/>
    <n v="2"/>
    <s v="High School"/>
    <n v="3"/>
    <n v="4"/>
    <x v="3"/>
    <n v="16756"/>
    <n v="31"/>
    <x v="3"/>
    <x v="7"/>
    <n v="7"/>
    <n v="6"/>
    <n v="2"/>
    <n v="0"/>
  </r>
  <r>
    <n v="776"/>
    <x v="1"/>
    <x v="0"/>
    <x v="0"/>
    <x v="0"/>
    <s v="Medical"/>
    <n v="1"/>
    <x v="1"/>
    <x v="0"/>
    <s v="Divorced"/>
    <s v="No"/>
    <x v="23"/>
    <n v="25"/>
    <s v="Bachelor's Degree"/>
    <n v="3"/>
    <n v="3"/>
    <x v="0"/>
    <n v="10798"/>
    <n v="18"/>
    <x v="1"/>
    <x v="6"/>
    <n v="0"/>
    <n v="0"/>
    <n v="0"/>
    <n v="0"/>
  </r>
  <r>
    <n v="777"/>
    <x v="0"/>
    <x v="1"/>
    <x v="4"/>
    <x v="0"/>
    <s v="Marketing"/>
    <n v="1"/>
    <x v="0"/>
    <x v="6"/>
    <s v="Single"/>
    <s v="Yes"/>
    <x v="35"/>
    <n v="9"/>
    <s v="Bachelor's Degree"/>
    <n v="4"/>
    <n v="1"/>
    <x v="0"/>
    <n v="2323"/>
    <n v="2"/>
    <x v="1"/>
    <x v="4"/>
    <n v="2"/>
    <n v="0"/>
    <n v="2"/>
    <n v="1"/>
  </r>
  <r>
    <n v="778"/>
    <x v="0"/>
    <x v="0"/>
    <x v="4"/>
    <x v="1"/>
    <s v="Life Sciences"/>
    <n v="1"/>
    <x v="0"/>
    <x v="2"/>
    <s v="Single"/>
    <s v="No"/>
    <x v="18"/>
    <n v="10"/>
    <s v="Bachelor's Degree"/>
    <n v="3"/>
    <n v="1"/>
    <x v="3"/>
    <n v="1416"/>
    <n v="1"/>
    <x v="2"/>
    <x v="6"/>
    <n v="0"/>
    <n v="1"/>
    <n v="0"/>
    <n v="1"/>
  </r>
  <r>
    <n v="779"/>
    <x v="1"/>
    <x v="0"/>
    <x v="1"/>
    <x v="1"/>
    <s v="Life Sciences"/>
    <n v="1"/>
    <x v="0"/>
    <x v="1"/>
    <s v="Divorced"/>
    <s v="Yes"/>
    <x v="21"/>
    <n v="8"/>
    <s v="Master's Degree"/>
    <n v="4"/>
    <n v="2"/>
    <x v="3"/>
    <n v="4615"/>
    <n v="19"/>
    <x v="1"/>
    <x v="22"/>
    <n v="13"/>
    <n v="1"/>
    <n v="7"/>
    <n v="0"/>
  </r>
  <r>
    <n v="780"/>
    <x v="0"/>
    <x v="0"/>
    <x v="1"/>
    <x v="1"/>
    <s v="Life Sciences"/>
    <n v="1"/>
    <x v="1"/>
    <x v="1"/>
    <s v="Married"/>
    <s v="Yes"/>
    <x v="31"/>
    <n v="4"/>
    <s v="Master's Degree"/>
    <n v="1"/>
    <n v="1"/>
    <x v="2"/>
    <n v="2461"/>
    <n v="18"/>
    <x v="3"/>
    <x v="1"/>
    <n v="0"/>
    <n v="2"/>
    <n v="7"/>
    <n v="1"/>
  </r>
  <r>
    <n v="781"/>
    <x v="0"/>
    <x v="2"/>
    <x v="2"/>
    <x v="1"/>
    <s v="Technical Degree"/>
    <n v="1"/>
    <x v="1"/>
    <x v="4"/>
    <s v="Single"/>
    <s v="No"/>
    <x v="14"/>
    <n v="24"/>
    <s v="Associates Degree"/>
    <n v="2"/>
    <n v="3"/>
    <x v="3"/>
    <n v="8722"/>
    <n v="10"/>
    <x v="2"/>
    <x v="1"/>
    <n v="7"/>
    <n v="1"/>
    <n v="9"/>
    <n v="1"/>
  </r>
  <r>
    <n v="782"/>
    <x v="1"/>
    <x v="0"/>
    <x v="2"/>
    <x v="1"/>
    <s v="Medical"/>
    <n v="1"/>
    <x v="1"/>
    <x v="2"/>
    <s v="Married"/>
    <s v="No"/>
    <x v="25"/>
    <n v="1"/>
    <s v="Associates Degree"/>
    <n v="1"/>
    <n v="1"/>
    <x v="3"/>
    <n v="3955"/>
    <n v="6"/>
    <x v="1"/>
    <x v="8"/>
    <n v="3"/>
    <n v="1"/>
    <n v="3"/>
    <n v="0"/>
  </r>
  <r>
    <n v="783"/>
    <x v="1"/>
    <x v="0"/>
    <x v="2"/>
    <x v="1"/>
    <s v="Other"/>
    <n v="1"/>
    <x v="1"/>
    <x v="3"/>
    <s v="Married"/>
    <s v="No"/>
    <x v="7"/>
    <n v="20"/>
    <s v="Bachelor's Degree"/>
    <n v="3"/>
    <n v="2"/>
    <x v="3"/>
    <n v="9957"/>
    <n v="7"/>
    <x v="2"/>
    <x v="0"/>
    <n v="2"/>
    <n v="0"/>
    <n v="2"/>
    <n v="0"/>
  </r>
  <r>
    <n v="784"/>
    <x v="1"/>
    <x v="0"/>
    <x v="0"/>
    <x v="1"/>
    <s v="Technical Degree"/>
    <n v="1"/>
    <x v="0"/>
    <x v="1"/>
    <s v="Married"/>
    <s v="No"/>
    <x v="0"/>
    <n v="7"/>
    <s v="Associates Degree"/>
    <n v="2"/>
    <n v="1"/>
    <x v="2"/>
    <n v="3376"/>
    <n v="10"/>
    <x v="1"/>
    <x v="1"/>
    <n v="6"/>
    <n v="0"/>
    <n v="8"/>
    <n v="0"/>
  </r>
  <r>
    <n v="785"/>
    <x v="1"/>
    <x v="0"/>
    <x v="0"/>
    <x v="1"/>
    <s v="Life Sciences"/>
    <n v="1"/>
    <x v="0"/>
    <x v="4"/>
    <s v="Married"/>
    <s v="No"/>
    <x v="8"/>
    <n v="17"/>
    <s v="High School"/>
    <n v="3"/>
    <n v="3"/>
    <x v="2"/>
    <n v="8823"/>
    <n v="20"/>
    <x v="2"/>
    <x v="27"/>
    <n v="9"/>
    <n v="1"/>
    <n v="9"/>
    <n v="0"/>
  </r>
  <r>
    <n v="786"/>
    <x v="1"/>
    <x v="0"/>
    <x v="0"/>
    <x v="1"/>
    <s v="Technical Degree"/>
    <n v="1"/>
    <x v="1"/>
    <x v="4"/>
    <s v="Married"/>
    <s v="No"/>
    <x v="32"/>
    <n v="20"/>
    <s v="Master's Degree"/>
    <n v="1"/>
    <n v="3"/>
    <x v="0"/>
    <n v="10322"/>
    <n v="14"/>
    <x v="1"/>
    <x v="19"/>
    <n v="10"/>
    <n v="11"/>
    <n v="1"/>
    <n v="0"/>
  </r>
  <r>
    <n v="787"/>
    <x v="1"/>
    <x v="2"/>
    <x v="2"/>
    <x v="1"/>
    <s v="Life Sciences"/>
    <n v="1"/>
    <x v="1"/>
    <x v="2"/>
    <s v="Married"/>
    <s v="No"/>
    <x v="4"/>
    <n v="8"/>
    <s v="Doctoral Degree"/>
    <n v="1"/>
    <n v="1"/>
    <x v="2"/>
    <n v="4621"/>
    <n v="3"/>
    <x v="1"/>
    <x v="11"/>
    <n v="2"/>
    <n v="1"/>
    <n v="2"/>
    <n v="0"/>
  </r>
  <r>
    <n v="788"/>
    <x v="1"/>
    <x v="1"/>
    <x v="3"/>
    <x v="1"/>
    <s v="Life Sciences"/>
    <n v="1"/>
    <x v="1"/>
    <x v="3"/>
    <s v="Married"/>
    <s v="No"/>
    <x v="27"/>
    <n v="2"/>
    <s v="High School"/>
    <n v="4"/>
    <n v="3"/>
    <x v="1"/>
    <n v="10976"/>
    <n v="23"/>
    <x v="1"/>
    <x v="11"/>
    <n v="2"/>
    <n v="1"/>
    <n v="2"/>
    <n v="0"/>
  </r>
  <r>
    <n v="789"/>
    <x v="1"/>
    <x v="0"/>
    <x v="2"/>
    <x v="1"/>
    <s v="Other"/>
    <n v="1"/>
    <x v="0"/>
    <x v="1"/>
    <s v="Single"/>
    <s v="No"/>
    <x v="14"/>
    <n v="10"/>
    <s v="Bachelor's Degree"/>
    <n v="3"/>
    <n v="2"/>
    <x v="2"/>
    <n v="3660"/>
    <n v="10"/>
    <x v="3"/>
    <x v="3"/>
    <n v="7"/>
    <n v="1"/>
    <n v="7"/>
    <n v="0"/>
  </r>
  <r>
    <n v="790"/>
    <x v="0"/>
    <x v="0"/>
    <x v="0"/>
    <x v="2"/>
    <s v="Medical"/>
    <n v="1"/>
    <x v="1"/>
    <x v="8"/>
    <s v="Married"/>
    <s v="No"/>
    <x v="20"/>
    <n v="1"/>
    <s v="Associates Degree"/>
    <n v="2"/>
    <n v="3"/>
    <x v="3"/>
    <n v="10482"/>
    <n v="24"/>
    <x v="1"/>
    <x v="23"/>
    <n v="6"/>
    <n v="3"/>
    <n v="6"/>
    <n v="1"/>
  </r>
  <r>
    <n v="791"/>
    <x v="1"/>
    <x v="0"/>
    <x v="2"/>
    <x v="1"/>
    <s v="Life Sciences"/>
    <n v="1"/>
    <x v="1"/>
    <x v="4"/>
    <s v="Divorced"/>
    <s v="No"/>
    <x v="3"/>
    <n v="5"/>
    <s v="Bachelor's Degree"/>
    <n v="4"/>
    <n v="3"/>
    <x v="0"/>
    <n v="7119"/>
    <n v="9"/>
    <x v="1"/>
    <x v="11"/>
    <n v="2"/>
    <n v="1"/>
    <n v="2"/>
    <n v="0"/>
  </r>
  <r>
    <n v="792"/>
    <x v="0"/>
    <x v="0"/>
    <x v="0"/>
    <x v="0"/>
    <s v="Technical Degree"/>
    <n v="1"/>
    <x v="1"/>
    <x v="0"/>
    <s v="Single"/>
    <s v="Yes"/>
    <x v="10"/>
    <n v="4"/>
    <s v="Bachelor's Degree"/>
    <n v="4"/>
    <n v="3"/>
    <x v="3"/>
    <n v="9582"/>
    <n v="9"/>
    <x v="1"/>
    <x v="3"/>
    <n v="7"/>
    <n v="4"/>
    <n v="7"/>
    <n v="1"/>
  </r>
  <r>
    <n v="793"/>
    <x v="0"/>
    <x v="1"/>
    <x v="2"/>
    <x v="1"/>
    <s v="Medical"/>
    <n v="1"/>
    <x v="0"/>
    <x v="1"/>
    <s v="Single"/>
    <s v="No"/>
    <x v="3"/>
    <n v="29"/>
    <s v="Master's Degree"/>
    <n v="1"/>
    <n v="2"/>
    <x v="2"/>
    <n v="4508"/>
    <n v="14"/>
    <x v="1"/>
    <x v="20"/>
    <n v="7"/>
    <n v="3"/>
    <n v="8"/>
    <n v="1"/>
  </r>
  <r>
    <n v="794"/>
    <x v="1"/>
    <x v="0"/>
    <x v="2"/>
    <x v="1"/>
    <s v="Life Sciences"/>
    <n v="1"/>
    <x v="1"/>
    <x v="2"/>
    <s v="Divorced"/>
    <s v="No"/>
    <x v="14"/>
    <n v="15"/>
    <s v="Associates Degree"/>
    <n v="1"/>
    <n v="1"/>
    <x v="2"/>
    <n v="2207"/>
    <n v="4"/>
    <x v="2"/>
    <x v="9"/>
    <n v="2"/>
    <n v="2"/>
    <n v="2"/>
    <n v="0"/>
  </r>
  <r>
    <n v="795"/>
    <x v="1"/>
    <x v="1"/>
    <x v="2"/>
    <x v="1"/>
    <s v="Life Sciences"/>
    <n v="1"/>
    <x v="1"/>
    <x v="4"/>
    <s v="Single"/>
    <s v="No"/>
    <x v="13"/>
    <n v="3"/>
    <s v="High School"/>
    <n v="1"/>
    <n v="2"/>
    <x v="0"/>
    <n v="7756"/>
    <n v="7"/>
    <x v="2"/>
    <x v="0"/>
    <n v="2"/>
    <n v="0"/>
    <n v="4"/>
    <n v="0"/>
  </r>
  <r>
    <n v="796"/>
    <x v="1"/>
    <x v="0"/>
    <x v="0"/>
    <x v="0"/>
    <s v="Life Sciences"/>
    <n v="1"/>
    <x v="0"/>
    <x v="0"/>
    <s v="Divorced"/>
    <s v="Yes"/>
    <x v="2"/>
    <n v="10"/>
    <s v="Master's Degree"/>
    <n v="4"/>
    <n v="2"/>
    <x v="0"/>
    <n v="6694"/>
    <n v="8"/>
    <x v="1"/>
    <x v="6"/>
    <n v="0"/>
    <n v="0"/>
    <n v="0"/>
    <n v="0"/>
  </r>
  <r>
    <n v="797"/>
    <x v="0"/>
    <x v="0"/>
    <x v="2"/>
    <x v="1"/>
    <s v="Technical Degree"/>
    <n v="1"/>
    <x v="1"/>
    <x v="2"/>
    <s v="Married"/>
    <s v="Yes"/>
    <x v="36"/>
    <n v="4"/>
    <s v="High School"/>
    <n v="4"/>
    <n v="1"/>
    <x v="0"/>
    <n v="3691"/>
    <n v="7"/>
    <x v="3"/>
    <x v="5"/>
    <n v="7"/>
    <n v="5"/>
    <n v="6"/>
    <n v="1"/>
  </r>
  <r>
    <n v="798"/>
    <x v="0"/>
    <x v="0"/>
    <x v="2"/>
    <x v="1"/>
    <s v="Medical"/>
    <n v="1"/>
    <x v="1"/>
    <x v="2"/>
    <s v="Divorced"/>
    <s v="No"/>
    <x v="25"/>
    <n v="21"/>
    <s v="Bachelor's Degree"/>
    <n v="1"/>
    <n v="1"/>
    <x v="2"/>
    <n v="2377"/>
    <n v="1"/>
    <x v="2"/>
    <x v="6"/>
    <n v="1"/>
    <n v="0"/>
    <n v="0"/>
    <n v="1"/>
  </r>
  <r>
    <n v="799"/>
    <x v="0"/>
    <x v="0"/>
    <x v="2"/>
    <x v="1"/>
    <s v="Medical"/>
    <n v="1"/>
    <x v="1"/>
    <x v="1"/>
    <s v="Single"/>
    <s v="Yes"/>
    <x v="3"/>
    <n v="25"/>
    <s v="Bachelor's Degree"/>
    <n v="1"/>
    <n v="1"/>
    <x v="1"/>
    <n v="2313"/>
    <n v="5"/>
    <x v="1"/>
    <x v="4"/>
    <n v="2"/>
    <n v="2"/>
    <n v="2"/>
    <n v="1"/>
  </r>
  <r>
    <n v="800"/>
    <x v="1"/>
    <x v="0"/>
    <x v="0"/>
    <x v="1"/>
    <s v="Medical"/>
    <n v="1"/>
    <x v="1"/>
    <x v="5"/>
    <s v="Married"/>
    <s v="No"/>
    <x v="19"/>
    <n v="2"/>
    <s v="Associates Degree"/>
    <n v="4"/>
    <n v="4"/>
    <x v="3"/>
    <n v="17665"/>
    <n v="23"/>
    <x v="1"/>
    <x v="14"/>
    <n v="6"/>
    <n v="13"/>
    <n v="7"/>
    <n v="0"/>
  </r>
  <r>
    <n v="801"/>
    <x v="0"/>
    <x v="1"/>
    <x v="2"/>
    <x v="1"/>
    <s v="Medical"/>
    <n v="1"/>
    <x v="1"/>
    <x v="2"/>
    <s v="Divorced"/>
    <s v="No"/>
    <x v="14"/>
    <n v="1"/>
    <s v="Bachelor's Degree"/>
    <n v="1"/>
    <n v="1"/>
    <x v="1"/>
    <n v="2596"/>
    <n v="1"/>
    <x v="1"/>
    <x v="6"/>
    <n v="0"/>
    <n v="0"/>
    <n v="0"/>
    <n v="1"/>
  </r>
  <r>
    <n v="802"/>
    <x v="0"/>
    <x v="1"/>
    <x v="1"/>
    <x v="0"/>
    <s v="Other"/>
    <n v="1"/>
    <x v="1"/>
    <x v="0"/>
    <s v="Single"/>
    <s v="Yes"/>
    <x v="24"/>
    <n v="1"/>
    <s v="Master's Degree"/>
    <n v="4"/>
    <n v="2"/>
    <x v="2"/>
    <n v="4728"/>
    <n v="5"/>
    <x v="1"/>
    <x v="2"/>
    <n v="0"/>
    <n v="0"/>
    <n v="0"/>
    <n v="1"/>
  </r>
  <r>
    <n v="803"/>
    <x v="1"/>
    <x v="1"/>
    <x v="2"/>
    <x v="0"/>
    <s v="Life Sciences"/>
    <n v="1"/>
    <x v="0"/>
    <x v="0"/>
    <s v="Married"/>
    <s v="No"/>
    <x v="3"/>
    <n v="7"/>
    <s v="Bachelor's Degree"/>
    <n v="4"/>
    <n v="2"/>
    <x v="1"/>
    <n v="4302"/>
    <n v="4"/>
    <x v="1"/>
    <x v="11"/>
    <n v="2"/>
    <n v="0"/>
    <n v="2"/>
    <n v="0"/>
  </r>
  <r>
    <n v="804"/>
    <x v="1"/>
    <x v="2"/>
    <x v="2"/>
    <x v="1"/>
    <s v="Life Sciences"/>
    <n v="1"/>
    <x v="1"/>
    <x v="1"/>
    <s v="Married"/>
    <s v="No"/>
    <x v="13"/>
    <n v="3"/>
    <s v="Master's Degree"/>
    <n v="3"/>
    <n v="1"/>
    <x v="0"/>
    <n v="2979"/>
    <n v="6"/>
    <x v="1"/>
    <x v="2"/>
    <n v="0"/>
    <n v="0"/>
    <n v="0"/>
    <n v="0"/>
  </r>
  <r>
    <n v="805"/>
    <x v="1"/>
    <x v="2"/>
    <x v="1"/>
    <x v="1"/>
    <s v="Medical"/>
    <n v="1"/>
    <x v="1"/>
    <x v="5"/>
    <s v="Single"/>
    <s v="No"/>
    <x v="26"/>
    <n v="1"/>
    <s v="Master's Degree"/>
    <n v="1"/>
    <n v="4"/>
    <x v="0"/>
    <n v="16885"/>
    <n v="27"/>
    <x v="2"/>
    <x v="8"/>
    <n v="4"/>
    <n v="2"/>
    <n v="1"/>
    <n v="0"/>
  </r>
  <r>
    <n v="806"/>
    <x v="1"/>
    <x v="2"/>
    <x v="1"/>
    <x v="0"/>
    <s v="Life Sciences"/>
    <n v="1"/>
    <x v="0"/>
    <x v="0"/>
    <s v="Married"/>
    <s v="No"/>
    <x v="28"/>
    <n v="9"/>
    <s v="Master's Degree"/>
    <n v="2"/>
    <n v="2"/>
    <x v="2"/>
    <n v="5593"/>
    <n v="15"/>
    <x v="1"/>
    <x v="15"/>
    <n v="10"/>
    <n v="4"/>
    <n v="12"/>
    <n v="0"/>
  </r>
  <r>
    <n v="807"/>
    <x v="1"/>
    <x v="0"/>
    <x v="1"/>
    <x v="1"/>
    <s v="Life Sciences"/>
    <n v="1"/>
    <x v="1"/>
    <x v="4"/>
    <s v="Single"/>
    <s v="No"/>
    <x v="39"/>
    <n v="7"/>
    <s v="Master's Degree"/>
    <n v="2"/>
    <n v="3"/>
    <x v="1"/>
    <n v="10445"/>
    <n v="18"/>
    <x v="1"/>
    <x v="3"/>
    <n v="6"/>
    <n v="4"/>
    <n v="0"/>
    <n v="0"/>
  </r>
  <r>
    <n v="808"/>
    <x v="1"/>
    <x v="0"/>
    <x v="0"/>
    <x v="0"/>
    <s v="Marketing"/>
    <n v="1"/>
    <x v="1"/>
    <x v="0"/>
    <s v="Divorced"/>
    <s v="Yes"/>
    <x v="8"/>
    <n v="10"/>
    <s v="Master's Degree"/>
    <n v="3"/>
    <n v="3"/>
    <x v="2"/>
    <n v="8740"/>
    <n v="9"/>
    <x v="1"/>
    <x v="3"/>
    <n v="7"/>
    <n v="2"/>
    <n v="7"/>
    <n v="0"/>
  </r>
  <r>
    <n v="809"/>
    <x v="1"/>
    <x v="0"/>
    <x v="2"/>
    <x v="1"/>
    <s v="Life Sciences"/>
    <n v="1"/>
    <x v="0"/>
    <x v="1"/>
    <s v="Divorced"/>
    <s v="No"/>
    <x v="11"/>
    <n v="28"/>
    <s v="Master's Degree"/>
    <n v="3"/>
    <n v="1"/>
    <x v="0"/>
    <n v="2514"/>
    <n v="11"/>
    <x v="1"/>
    <x v="5"/>
    <n v="5"/>
    <n v="1"/>
    <n v="7"/>
    <n v="0"/>
  </r>
  <r>
    <n v="810"/>
    <x v="1"/>
    <x v="0"/>
    <x v="2"/>
    <x v="1"/>
    <s v="Medical"/>
    <n v="1"/>
    <x v="0"/>
    <x v="3"/>
    <s v="Divorced"/>
    <s v="No"/>
    <x v="14"/>
    <n v="3"/>
    <s v="Bachelor's Degree"/>
    <n v="4"/>
    <n v="3"/>
    <x v="1"/>
    <n v="7655"/>
    <n v="10"/>
    <x v="2"/>
    <x v="7"/>
    <n v="7"/>
    <n v="1"/>
    <n v="7"/>
    <n v="0"/>
  </r>
  <r>
    <n v="811"/>
    <x v="1"/>
    <x v="0"/>
    <x v="1"/>
    <x v="0"/>
    <s v="Marketing"/>
    <n v="1"/>
    <x v="1"/>
    <x v="5"/>
    <s v="Married"/>
    <s v="No"/>
    <x v="21"/>
    <n v="3"/>
    <s v="High School"/>
    <n v="1"/>
    <n v="4"/>
    <x v="2"/>
    <n v="17465"/>
    <n v="23"/>
    <x v="1"/>
    <x v="12"/>
    <n v="9"/>
    <n v="4"/>
    <n v="9"/>
    <n v="0"/>
  </r>
  <r>
    <n v="812"/>
    <x v="1"/>
    <x v="0"/>
    <x v="0"/>
    <x v="0"/>
    <s v="Marketing"/>
    <n v="1"/>
    <x v="1"/>
    <x v="0"/>
    <s v="Single"/>
    <s v="No"/>
    <x v="8"/>
    <n v="2"/>
    <s v="Associates Degree"/>
    <n v="4"/>
    <n v="3"/>
    <x v="1"/>
    <n v="7351"/>
    <n v="10"/>
    <x v="1"/>
    <x v="6"/>
    <n v="0"/>
    <n v="0"/>
    <n v="0"/>
    <n v="0"/>
  </r>
  <r>
    <n v="813"/>
    <x v="1"/>
    <x v="1"/>
    <x v="0"/>
    <x v="1"/>
    <s v="Life Sciences"/>
    <n v="1"/>
    <x v="0"/>
    <x v="3"/>
    <s v="Married"/>
    <s v="No"/>
    <x v="23"/>
    <n v="27"/>
    <s v="Bachelor's Degree"/>
    <n v="3"/>
    <n v="3"/>
    <x v="3"/>
    <n v="10820"/>
    <n v="18"/>
    <x v="1"/>
    <x v="3"/>
    <n v="7"/>
    <n v="0"/>
    <n v="1"/>
    <n v="0"/>
  </r>
  <r>
    <n v="814"/>
    <x v="0"/>
    <x v="1"/>
    <x v="0"/>
    <x v="1"/>
    <s v="Life Sciences"/>
    <n v="1"/>
    <x v="1"/>
    <x v="4"/>
    <s v="Divorced"/>
    <s v="No"/>
    <x v="22"/>
    <n v="2"/>
    <s v="Bachelor's Degree"/>
    <n v="1"/>
    <n v="4"/>
    <x v="0"/>
    <n v="12169"/>
    <n v="21"/>
    <x v="1"/>
    <x v="29"/>
    <n v="7"/>
    <n v="11"/>
    <n v="5"/>
    <n v="1"/>
  </r>
  <r>
    <n v="815"/>
    <x v="1"/>
    <x v="0"/>
    <x v="0"/>
    <x v="1"/>
    <s v="Medical"/>
    <n v="1"/>
    <x v="1"/>
    <x v="7"/>
    <s v="Single"/>
    <s v="No"/>
    <x v="32"/>
    <n v="14"/>
    <s v="Bachelor's Degree"/>
    <n v="3"/>
    <n v="5"/>
    <x v="2"/>
    <n v="19626"/>
    <n v="21"/>
    <x v="3"/>
    <x v="23"/>
    <n v="7"/>
    <n v="4"/>
    <n v="9"/>
    <n v="0"/>
  </r>
  <r>
    <n v="816"/>
    <x v="1"/>
    <x v="0"/>
    <x v="4"/>
    <x v="1"/>
    <s v="Technical Degree"/>
    <n v="1"/>
    <x v="0"/>
    <x v="1"/>
    <s v="Single"/>
    <s v="Yes"/>
    <x v="18"/>
    <n v="1"/>
    <s v="High School"/>
    <n v="4"/>
    <n v="1"/>
    <x v="1"/>
    <n v="2070"/>
    <n v="2"/>
    <x v="3"/>
    <x v="4"/>
    <n v="2"/>
    <n v="2"/>
    <n v="2"/>
    <n v="0"/>
  </r>
  <r>
    <n v="817"/>
    <x v="1"/>
    <x v="2"/>
    <x v="0"/>
    <x v="1"/>
    <s v="Life Sciences"/>
    <n v="1"/>
    <x v="1"/>
    <x v="2"/>
    <s v="Single"/>
    <s v="No"/>
    <x v="22"/>
    <n v="9"/>
    <s v="Bachelor's Degree"/>
    <n v="3"/>
    <n v="2"/>
    <x v="1"/>
    <n v="6782"/>
    <n v="9"/>
    <x v="2"/>
    <x v="8"/>
    <n v="4"/>
    <n v="0"/>
    <n v="3"/>
    <n v="0"/>
  </r>
  <r>
    <n v="818"/>
    <x v="1"/>
    <x v="2"/>
    <x v="0"/>
    <x v="1"/>
    <s v="Life Sciences"/>
    <n v="1"/>
    <x v="1"/>
    <x v="3"/>
    <s v="Single"/>
    <s v="No"/>
    <x v="9"/>
    <n v="18"/>
    <s v="Master's Degree"/>
    <n v="1"/>
    <n v="2"/>
    <x v="0"/>
    <n v="7779"/>
    <n v="18"/>
    <x v="1"/>
    <x v="19"/>
    <n v="9"/>
    <n v="0"/>
    <n v="9"/>
    <n v="0"/>
  </r>
  <r>
    <n v="819"/>
    <x v="1"/>
    <x v="1"/>
    <x v="2"/>
    <x v="0"/>
    <s v="Life Sciences"/>
    <n v="1"/>
    <x v="1"/>
    <x v="6"/>
    <s v="Married"/>
    <s v="No"/>
    <x v="12"/>
    <n v="20"/>
    <s v="Bachelor's Degree"/>
    <n v="3"/>
    <n v="1"/>
    <x v="0"/>
    <n v="2791"/>
    <n v="3"/>
    <x v="1"/>
    <x v="4"/>
    <n v="2"/>
    <n v="2"/>
    <n v="2"/>
    <n v="0"/>
  </r>
  <r>
    <n v="820"/>
    <x v="1"/>
    <x v="0"/>
    <x v="2"/>
    <x v="1"/>
    <s v="Life Sciences"/>
    <n v="1"/>
    <x v="1"/>
    <x v="1"/>
    <s v="Married"/>
    <s v="No"/>
    <x v="14"/>
    <n v="2"/>
    <s v="High School"/>
    <n v="1"/>
    <n v="1"/>
    <x v="1"/>
    <n v="3201"/>
    <n v="6"/>
    <x v="0"/>
    <x v="8"/>
    <n v="3"/>
    <n v="0"/>
    <n v="4"/>
    <n v="0"/>
  </r>
  <r>
    <n v="821"/>
    <x v="1"/>
    <x v="1"/>
    <x v="0"/>
    <x v="0"/>
    <s v="Marketing"/>
    <n v="1"/>
    <x v="1"/>
    <x v="0"/>
    <s v="Divorced"/>
    <s v="No"/>
    <x v="10"/>
    <n v="11"/>
    <s v="Associates Degree"/>
    <n v="4"/>
    <n v="2"/>
    <x v="0"/>
    <n v="4968"/>
    <n v="5"/>
    <x v="1"/>
    <x v="8"/>
    <n v="2"/>
    <n v="0"/>
    <n v="2"/>
    <n v="0"/>
  </r>
  <r>
    <n v="822"/>
    <x v="1"/>
    <x v="0"/>
    <x v="1"/>
    <x v="0"/>
    <s v="Technical Degree"/>
    <n v="1"/>
    <x v="1"/>
    <x v="0"/>
    <s v="Married"/>
    <s v="No"/>
    <x v="1"/>
    <n v="8"/>
    <s v="Master's Degree"/>
    <n v="4"/>
    <n v="4"/>
    <x v="1"/>
    <n v="13120"/>
    <n v="22"/>
    <x v="1"/>
    <x v="7"/>
    <n v="8"/>
    <n v="2"/>
    <n v="3"/>
    <n v="0"/>
  </r>
  <r>
    <n v="823"/>
    <x v="1"/>
    <x v="1"/>
    <x v="2"/>
    <x v="1"/>
    <s v="Life Sciences"/>
    <n v="1"/>
    <x v="1"/>
    <x v="3"/>
    <s v="Single"/>
    <s v="No"/>
    <x v="13"/>
    <n v="2"/>
    <s v="Associates Degree"/>
    <n v="4"/>
    <n v="2"/>
    <x v="2"/>
    <n v="4033"/>
    <n v="5"/>
    <x v="2"/>
    <x v="11"/>
    <n v="2"/>
    <n v="0"/>
    <n v="2"/>
    <n v="0"/>
  </r>
  <r>
    <n v="824"/>
    <x v="1"/>
    <x v="1"/>
    <x v="2"/>
    <x v="1"/>
    <s v="Life Sciences"/>
    <n v="1"/>
    <x v="0"/>
    <x v="1"/>
    <s v="Divorced"/>
    <s v="No"/>
    <x v="11"/>
    <n v="10"/>
    <s v="Bachelor's Degree"/>
    <n v="4"/>
    <n v="1"/>
    <x v="1"/>
    <n v="3291"/>
    <n v="8"/>
    <x v="2"/>
    <x v="5"/>
    <n v="5"/>
    <n v="1"/>
    <n v="1"/>
    <n v="0"/>
  </r>
  <r>
    <n v="825"/>
    <x v="1"/>
    <x v="0"/>
    <x v="0"/>
    <x v="1"/>
    <s v="Medical"/>
    <n v="1"/>
    <x v="1"/>
    <x v="2"/>
    <s v="Single"/>
    <s v="No"/>
    <x v="19"/>
    <n v="29"/>
    <s v="Bachelor's Degree"/>
    <n v="2"/>
    <n v="2"/>
    <x v="0"/>
    <n v="4272"/>
    <n v="16"/>
    <x v="1"/>
    <x v="6"/>
    <n v="0"/>
    <n v="0"/>
    <n v="0"/>
    <n v="0"/>
  </r>
  <r>
    <n v="826"/>
    <x v="1"/>
    <x v="0"/>
    <x v="2"/>
    <x v="1"/>
    <s v="Medical"/>
    <n v="1"/>
    <x v="1"/>
    <x v="3"/>
    <s v="Married"/>
    <s v="Yes"/>
    <x v="11"/>
    <n v="8"/>
    <s v="High School"/>
    <n v="2"/>
    <n v="2"/>
    <x v="0"/>
    <n v="5056"/>
    <n v="10"/>
    <x v="2"/>
    <x v="1"/>
    <n v="7"/>
    <n v="1"/>
    <n v="2"/>
    <n v="0"/>
  </r>
  <r>
    <n v="827"/>
    <x v="1"/>
    <x v="0"/>
    <x v="0"/>
    <x v="2"/>
    <s v="Human Resources"/>
    <n v="1"/>
    <x v="1"/>
    <x v="8"/>
    <s v="Married"/>
    <s v="No"/>
    <x v="8"/>
    <n v="1"/>
    <s v="Bachelor's Degree"/>
    <n v="3"/>
    <n v="1"/>
    <x v="2"/>
    <n v="2844"/>
    <n v="7"/>
    <x v="3"/>
    <x v="5"/>
    <n v="6"/>
    <n v="5"/>
    <n v="0"/>
    <n v="0"/>
  </r>
  <r>
    <n v="828"/>
    <x v="1"/>
    <x v="1"/>
    <x v="2"/>
    <x v="1"/>
    <s v="Life Sciences"/>
    <n v="1"/>
    <x v="1"/>
    <x v="1"/>
    <s v="Divorced"/>
    <s v="Yes"/>
    <x v="14"/>
    <n v="6"/>
    <s v="Bachelor's Degree"/>
    <n v="3"/>
    <n v="1"/>
    <x v="2"/>
    <n v="2703"/>
    <n v="3"/>
    <x v="1"/>
    <x v="11"/>
    <n v="1"/>
    <n v="0"/>
    <n v="2"/>
    <n v="0"/>
  </r>
  <r>
    <n v="829"/>
    <x v="0"/>
    <x v="2"/>
    <x v="4"/>
    <x v="1"/>
    <s v="Medical"/>
    <n v="1"/>
    <x v="1"/>
    <x v="2"/>
    <s v="Single"/>
    <s v="No"/>
    <x v="41"/>
    <n v="8"/>
    <s v="High School"/>
    <n v="3"/>
    <n v="1"/>
    <x v="2"/>
    <n v="1904"/>
    <n v="0"/>
    <x v="1"/>
    <x v="2"/>
    <n v="0"/>
    <n v="0"/>
    <n v="0"/>
    <n v="1"/>
  </r>
  <r>
    <n v="830"/>
    <x v="0"/>
    <x v="0"/>
    <x v="2"/>
    <x v="0"/>
    <s v="Marketing"/>
    <n v="1"/>
    <x v="0"/>
    <x v="0"/>
    <s v="Single"/>
    <s v="Yes"/>
    <x v="3"/>
    <n v="9"/>
    <s v="Master's Degree"/>
    <n v="1"/>
    <n v="2"/>
    <x v="3"/>
    <n v="8224"/>
    <n v="6"/>
    <x v="1"/>
    <x v="8"/>
    <n v="2"/>
    <n v="0"/>
    <n v="3"/>
    <n v="1"/>
  </r>
  <r>
    <n v="831"/>
    <x v="1"/>
    <x v="0"/>
    <x v="0"/>
    <x v="1"/>
    <s v="Life Sciences"/>
    <n v="1"/>
    <x v="1"/>
    <x v="2"/>
    <s v="Married"/>
    <s v="Yes"/>
    <x v="0"/>
    <n v="12"/>
    <s v="Master's Degree"/>
    <n v="2"/>
    <n v="1"/>
    <x v="0"/>
    <n v="4766"/>
    <n v="6"/>
    <x v="1"/>
    <x v="6"/>
    <n v="0"/>
    <n v="0"/>
    <n v="0"/>
    <n v="0"/>
  </r>
  <r>
    <n v="832"/>
    <x v="0"/>
    <x v="1"/>
    <x v="2"/>
    <x v="1"/>
    <s v="Medical"/>
    <n v="1"/>
    <x v="1"/>
    <x v="2"/>
    <s v="Married"/>
    <s v="No"/>
    <x v="12"/>
    <n v="15"/>
    <s v="Bachelor's Degree"/>
    <n v="3"/>
    <n v="1"/>
    <x v="2"/>
    <n v="2610"/>
    <n v="2"/>
    <x v="2"/>
    <x v="4"/>
    <n v="2"/>
    <n v="2"/>
    <n v="2"/>
    <n v="1"/>
  </r>
  <r>
    <n v="833"/>
    <x v="1"/>
    <x v="0"/>
    <x v="0"/>
    <x v="1"/>
    <s v="Medical"/>
    <n v="1"/>
    <x v="0"/>
    <x v="4"/>
    <s v="Divorced"/>
    <s v="No"/>
    <x v="2"/>
    <n v="25"/>
    <s v="Associates Degree"/>
    <n v="3"/>
    <n v="2"/>
    <x v="0"/>
    <n v="5731"/>
    <n v="9"/>
    <x v="1"/>
    <x v="0"/>
    <n v="2"/>
    <n v="1"/>
    <n v="3"/>
    <n v="0"/>
  </r>
  <r>
    <n v="834"/>
    <x v="1"/>
    <x v="0"/>
    <x v="2"/>
    <x v="1"/>
    <s v="Life Sciences"/>
    <n v="1"/>
    <x v="1"/>
    <x v="1"/>
    <s v="Married"/>
    <s v="No"/>
    <x v="4"/>
    <n v="6"/>
    <s v="Bachelor's Degree"/>
    <n v="4"/>
    <n v="1"/>
    <x v="2"/>
    <n v="2539"/>
    <n v="4"/>
    <x v="1"/>
    <x v="9"/>
    <n v="2"/>
    <n v="2"/>
    <n v="2"/>
    <n v="0"/>
  </r>
  <r>
    <n v="835"/>
    <x v="1"/>
    <x v="0"/>
    <x v="2"/>
    <x v="0"/>
    <s v="Life Sciences"/>
    <n v="1"/>
    <x v="0"/>
    <x v="0"/>
    <s v="Married"/>
    <s v="No"/>
    <x v="13"/>
    <n v="9"/>
    <s v="High School"/>
    <n v="2"/>
    <n v="2"/>
    <x v="2"/>
    <n v="5714"/>
    <n v="6"/>
    <x v="2"/>
    <x v="0"/>
    <n v="5"/>
    <n v="1"/>
    <n v="3"/>
    <n v="0"/>
  </r>
  <r>
    <n v="836"/>
    <x v="1"/>
    <x v="0"/>
    <x v="0"/>
    <x v="2"/>
    <s v="Technical Degree"/>
    <n v="1"/>
    <x v="1"/>
    <x v="8"/>
    <s v="Single"/>
    <s v="No"/>
    <x v="10"/>
    <n v="8"/>
    <s v="Master's Degree"/>
    <n v="3"/>
    <n v="1"/>
    <x v="2"/>
    <n v="4323"/>
    <n v="6"/>
    <x v="0"/>
    <x v="8"/>
    <n v="4"/>
    <n v="1"/>
    <n v="4"/>
    <n v="0"/>
  </r>
  <r>
    <n v="837"/>
    <x v="0"/>
    <x v="0"/>
    <x v="2"/>
    <x v="0"/>
    <s v="Life Sciences"/>
    <n v="1"/>
    <x v="0"/>
    <x v="0"/>
    <s v="Married"/>
    <s v="No"/>
    <x v="11"/>
    <n v="23"/>
    <s v="High School"/>
    <n v="4"/>
    <n v="3"/>
    <x v="3"/>
    <n v="7336"/>
    <n v="11"/>
    <x v="0"/>
    <x v="19"/>
    <n v="8"/>
    <n v="3"/>
    <n v="10"/>
    <n v="1"/>
  </r>
  <r>
    <n v="838"/>
    <x v="1"/>
    <x v="1"/>
    <x v="0"/>
    <x v="1"/>
    <s v="Medical"/>
    <n v="1"/>
    <x v="0"/>
    <x v="7"/>
    <s v="Single"/>
    <s v="No"/>
    <x v="32"/>
    <n v="9"/>
    <s v="Master's Degree"/>
    <n v="2"/>
    <n v="3"/>
    <x v="2"/>
    <n v="13499"/>
    <n v="20"/>
    <x v="2"/>
    <x v="29"/>
    <n v="7"/>
    <n v="2"/>
    <n v="13"/>
    <n v="0"/>
  </r>
  <r>
    <n v="839"/>
    <x v="0"/>
    <x v="1"/>
    <x v="0"/>
    <x v="0"/>
    <s v="Life Sciences"/>
    <n v="1"/>
    <x v="1"/>
    <x v="0"/>
    <s v="Single"/>
    <s v="Yes"/>
    <x v="19"/>
    <n v="12"/>
    <s v="Bachelor's Degree"/>
    <n v="3"/>
    <n v="4"/>
    <x v="3"/>
    <n v="13758"/>
    <n v="22"/>
    <x v="2"/>
    <x v="17"/>
    <n v="9"/>
    <n v="13"/>
    <n v="14"/>
    <n v="1"/>
  </r>
  <r>
    <n v="840"/>
    <x v="1"/>
    <x v="0"/>
    <x v="0"/>
    <x v="0"/>
    <s v="Marketing"/>
    <n v="1"/>
    <x v="1"/>
    <x v="0"/>
    <s v="Single"/>
    <s v="No"/>
    <x v="19"/>
    <n v="4"/>
    <s v="Master's Degree"/>
    <n v="2"/>
    <n v="2"/>
    <x v="3"/>
    <n v="5155"/>
    <n v="9"/>
    <x v="3"/>
    <x v="0"/>
    <n v="4"/>
    <n v="1"/>
    <n v="5"/>
    <n v="0"/>
  </r>
  <r>
    <n v="841"/>
    <x v="1"/>
    <x v="0"/>
    <x v="0"/>
    <x v="1"/>
    <s v="Medical"/>
    <n v="1"/>
    <x v="1"/>
    <x v="2"/>
    <s v="Married"/>
    <s v="No"/>
    <x v="10"/>
    <n v="1"/>
    <s v="Master's Degree"/>
    <n v="4"/>
    <n v="1"/>
    <x v="2"/>
    <n v="2258"/>
    <n v="10"/>
    <x v="1"/>
    <x v="3"/>
    <n v="0"/>
    <n v="1"/>
    <n v="7"/>
    <n v="0"/>
  </r>
  <r>
    <n v="842"/>
    <x v="1"/>
    <x v="0"/>
    <x v="4"/>
    <x v="1"/>
    <s v="Medical"/>
    <n v="1"/>
    <x v="1"/>
    <x v="2"/>
    <s v="Single"/>
    <s v="No"/>
    <x v="17"/>
    <n v="24"/>
    <s v="Bachelor's Degree"/>
    <n v="4"/>
    <n v="1"/>
    <x v="1"/>
    <n v="3597"/>
    <n v="6"/>
    <x v="1"/>
    <x v="9"/>
    <n v="3"/>
    <n v="1"/>
    <n v="2"/>
    <n v="0"/>
  </r>
  <r>
    <n v="843"/>
    <x v="0"/>
    <x v="0"/>
    <x v="2"/>
    <x v="1"/>
    <s v="Life Sciences"/>
    <n v="1"/>
    <x v="0"/>
    <x v="2"/>
    <s v="Married"/>
    <s v="Yes"/>
    <x v="14"/>
    <n v="12"/>
    <s v="High School"/>
    <n v="3"/>
    <n v="1"/>
    <x v="0"/>
    <n v="2515"/>
    <n v="1"/>
    <x v="2"/>
    <x v="6"/>
    <n v="1"/>
    <n v="0"/>
    <n v="0"/>
    <n v="1"/>
  </r>
  <r>
    <n v="844"/>
    <x v="1"/>
    <x v="0"/>
    <x v="2"/>
    <x v="1"/>
    <s v="Medical"/>
    <n v="1"/>
    <x v="1"/>
    <x v="2"/>
    <s v="Married"/>
    <s v="No"/>
    <x v="25"/>
    <n v="3"/>
    <s v="Master's Degree"/>
    <n v="1"/>
    <n v="1"/>
    <x v="0"/>
    <n v="4420"/>
    <n v="8"/>
    <x v="1"/>
    <x v="3"/>
    <n v="7"/>
    <n v="0"/>
    <n v="7"/>
    <n v="0"/>
  </r>
  <r>
    <n v="845"/>
    <x v="1"/>
    <x v="0"/>
    <x v="2"/>
    <x v="0"/>
    <s v="Marketing"/>
    <n v="1"/>
    <x v="1"/>
    <x v="0"/>
    <s v="Married"/>
    <s v="No"/>
    <x v="7"/>
    <n v="10"/>
    <s v="Bachelor's Degree"/>
    <n v="3"/>
    <n v="2"/>
    <x v="2"/>
    <n v="6578"/>
    <n v="10"/>
    <x v="1"/>
    <x v="1"/>
    <n v="3"/>
    <n v="1"/>
    <n v="4"/>
    <n v="0"/>
  </r>
  <r>
    <n v="846"/>
    <x v="1"/>
    <x v="1"/>
    <x v="0"/>
    <x v="1"/>
    <s v="Medical"/>
    <n v="1"/>
    <x v="0"/>
    <x v="1"/>
    <s v="Married"/>
    <s v="Yes"/>
    <x v="32"/>
    <n v="26"/>
    <s v="Associates Degree"/>
    <n v="3"/>
    <n v="2"/>
    <x v="0"/>
    <n v="4422"/>
    <n v="16"/>
    <x v="0"/>
    <x v="6"/>
    <n v="1"/>
    <n v="0"/>
    <n v="0"/>
    <n v="0"/>
  </r>
  <r>
    <n v="847"/>
    <x v="1"/>
    <x v="0"/>
    <x v="0"/>
    <x v="1"/>
    <s v="Life Sciences"/>
    <n v="1"/>
    <x v="1"/>
    <x v="3"/>
    <s v="Divorced"/>
    <s v="No"/>
    <x v="10"/>
    <n v="2"/>
    <s v="Bachelor's Degree"/>
    <n v="3"/>
    <n v="3"/>
    <x v="1"/>
    <n v="10274"/>
    <n v="15"/>
    <x v="3"/>
    <x v="5"/>
    <n v="7"/>
    <n v="6"/>
    <n v="4"/>
    <n v="0"/>
  </r>
  <r>
    <n v="848"/>
    <x v="1"/>
    <x v="1"/>
    <x v="2"/>
    <x v="1"/>
    <s v="Medical"/>
    <n v="1"/>
    <x v="1"/>
    <x v="4"/>
    <s v="Single"/>
    <s v="No"/>
    <x v="13"/>
    <n v="1"/>
    <s v="Bachelor's Degree"/>
    <n v="4"/>
    <n v="2"/>
    <x v="3"/>
    <n v="5343"/>
    <n v="14"/>
    <x v="1"/>
    <x v="20"/>
    <n v="9"/>
    <n v="4"/>
    <n v="9"/>
    <n v="0"/>
  </r>
  <r>
    <n v="849"/>
    <x v="1"/>
    <x v="1"/>
    <x v="0"/>
    <x v="1"/>
    <s v="Other"/>
    <n v="1"/>
    <x v="1"/>
    <x v="2"/>
    <s v="Married"/>
    <s v="No"/>
    <x v="10"/>
    <n v="4"/>
    <s v="Master's Degree"/>
    <n v="4"/>
    <n v="1"/>
    <x v="0"/>
    <n v="2376"/>
    <n v="2"/>
    <x v="3"/>
    <x v="4"/>
    <n v="2"/>
    <n v="2"/>
    <n v="2"/>
    <n v="0"/>
  </r>
  <r>
    <n v="850"/>
    <x v="0"/>
    <x v="0"/>
    <x v="0"/>
    <x v="0"/>
    <s v="Marketing"/>
    <n v="1"/>
    <x v="0"/>
    <x v="0"/>
    <s v="Single"/>
    <s v="No"/>
    <x v="23"/>
    <n v="9"/>
    <s v="Bachelor's Degree"/>
    <n v="1"/>
    <n v="2"/>
    <x v="2"/>
    <n v="5346"/>
    <n v="7"/>
    <x v="2"/>
    <x v="9"/>
    <n v="3"/>
    <n v="1"/>
    <n v="3"/>
    <n v="1"/>
  </r>
  <r>
    <n v="851"/>
    <x v="1"/>
    <x v="2"/>
    <x v="2"/>
    <x v="0"/>
    <s v="Life Sciences"/>
    <n v="1"/>
    <x v="0"/>
    <x v="6"/>
    <s v="Divorced"/>
    <s v="No"/>
    <x v="5"/>
    <n v="2"/>
    <s v="High School"/>
    <n v="3"/>
    <n v="1"/>
    <x v="3"/>
    <n v="2827"/>
    <n v="1"/>
    <x v="1"/>
    <x v="6"/>
    <n v="0"/>
    <n v="0"/>
    <n v="0"/>
    <n v="0"/>
  </r>
  <r>
    <n v="852"/>
    <x v="1"/>
    <x v="0"/>
    <x v="3"/>
    <x v="1"/>
    <s v="Technical Degree"/>
    <n v="1"/>
    <x v="0"/>
    <x v="5"/>
    <s v="Divorced"/>
    <s v="No"/>
    <x v="29"/>
    <n v="4"/>
    <s v="Master's Degree"/>
    <n v="4"/>
    <n v="5"/>
    <x v="3"/>
    <n v="19943"/>
    <n v="28"/>
    <x v="1"/>
    <x v="8"/>
    <n v="2"/>
    <n v="4"/>
    <n v="2"/>
    <n v="0"/>
  </r>
  <r>
    <n v="853"/>
    <x v="1"/>
    <x v="0"/>
    <x v="2"/>
    <x v="1"/>
    <s v="Medical"/>
    <n v="1"/>
    <x v="0"/>
    <x v="2"/>
    <s v="Married"/>
    <s v="No"/>
    <x v="11"/>
    <n v="6"/>
    <s v="High School"/>
    <n v="2"/>
    <n v="1"/>
    <x v="0"/>
    <n v="3131"/>
    <n v="10"/>
    <x v="1"/>
    <x v="1"/>
    <n v="8"/>
    <n v="0"/>
    <n v="8"/>
    <n v="0"/>
  </r>
  <r>
    <n v="854"/>
    <x v="1"/>
    <x v="0"/>
    <x v="4"/>
    <x v="1"/>
    <s v="Life Sciences"/>
    <n v="1"/>
    <x v="1"/>
    <x v="1"/>
    <s v="Single"/>
    <s v="No"/>
    <x v="37"/>
    <n v="9"/>
    <s v="Associates Degree"/>
    <n v="3"/>
    <n v="1"/>
    <x v="3"/>
    <n v="2552"/>
    <n v="1"/>
    <x v="1"/>
    <x v="6"/>
    <n v="1"/>
    <n v="0"/>
    <n v="0"/>
    <n v="0"/>
  </r>
  <r>
    <n v="855"/>
    <x v="1"/>
    <x v="0"/>
    <x v="1"/>
    <x v="1"/>
    <s v="Medical"/>
    <n v="1"/>
    <x v="0"/>
    <x v="1"/>
    <s v="Married"/>
    <s v="Yes"/>
    <x v="28"/>
    <n v="7"/>
    <s v="Bachelor's Degree"/>
    <n v="1"/>
    <n v="1"/>
    <x v="2"/>
    <n v="4477"/>
    <n v="7"/>
    <x v="2"/>
    <x v="11"/>
    <n v="2"/>
    <n v="0"/>
    <n v="2"/>
    <n v="0"/>
  </r>
  <r>
    <n v="856"/>
    <x v="1"/>
    <x v="0"/>
    <x v="0"/>
    <x v="1"/>
    <s v="Life Sciences"/>
    <n v="1"/>
    <x v="0"/>
    <x v="3"/>
    <s v="Married"/>
    <s v="No"/>
    <x v="2"/>
    <n v="1"/>
    <s v="Bachelor's Degree"/>
    <n v="4"/>
    <n v="2"/>
    <x v="0"/>
    <n v="6474"/>
    <n v="14"/>
    <x v="2"/>
    <x v="13"/>
    <n v="8"/>
    <n v="3"/>
    <n v="11"/>
    <n v="0"/>
  </r>
  <r>
    <n v="857"/>
    <x v="1"/>
    <x v="0"/>
    <x v="4"/>
    <x v="1"/>
    <s v="Life Sciences"/>
    <n v="1"/>
    <x v="1"/>
    <x v="2"/>
    <s v="Single"/>
    <s v="No"/>
    <x v="35"/>
    <n v="3"/>
    <s v="Bachelor's Degree"/>
    <n v="1"/>
    <n v="1"/>
    <x v="2"/>
    <n v="3033"/>
    <n v="2"/>
    <x v="2"/>
    <x v="4"/>
    <n v="2"/>
    <n v="1"/>
    <n v="2"/>
    <n v="0"/>
  </r>
  <r>
    <n v="858"/>
    <x v="0"/>
    <x v="0"/>
    <x v="0"/>
    <x v="1"/>
    <s v="Life Sciences"/>
    <n v="1"/>
    <x v="1"/>
    <x v="1"/>
    <s v="Single"/>
    <s v="Yes"/>
    <x v="20"/>
    <n v="10"/>
    <s v="Master's Degree"/>
    <n v="3"/>
    <n v="1"/>
    <x v="2"/>
    <n v="2936"/>
    <n v="6"/>
    <x v="1"/>
    <x v="0"/>
    <n v="4"/>
    <n v="0"/>
    <n v="2"/>
    <n v="1"/>
  </r>
  <r>
    <n v="859"/>
    <x v="1"/>
    <x v="0"/>
    <x v="1"/>
    <x v="1"/>
    <s v="Medical"/>
    <n v="1"/>
    <x v="0"/>
    <x v="5"/>
    <s v="Divorced"/>
    <s v="No"/>
    <x v="16"/>
    <n v="7"/>
    <s v="Associates Degree"/>
    <n v="4"/>
    <n v="5"/>
    <x v="2"/>
    <n v="18606"/>
    <n v="26"/>
    <x v="1"/>
    <x v="5"/>
    <n v="7"/>
    <n v="4"/>
    <n v="7"/>
    <n v="0"/>
  </r>
  <r>
    <n v="860"/>
    <x v="1"/>
    <x v="0"/>
    <x v="2"/>
    <x v="1"/>
    <s v="Life Sciences"/>
    <n v="1"/>
    <x v="0"/>
    <x v="1"/>
    <s v="Married"/>
    <s v="Yes"/>
    <x v="11"/>
    <n v="15"/>
    <s v="High School"/>
    <n v="2"/>
    <n v="1"/>
    <x v="0"/>
    <n v="2168"/>
    <n v="6"/>
    <x v="2"/>
    <x v="8"/>
    <n v="4"/>
    <n v="1"/>
    <n v="3"/>
    <n v="0"/>
  </r>
  <r>
    <n v="861"/>
    <x v="0"/>
    <x v="1"/>
    <x v="4"/>
    <x v="1"/>
    <s v="Life Sciences"/>
    <n v="1"/>
    <x v="1"/>
    <x v="1"/>
    <s v="Married"/>
    <s v="Yes"/>
    <x v="15"/>
    <n v="3"/>
    <s v="Master's Degree"/>
    <n v="3"/>
    <n v="1"/>
    <x v="0"/>
    <n v="2853"/>
    <n v="1"/>
    <x v="1"/>
    <x v="2"/>
    <n v="0"/>
    <n v="0"/>
    <n v="0"/>
    <n v="1"/>
  </r>
  <r>
    <n v="862"/>
    <x v="1"/>
    <x v="0"/>
    <x v="1"/>
    <x v="0"/>
    <s v="Marketing"/>
    <n v="1"/>
    <x v="0"/>
    <x v="5"/>
    <s v="Married"/>
    <s v="No"/>
    <x v="21"/>
    <n v="2"/>
    <s v="Bachelor's Degree"/>
    <n v="3"/>
    <n v="4"/>
    <x v="3"/>
    <n v="17048"/>
    <n v="28"/>
    <x v="1"/>
    <x v="34"/>
    <n v="15"/>
    <n v="15"/>
    <n v="9"/>
    <n v="0"/>
  </r>
  <r>
    <n v="863"/>
    <x v="1"/>
    <x v="2"/>
    <x v="0"/>
    <x v="1"/>
    <s v="Life Sciences"/>
    <n v="1"/>
    <x v="1"/>
    <x v="1"/>
    <s v="Single"/>
    <s v="No"/>
    <x v="20"/>
    <n v="17"/>
    <s v="Bachelor's Degree"/>
    <n v="4"/>
    <n v="1"/>
    <x v="2"/>
    <n v="2290"/>
    <n v="6"/>
    <x v="1"/>
    <x v="2"/>
    <n v="0"/>
    <n v="0"/>
    <n v="0"/>
    <n v="0"/>
  </r>
  <r>
    <n v="864"/>
    <x v="1"/>
    <x v="0"/>
    <x v="2"/>
    <x v="2"/>
    <s v="Human Resources"/>
    <n v="1"/>
    <x v="1"/>
    <x v="8"/>
    <s v="Married"/>
    <s v="No"/>
    <x v="3"/>
    <n v="2"/>
    <s v="Bachelor's Degree"/>
    <n v="2"/>
    <n v="1"/>
    <x v="2"/>
    <n v="3600"/>
    <n v="5"/>
    <x v="1"/>
    <x v="8"/>
    <n v="4"/>
    <n v="1"/>
    <n v="4"/>
    <n v="0"/>
  </r>
  <r>
    <n v="865"/>
    <x v="0"/>
    <x v="2"/>
    <x v="0"/>
    <x v="1"/>
    <s v="Life Sciences"/>
    <n v="1"/>
    <x v="1"/>
    <x v="1"/>
    <s v="Divorced"/>
    <s v="No"/>
    <x v="0"/>
    <n v="5"/>
    <s v="Associates Degree"/>
    <n v="1"/>
    <n v="1"/>
    <x v="3"/>
    <n v="2107"/>
    <n v="5"/>
    <x v="0"/>
    <x v="6"/>
    <n v="0"/>
    <n v="0"/>
    <n v="0"/>
    <n v="1"/>
  </r>
  <r>
    <n v="866"/>
    <x v="1"/>
    <x v="0"/>
    <x v="2"/>
    <x v="0"/>
    <s v="Life Sciences"/>
    <n v="1"/>
    <x v="1"/>
    <x v="0"/>
    <s v="Divorced"/>
    <s v="No"/>
    <x v="7"/>
    <n v="29"/>
    <s v="Master's Degree"/>
    <n v="3"/>
    <n v="2"/>
    <x v="3"/>
    <n v="4115"/>
    <n v="8"/>
    <x v="1"/>
    <x v="9"/>
    <n v="3"/>
    <n v="0"/>
    <n v="3"/>
    <n v="0"/>
  </r>
  <r>
    <n v="867"/>
    <x v="1"/>
    <x v="1"/>
    <x v="0"/>
    <x v="0"/>
    <s v="Medical"/>
    <n v="1"/>
    <x v="1"/>
    <x v="0"/>
    <s v="Married"/>
    <s v="No"/>
    <x v="32"/>
    <n v="2"/>
    <s v="Master's Degree"/>
    <n v="2"/>
    <n v="2"/>
    <x v="1"/>
    <n v="4327"/>
    <n v="5"/>
    <x v="1"/>
    <x v="2"/>
    <n v="0"/>
    <n v="0"/>
    <n v="0"/>
    <n v="0"/>
  </r>
  <r>
    <n v="868"/>
    <x v="1"/>
    <x v="1"/>
    <x v="1"/>
    <x v="1"/>
    <s v="Medical"/>
    <n v="1"/>
    <x v="0"/>
    <x v="5"/>
    <s v="Married"/>
    <s v="No"/>
    <x v="24"/>
    <n v="2"/>
    <s v="Bachelor's Degree"/>
    <n v="4"/>
    <n v="4"/>
    <x v="3"/>
    <n v="17856"/>
    <n v="32"/>
    <x v="1"/>
    <x v="4"/>
    <n v="2"/>
    <n v="2"/>
    <n v="2"/>
    <n v="0"/>
  </r>
  <r>
    <n v="869"/>
    <x v="1"/>
    <x v="0"/>
    <x v="2"/>
    <x v="1"/>
    <s v="Medical"/>
    <n v="1"/>
    <x v="1"/>
    <x v="2"/>
    <s v="Married"/>
    <s v="No"/>
    <x v="14"/>
    <n v="19"/>
    <s v="Master's Degree"/>
    <n v="4"/>
    <n v="1"/>
    <x v="3"/>
    <n v="3196"/>
    <n v="6"/>
    <x v="1"/>
    <x v="0"/>
    <n v="5"/>
    <n v="3"/>
    <n v="3"/>
    <n v="0"/>
  </r>
  <r>
    <n v="870"/>
    <x v="1"/>
    <x v="0"/>
    <x v="1"/>
    <x v="1"/>
    <s v="Life Sciences"/>
    <n v="1"/>
    <x v="1"/>
    <x v="7"/>
    <s v="Married"/>
    <s v="No"/>
    <x v="21"/>
    <n v="15"/>
    <s v="Associates Degree"/>
    <n v="4"/>
    <n v="5"/>
    <x v="1"/>
    <n v="19081"/>
    <n v="25"/>
    <x v="1"/>
    <x v="9"/>
    <n v="2"/>
    <n v="0"/>
    <n v="3"/>
    <n v="0"/>
  </r>
  <r>
    <n v="871"/>
    <x v="1"/>
    <x v="0"/>
    <x v="0"/>
    <x v="0"/>
    <s v="Life Sciences"/>
    <n v="1"/>
    <x v="1"/>
    <x v="0"/>
    <s v="Married"/>
    <s v="Yes"/>
    <x v="10"/>
    <n v="17"/>
    <s v="Master's Degree"/>
    <n v="3"/>
    <n v="2"/>
    <x v="3"/>
    <n v="8966"/>
    <n v="15"/>
    <x v="1"/>
    <x v="5"/>
    <n v="7"/>
    <n v="1"/>
    <n v="7"/>
    <n v="0"/>
  </r>
  <r>
    <n v="872"/>
    <x v="0"/>
    <x v="0"/>
    <x v="4"/>
    <x v="1"/>
    <s v="Life Sciences"/>
    <n v="1"/>
    <x v="0"/>
    <x v="2"/>
    <s v="Married"/>
    <s v="No"/>
    <x v="17"/>
    <n v="17"/>
    <s v="Associates Degree"/>
    <n v="4"/>
    <n v="1"/>
    <x v="1"/>
    <n v="2210"/>
    <n v="1"/>
    <x v="0"/>
    <x v="6"/>
    <n v="0"/>
    <n v="0"/>
    <n v="0"/>
    <n v="1"/>
  </r>
  <r>
    <n v="873"/>
    <x v="1"/>
    <x v="1"/>
    <x v="2"/>
    <x v="0"/>
    <s v="Medical"/>
    <n v="1"/>
    <x v="0"/>
    <x v="0"/>
    <s v="Married"/>
    <s v="No"/>
    <x v="3"/>
    <n v="25"/>
    <s v="Bachelor's Degree"/>
    <n v="2"/>
    <n v="2"/>
    <x v="2"/>
    <n v="4539"/>
    <n v="10"/>
    <x v="2"/>
    <x v="1"/>
    <n v="7"/>
    <n v="0"/>
    <n v="1"/>
    <n v="0"/>
  </r>
  <r>
    <n v="874"/>
    <x v="1"/>
    <x v="0"/>
    <x v="0"/>
    <x v="1"/>
    <s v="Life Sciences"/>
    <n v="1"/>
    <x v="1"/>
    <x v="2"/>
    <s v="Divorced"/>
    <s v="No"/>
    <x v="9"/>
    <n v="6"/>
    <s v="Master's Degree"/>
    <n v="3"/>
    <n v="1"/>
    <x v="2"/>
    <n v="2741"/>
    <n v="7"/>
    <x v="1"/>
    <x v="5"/>
    <n v="7"/>
    <n v="1"/>
    <n v="7"/>
    <n v="0"/>
  </r>
  <r>
    <n v="875"/>
    <x v="1"/>
    <x v="0"/>
    <x v="2"/>
    <x v="1"/>
    <s v="Life Sciences"/>
    <n v="1"/>
    <x v="1"/>
    <x v="2"/>
    <s v="Divorced"/>
    <s v="No"/>
    <x v="7"/>
    <n v="7"/>
    <s v="Master's Degree"/>
    <n v="3"/>
    <n v="2"/>
    <x v="2"/>
    <n v="3491"/>
    <n v="10"/>
    <x v="2"/>
    <x v="1"/>
    <n v="7"/>
    <n v="8"/>
    <n v="9"/>
    <n v="0"/>
  </r>
  <r>
    <n v="876"/>
    <x v="1"/>
    <x v="0"/>
    <x v="0"/>
    <x v="1"/>
    <s v="Other"/>
    <n v="1"/>
    <x v="1"/>
    <x v="1"/>
    <s v="Single"/>
    <s v="No"/>
    <x v="20"/>
    <n v="29"/>
    <s v="Master's Degree"/>
    <n v="4"/>
    <n v="2"/>
    <x v="0"/>
    <n v="4541"/>
    <n v="20"/>
    <x v="1"/>
    <x v="23"/>
    <n v="11"/>
    <n v="13"/>
    <n v="17"/>
    <n v="0"/>
  </r>
  <r>
    <n v="877"/>
    <x v="1"/>
    <x v="0"/>
    <x v="4"/>
    <x v="0"/>
    <s v="Marketing"/>
    <n v="1"/>
    <x v="1"/>
    <x v="6"/>
    <s v="Single"/>
    <s v="No"/>
    <x v="35"/>
    <n v="21"/>
    <s v="Bachelor's Degree"/>
    <n v="3"/>
    <n v="1"/>
    <x v="0"/>
    <n v="2678"/>
    <n v="2"/>
    <x v="1"/>
    <x v="4"/>
    <n v="1"/>
    <n v="2"/>
    <n v="2"/>
    <n v="0"/>
  </r>
  <r>
    <n v="878"/>
    <x v="1"/>
    <x v="0"/>
    <x v="1"/>
    <x v="1"/>
    <s v="Technical Degree"/>
    <n v="1"/>
    <x v="1"/>
    <x v="3"/>
    <s v="Divorced"/>
    <s v="No"/>
    <x v="21"/>
    <n v="2"/>
    <s v="Master's Degree"/>
    <n v="4"/>
    <n v="2"/>
    <x v="0"/>
    <n v="7379"/>
    <n v="12"/>
    <x v="2"/>
    <x v="0"/>
    <n v="3"/>
    <n v="1"/>
    <n v="4"/>
    <n v="0"/>
  </r>
  <r>
    <n v="879"/>
    <x v="1"/>
    <x v="2"/>
    <x v="0"/>
    <x v="2"/>
    <s v="Medical"/>
    <n v="1"/>
    <x v="1"/>
    <x v="8"/>
    <s v="Married"/>
    <s v="No"/>
    <x v="19"/>
    <n v="2"/>
    <s v="Doctoral Degree"/>
    <n v="4"/>
    <n v="2"/>
    <x v="3"/>
    <n v="6272"/>
    <n v="10"/>
    <x v="3"/>
    <x v="9"/>
    <n v="3"/>
    <n v="0"/>
    <n v="3"/>
    <n v="0"/>
  </r>
  <r>
    <n v="880"/>
    <x v="1"/>
    <x v="0"/>
    <x v="3"/>
    <x v="0"/>
    <s v="Marketing"/>
    <n v="1"/>
    <x v="1"/>
    <x v="0"/>
    <s v="Divorced"/>
    <s v="Yes"/>
    <x v="42"/>
    <n v="7"/>
    <s v="Master's Degree"/>
    <n v="2"/>
    <n v="2"/>
    <x v="0"/>
    <n v="5220"/>
    <n v="12"/>
    <x v="1"/>
    <x v="19"/>
    <n v="7"/>
    <n v="1"/>
    <n v="9"/>
    <n v="0"/>
  </r>
  <r>
    <n v="881"/>
    <x v="1"/>
    <x v="1"/>
    <x v="2"/>
    <x v="1"/>
    <s v="Other"/>
    <n v="1"/>
    <x v="0"/>
    <x v="2"/>
    <s v="Married"/>
    <s v="No"/>
    <x v="5"/>
    <n v="13"/>
    <s v="Bachelor's Degree"/>
    <n v="3"/>
    <n v="1"/>
    <x v="1"/>
    <n v="2743"/>
    <n v="2"/>
    <x v="1"/>
    <x v="4"/>
    <n v="2"/>
    <n v="2"/>
    <n v="2"/>
    <n v="0"/>
  </r>
  <r>
    <n v="882"/>
    <x v="1"/>
    <x v="1"/>
    <x v="2"/>
    <x v="1"/>
    <s v="Life Sciences"/>
    <n v="1"/>
    <x v="0"/>
    <x v="1"/>
    <s v="Single"/>
    <s v="Yes"/>
    <x v="5"/>
    <n v="2"/>
    <s v="Associates Degree"/>
    <n v="4"/>
    <n v="2"/>
    <x v="2"/>
    <n v="4998"/>
    <n v="10"/>
    <x v="1"/>
    <x v="3"/>
    <n v="7"/>
    <n v="0"/>
    <n v="7"/>
    <n v="0"/>
  </r>
  <r>
    <n v="883"/>
    <x v="1"/>
    <x v="0"/>
    <x v="0"/>
    <x v="1"/>
    <s v="Technical Degree"/>
    <n v="1"/>
    <x v="0"/>
    <x v="3"/>
    <s v="Divorced"/>
    <s v="Yes"/>
    <x v="9"/>
    <n v="1"/>
    <s v="Bachelor's Degree"/>
    <n v="3"/>
    <n v="3"/>
    <x v="3"/>
    <n v="10252"/>
    <n v="17"/>
    <x v="1"/>
    <x v="5"/>
    <n v="7"/>
    <n v="7"/>
    <n v="7"/>
    <n v="0"/>
  </r>
  <r>
    <n v="884"/>
    <x v="1"/>
    <x v="0"/>
    <x v="2"/>
    <x v="1"/>
    <s v="Medical"/>
    <n v="1"/>
    <x v="1"/>
    <x v="1"/>
    <s v="Married"/>
    <s v="No"/>
    <x v="3"/>
    <n v="9"/>
    <s v="Bachelor's Degree"/>
    <n v="1"/>
    <n v="1"/>
    <x v="0"/>
    <n v="2781"/>
    <n v="15"/>
    <x v="1"/>
    <x v="13"/>
    <n v="10"/>
    <n v="4"/>
    <n v="10"/>
    <n v="0"/>
  </r>
  <r>
    <n v="885"/>
    <x v="1"/>
    <x v="0"/>
    <x v="0"/>
    <x v="0"/>
    <s v="Technical Degree"/>
    <n v="1"/>
    <x v="0"/>
    <x v="0"/>
    <s v="Divorced"/>
    <s v="No"/>
    <x v="32"/>
    <n v="10"/>
    <s v="Bachelor's Degree"/>
    <n v="2"/>
    <n v="2"/>
    <x v="1"/>
    <n v="6852"/>
    <n v="7"/>
    <x v="3"/>
    <x v="8"/>
    <n v="1"/>
    <n v="1"/>
    <n v="3"/>
    <n v="0"/>
  </r>
  <r>
    <n v="886"/>
    <x v="1"/>
    <x v="0"/>
    <x v="2"/>
    <x v="0"/>
    <s v="Life Sciences"/>
    <n v="1"/>
    <x v="1"/>
    <x v="0"/>
    <s v="Single"/>
    <s v="No"/>
    <x v="36"/>
    <n v="10"/>
    <s v="Master's Degree"/>
    <n v="3"/>
    <n v="2"/>
    <x v="0"/>
    <n v="4950"/>
    <n v="5"/>
    <x v="1"/>
    <x v="9"/>
    <n v="3"/>
    <n v="1"/>
    <n v="1"/>
    <n v="0"/>
  </r>
  <r>
    <n v="887"/>
    <x v="1"/>
    <x v="0"/>
    <x v="2"/>
    <x v="1"/>
    <s v="Medical"/>
    <n v="1"/>
    <x v="1"/>
    <x v="1"/>
    <s v="Married"/>
    <s v="Yes"/>
    <x v="7"/>
    <n v="1"/>
    <s v="Bachelor's Degree"/>
    <n v="4"/>
    <n v="1"/>
    <x v="1"/>
    <n v="3579"/>
    <n v="12"/>
    <x v="1"/>
    <x v="19"/>
    <n v="9"/>
    <n v="5"/>
    <n v="7"/>
    <n v="0"/>
  </r>
  <r>
    <n v="888"/>
    <x v="1"/>
    <x v="1"/>
    <x v="0"/>
    <x v="1"/>
    <s v="Medical"/>
    <n v="1"/>
    <x v="0"/>
    <x v="7"/>
    <s v="Married"/>
    <s v="Yes"/>
    <x v="19"/>
    <n v="26"/>
    <s v="Doctoral Degree"/>
    <n v="1"/>
    <n v="3"/>
    <x v="3"/>
    <n v="13191"/>
    <n v="20"/>
    <x v="1"/>
    <x v="6"/>
    <n v="0"/>
    <n v="0"/>
    <n v="0"/>
    <n v="0"/>
  </r>
  <r>
    <n v="889"/>
    <x v="1"/>
    <x v="2"/>
    <x v="0"/>
    <x v="0"/>
    <s v="Marketing"/>
    <n v="1"/>
    <x v="0"/>
    <x v="0"/>
    <s v="Married"/>
    <s v="Yes"/>
    <x v="10"/>
    <n v="8"/>
    <s v="Associates Degree"/>
    <n v="3"/>
    <n v="3"/>
    <x v="0"/>
    <n v="10377"/>
    <n v="16"/>
    <x v="2"/>
    <x v="20"/>
    <n v="2"/>
    <n v="4"/>
    <n v="12"/>
    <n v="0"/>
  </r>
  <r>
    <n v="890"/>
    <x v="1"/>
    <x v="0"/>
    <x v="2"/>
    <x v="1"/>
    <s v="Life Sciences"/>
    <n v="1"/>
    <x v="1"/>
    <x v="1"/>
    <s v="Married"/>
    <s v="Yes"/>
    <x v="4"/>
    <n v="14"/>
    <s v="Bachelor's Degree"/>
    <n v="1"/>
    <n v="1"/>
    <x v="3"/>
    <n v="2235"/>
    <n v="9"/>
    <x v="2"/>
    <x v="7"/>
    <n v="7"/>
    <n v="6"/>
    <n v="8"/>
    <n v="0"/>
  </r>
  <r>
    <n v="891"/>
    <x v="1"/>
    <x v="1"/>
    <x v="1"/>
    <x v="1"/>
    <s v="Life Sciences"/>
    <n v="1"/>
    <x v="0"/>
    <x v="3"/>
    <s v="Divorced"/>
    <s v="No"/>
    <x v="33"/>
    <n v="1"/>
    <s v="Master's Degree"/>
    <n v="4"/>
    <n v="3"/>
    <x v="2"/>
    <n v="10502"/>
    <n v="33"/>
    <x v="0"/>
    <x v="8"/>
    <n v="4"/>
    <n v="1"/>
    <n v="4"/>
    <n v="0"/>
  </r>
  <r>
    <n v="892"/>
    <x v="1"/>
    <x v="0"/>
    <x v="0"/>
    <x v="1"/>
    <s v="Life Sciences"/>
    <n v="1"/>
    <x v="0"/>
    <x v="1"/>
    <s v="Married"/>
    <s v="No"/>
    <x v="20"/>
    <n v="2"/>
    <s v="High School"/>
    <n v="1"/>
    <n v="1"/>
    <x v="0"/>
    <n v="2011"/>
    <n v="10"/>
    <x v="1"/>
    <x v="1"/>
    <n v="5"/>
    <n v="7"/>
    <n v="7"/>
    <n v="0"/>
  </r>
  <r>
    <n v="893"/>
    <x v="0"/>
    <x v="2"/>
    <x v="4"/>
    <x v="1"/>
    <s v="Medical"/>
    <n v="1"/>
    <x v="0"/>
    <x v="1"/>
    <s v="Single"/>
    <s v="Yes"/>
    <x v="37"/>
    <n v="10"/>
    <s v="Bachelor's Degree"/>
    <n v="1"/>
    <n v="1"/>
    <x v="1"/>
    <n v="1859"/>
    <n v="1"/>
    <x v="3"/>
    <x v="6"/>
    <n v="1"/>
    <n v="0"/>
    <n v="0"/>
    <n v="1"/>
  </r>
  <r>
    <n v="894"/>
    <x v="1"/>
    <x v="0"/>
    <x v="2"/>
    <x v="1"/>
    <s v="Life Sciences"/>
    <n v="1"/>
    <x v="0"/>
    <x v="1"/>
    <s v="Divorced"/>
    <s v="No"/>
    <x v="11"/>
    <n v="1"/>
    <s v="Bachelor's Degree"/>
    <n v="1"/>
    <n v="1"/>
    <x v="0"/>
    <n v="3760"/>
    <n v="3"/>
    <x v="1"/>
    <x v="11"/>
    <n v="2"/>
    <n v="1"/>
    <n v="2"/>
    <n v="0"/>
  </r>
  <r>
    <n v="895"/>
    <x v="1"/>
    <x v="0"/>
    <x v="1"/>
    <x v="1"/>
    <s v="Life Sciences"/>
    <n v="1"/>
    <x v="1"/>
    <x v="7"/>
    <s v="Married"/>
    <s v="No"/>
    <x v="33"/>
    <n v="3"/>
    <s v="Bachelor's Degree"/>
    <n v="4"/>
    <n v="4"/>
    <x v="0"/>
    <n v="17779"/>
    <n v="36"/>
    <x v="1"/>
    <x v="1"/>
    <n v="9"/>
    <n v="0"/>
    <n v="9"/>
    <n v="0"/>
  </r>
  <r>
    <n v="896"/>
    <x v="1"/>
    <x v="0"/>
    <x v="2"/>
    <x v="1"/>
    <s v="Medical"/>
    <n v="1"/>
    <x v="1"/>
    <x v="4"/>
    <s v="Married"/>
    <s v="Yes"/>
    <x v="12"/>
    <n v="11"/>
    <s v="Associates Degree"/>
    <n v="3"/>
    <n v="2"/>
    <x v="3"/>
    <n v="6833"/>
    <n v="6"/>
    <x v="2"/>
    <x v="0"/>
    <n v="5"/>
    <n v="0"/>
    <n v="1"/>
    <n v="0"/>
  </r>
  <r>
    <n v="897"/>
    <x v="1"/>
    <x v="0"/>
    <x v="2"/>
    <x v="1"/>
    <s v="Medical"/>
    <n v="1"/>
    <x v="0"/>
    <x v="4"/>
    <s v="Single"/>
    <s v="No"/>
    <x v="12"/>
    <n v="24"/>
    <s v="Bachelor's Degree"/>
    <n v="3"/>
    <n v="2"/>
    <x v="3"/>
    <n v="6812"/>
    <n v="10"/>
    <x v="1"/>
    <x v="1"/>
    <n v="9"/>
    <n v="1"/>
    <n v="8"/>
    <n v="0"/>
  </r>
  <r>
    <n v="898"/>
    <x v="1"/>
    <x v="0"/>
    <x v="3"/>
    <x v="0"/>
    <s v="Life Sciences"/>
    <n v="1"/>
    <x v="0"/>
    <x v="0"/>
    <s v="Single"/>
    <s v="No"/>
    <x v="6"/>
    <n v="3"/>
    <s v="Bachelor's Degree"/>
    <n v="3"/>
    <n v="2"/>
    <x v="0"/>
    <n v="5171"/>
    <n v="13"/>
    <x v="1"/>
    <x v="0"/>
    <n v="1"/>
    <n v="0"/>
    <n v="5"/>
    <n v="0"/>
  </r>
  <r>
    <n v="899"/>
    <x v="1"/>
    <x v="0"/>
    <x v="0"/>
    <x v="1"/>
    <s v="Life Sciences"/>
    <n v="1"/>
    <x v="1"/>
    <x v="7"/>
    <s v="Married"/>
    <s v="No"/>
    <x v="23"/>
    <n v="3"/>
    <s v="Bachelor's Degree"/>
    <n v="3"/>
    <n v="5"/>
    <x v="0"/>
    <n v="19740"/>
    <n v="25"/>
    <x v="1"/>
    <x v="3"/>
    <n v="7"/>
    <n v="0"/>
    <n v="7"/>
    <n v="0"/>
  </r>
  <r>
    <n v="900"/>
    <x v="1"/>
    <x v="0"/>
    <x v="1"/>
    <x v="1"/>
    <s v="Medical"/>
    <n v="1"/>
    <x v="1"/>
    <x v="5"/>
    <s v="Married"/>
    <s v="No"/>
    <x v="1"/>
    <n v="4"/>
    <s v="Associates Degree"/>
    <n v="1"/>
    <n v="5"/>
    <x v="2"/>
    <n v="18711"/>
    <n v="23"/>
    <x v="3"/>
    <x v="6"/>
    <n v="0"/>
    <n v="0"/>
    <n v="0"/>
    <n v="0"/>
  </r>
  <r>
    <n v="901"/>
    <x v="1"/>
    <x v="1"/>
    <x v="0"/>
    <x v="1"/>
    <s v="Technical Degree"/>
    <n v="1"/>
    <x v="1"/>
    <x v="1"/>
    <s v="Married"/>
    <s v="No"/>
    <x v="9"/>
    <n v="3"/>
    <s v="Bachelor's Degree"/>
    <n v="3"/>
    <n v="1"/>
    <x v="1"/>
    <n v="3692"/>
    <n v="12"/>
    <x v="2"/>
    <x v="19"/>
    <n v="10"/>
    <n v="0"/>
    <n v="7"/>
    <n v="0"/>
  </r>
  <r>
    <n v="902"/>
    <x v="1"/>
    <x v="0"/>
    <x v="1"/>
    <x v="1"/>
    <s v="Technical Degree"/>
    <n v="1"/>
    <x v="1"/>
    <x v="2"/>
    <s v="Single"/>
    <s v="No"/>
    <x v="26"/>
    <n v="2"/>
    <s v="Associates Degree"/>
    <n v="4"/>
    <n v="1"/>
    <x v="1"/>
    <n v="2559"/>
    <n v="7"/>
    <x v="2"/>
    <x v="6"/>
    <n v="0"/>
    <n v="0"/>
    <n v="0"/>
    <n v="0"/>
  </r>
  <r>
    <n v="903"/>
    <x v="1"/>
    <x v="0"/>
    <x v="2"/>
    <x v="1"/>
    <s v="Life Sciences"/>
    <n v="1"/>
    <x v="1"/>
    <x v="1"/>
    <s v="Divorced"/>
    <s v="No"/>
    <x v="4"/>
    <n v="4"/>
    <s v="Associates Degree"/>
    <n v="1"/>
    <n v="1"/>
    <x v="2"/>
    <n v="2517"/>
    <n v="5"/>
    <x v="1"/>
    <x v="8"/>
    <n v="3"/>
    <n v="0"/>
    <n v="3"/>
    <n v="0"/>
  </r>
  <r>
    <n v="904"/>
    <x v="1"/>
    <x v="0"/>
    <x v="2"/>
    <x v="1"/>
    <s v="Life Sciences"/>
    <n v="1"/>
    <x v="1"/>
    <x v="4"/>
    <s v="Divorced"/>
    <s v="Yes"/>
    <x v="11"/>
    <n v="7"/>
    <s v="Bachelor's Degree"/>
    <n v="3"/>
    <n v="2"/>
    <x v="0"/>
    <n v="6623"/>
    <n v="6"/>
    <x v="1"/>
    <x v="0"/>
    <n v="0"/>
    <n v="1"/>
    <n v="0"/>
    <n v="0"/>
  </r>
  <r>
    <n v="905"/>
    <x v="1"/>
    <x v="0"/>
    <x v="1"/>
    <x v="1"/>
    <s v="Life Sciences"/>
    <n v="1"/>
    <x v="1"/>
    <x v="7"/>
    <s v="Single"/>
    <s v="No"/>
    <x v="26"/>
    <n v="1"/>
    <s v="Bachelor's Degree"/>
    <n v="4"/>
    <n v="5"/>
    <x v="0"/>
    <n v="18265"/>
    <n v="25"/>
    <x v="3"/>
    <x v="6"/>
    <n v="0"/>
    <n v="0"/>
    <n v="0"/>
    <n v="0"/>
  </r>
  <r>
    <n v="906"/>
    <x v="1"/>
    <x v="0"/>
    <x v="2"/>
    <x v="1"/>
    <s v="Life Sciences"/>
    <n v="1"/>
    <x v="0"/>
    <x v="7"/>
    <s v="Divorced"/>
    <s v="No"/>
    <x v="11"/>
    <n v="1"/>
    <s v="Bachelor's Degree"/>
    <n v="4"/>
    <n v="4"/>
    <x v="0"/>
    <n v="16124"/>
    <n v="9"/>
    <x v="2"/>
    <x v="5"/>
    <n v="7"/>
    <n v="1"/>
    <n v="7"/>
    <n v="0"/>
  </r>
  <r>
    <n v="907"/>
    <x v="1"/>
    <x v="0"/>
    <x v="2"/>
    <x v="1"/>
    <s v="Technical Degree"/>
    <n v="1"/>
    <x v="0"/>
    <x v="1"/>
    <s v="Married"/>
    <s v="No"/>
    <x v="13"/>
    <n v="20"/>
    <s v="Bachelor's Degree"/>
    <n v="3"/>
    <n v="1"/>
    <x v="2"/>
    <n v="2585"/>
    <n v="2"/>
    <x v="2"/>
    <x v="6"/>
    <n v="0"/>
    <n v="0"/>
    <n v="0"/>
    <n v="0"/>
  </r>
  <r>
    <n v="908"/>
    <x v="1"/>
    <x v="0"/>
    <x v="0"/>
    <x v="0"/>
    <s v="Marketing"/>
    <n v="1"/>
    <x v="1"/>
    <x v="5"/>
    <s v="Married"/>
    <s v="No"/>
    <x v="20"/>
    <n v="5"/>
    <s v="Bachelor's Degree"/>
    <n v="2"/>
    <n v="5"/>
    <x v="1"/>
    <n v="18213"/>
    <n v="26"/>
    <x v="1"/>
    <x v="14"/>
    <n v="9"/>
    <n v="3"/>
    <n v="10"/>
    <n v="0"/>
  </r>
  <r>
    <n v="909"/>
    <x v="1"/>
    <x v="0"/>
    <x v="2"/>
    <x v="0"/>
    <s v="Marketing"/>
    <n v="1"/>
    <x v="1"/>
    <x v="0"/>
    <s v="Divorced"/>
    <s v="Yes"/>
    <x v="3"/>
    <n v="10"/>
    <s v="Doctoral Degree"/>
    <n v="4"/>
    <n v="3"/>
    <x v="2"/>
    <n v="8380"/>
    <n v="10"/>
    <x v="1"/>
    <x v="7"/>
    <n v="8"/>
    <n v="0"/>
    <n v="8"/>
    <n v="0"/>
  </r>
  <r>
    <n v="910"/>
    <x v="1"/>
    <x v="0"/>
    <x v="4"/>
    <x v="1"/>
    <s v="Life Sciences"/>
    <n v="1"/>
    <x v="0"/>
    <x v="1"/>
    <s v="Single"/>
    <s v="Yes"/>
    <x v="37"/>
    <n v="25"/>
    <s v="Bachelor's Degree"/>
    <n v="2"/>
    <n v="1"/>
    <x v="0"/>
    <n v="2994"/>
    <n v="1"/>
    <x v="1"/>
    <x v="6"/>
    <n v="0"/>
    <n v="0"/>
    <n v="1"/>
    <n v="0"/>
  </r>
  <r>
    <n v="911"/>
    <x v="1"/>
    <x v="0"/>
    <x v="4"/>
    <x v="1"/>
    <s v="Life Sciences"/>
    <n v="1"/>
    <x v="1"/>
    <x v="1"/>
    <s v="Married"/>
    <s v="No"/>
    <x v="30"/>
    <n v="1"/>
    <s v="Associates Degree"/>
    <n v="4"/>
    <n v="1"/>
    <x v="2"/>
    <n v="1223"/>
    <n v="1"/>
    <x v="1"/>
    <x v="6"/>
    <n v="0"/>
    <n v="0"/>
    <n v="1"/>
    <n v="0"/>
  </r>
  <r>
    <n v="912"/>
    <x v="0"/>
    <x v="1"/>
    <x v="2"/>
    <x v="0"/>
    <s v="Life Sciences"/>
    <n v="1"/>
    <x v="1"/>
    <x v="6"/>
    <s v="Single"/>
    <s v="Yes"/>
    <x v="36"/>
    <n v="24"/>
    <s v="High School"/>
    <n v="3"/>
    <n v="1"/>
    <x v="0"/>
    <n v="1118"/>
    <n v="1"/>
    <x v="1"/>
    <x v="6"/>
    <n v="0"/>
    <n v="1"/>
    <n v="0"/>
    <n v="1"/>
  </r>
  <r>
    <n v="913"/>
    <x v="1"/>
    <x v="0"/>
    <x v="2"/>
    <x v="1"/>
    <s v="Life Sciences"/>
    <n v="1"/>
    <x v="1"/>
    <x v="1"/>
    <s v="Single"/>
    <s v="Yes"/>
    <x v="25"/>
    <n v="4"/>
    <s v="Associates Degree"/>
    <n v="3"/>
    <n v="1"/>
    <x v="0"/>
    <n v="2875"/>
    <n v="8"/>
    <x v="2"/>
    <x v="3"/>
    <n v="5"/>
    <n v="2"/>
    <n v="2"/>
    <n v="0"/>
  </r>
  <r>
    <n v="914"/>
    <x v="0"/>
    <x v="0"/>
    <x v="1"/>
    <x v="0"/>
    <s v="Marketing"/>
    <n v="1"/>
    <x v="0"/>
    <x v="5"/>
    <s v="Single"/>
    <s v="Yes"/>
    <x v="28"/>
    <n v="2"/>
    <s v="Bachelor's Degree"/>
    <n v="1"/>
    <n v="5"/>
    <x v="1"/>
    <n v="18824"/>
    <n v="26"/>
    <x v="1"/>
    <x v="25"/>
    <n v="10"/>
    <n v="1"/>
    <n v="11"/>
    <n v="1"/>
  </r>
  <r>
    <n v="915"/>
    <x v="1"/>
    <x v="2"/>
    <x v="3"/>
    <x v="1"/>
    <s v="Medical"/>
    <n v="1"/>
    <x v="1"/>
    <x v="4"/>
    <s v="Divorced"/>
    <s v="Yes"/>
    <x v="27"/>
    <n v="8"/>
    <s v="High School"/>
    <n v="4"/>
    <n v="4"/>
    <x v="1"/>
    <n v="13577"/>
    <n v="34"/>
    <x v="1"/>
    <x v="26"/>
    <n v="9"/>
    <n v="15"/>
    <n v="0"/>
    <n v="0"/>
  </r>
  <r>
    <n v="916"/>
    <x v="0"/>
    <x v="1"/>
    <x v="4"/>
    <x v="1"/>
    <s v="Life Sciences"/>
    <n v="1"/>
    <x v="0"/>
    <x v="2"/>
    <s v="Single"/>
    <s v="No"/>
    <x v="18"/>
    <n v="10"/>
    <s v="Associates Degree"/>
    <n v="1"/>
    <n v="1"/>
    <x v="2"/>
    <n v="2625"/>
    <n v="2"/>
    <x v="0"/>
    <x v="4"/>
    <n v="2"/>
    <n v="2"/>
    <n v="2"/>
    <n v="1"/>
  </r>
  <r>
    <n v="917"/>
    <x v="1"/>
    <x v="0"/>
    <x v="1"/>
    <x v="0"/>
    <s v="Marketing"/>
    <n v="1"/>
    <x v="0"/>
    <x v="5"/>
    <s v="Married"/>
    <s v="No"/>
    <x v="21"/>
    <n v="4"/>
    <s v="Associates Degree"/>
    <n v="4"/>
    <n v="5"/>
    <x v="1"/>
    <n v="18789"/>
    <n v="26"/>
    <x v="1"/>
    <x v="19"/>
    <n v="4"/>
    <n v="0"/>
    <n v="8"/>
    <n v="0"/>
  </r>
  <r>
    <n v="918"/>
    <x v="1"/>
    <x v="0"/>
    <x v="2"/>
    <x v="0"/>
    <s v="Marketing"/>
    <n v="1"/>
    <x v="0"/>
    <x v="0"/>
    <s v="Single"/>
    <s v="Yes"/>
    <x v="13"/>
    <n v="2"/>
    <s v="Bachelor's Degree"/>
    <n v="3"/>
    <n v="2"/>
    <x v="3"/>
    <n v="4538"/>
    <n v="4"/>
    <x v="1"/>
    <x v="11"/>
    <n v="2"/>
    <n v="0"/>
    <n v="2"/>
    <n v="0"/>
  </r>
  <r>
    <n v="919"/>
    <x v="1"/>
    <x v="1"/>
    <x v="1"/>
    <x v="0"/>
    <s v="Life Sciences"/>
    <n v="1"/>
    <x v="1"/>
    <x v="5"/>
    <s v="Divorced"/>
    <s v="Yes"/>
    <x v="31"/>
    <n v="9"/>
    <s v="Bachelor's Degree"/>
    <n v="4"/>
    <n v="5"/>
    <x v="1"/>
    <n v="19847"/>
    <n v="31"/>
    <x v="2"/>
    <x v="30"/>
    <n v="10"/>
    <n v="11"/>
    <n v="10"/>
    <n v="0"/>
  </r>
  <r>
    <n v="920"/>
    <x v="1"/>
    <x v="0"/>
    <x v="3"/>
    <x v="1"/>
    <s v="Medical"/>
    <n v="1"/>
    <x v="1"/>
    <x v="3"/>
    <s v="Single"/>
    <s v="No"/>
    <x v="6"/>
    <n v="18"/>
    <s v="Master's Degree"/>
    <n v="4"/>
    <n v="3"/>
    <x v="0"/>
    <n v="10512"/>
    <n v="25"/>
    <x v="2"/>
    <x v="7"/>
    <n v="7"/>
    <n v="5"/>
    <n v="4"/>
    <n v="0"/>
  </r>
  <r>
    <n v="921"/>
    <x v="1"/>
    <x v="1"/>
    <x v="2"/>
    <x v="1"/>
    <s v="Medical"/>
    <n v="1"/>
    <x v="0"/>
    <x v="2"/>
    <s v="Divorced"/>
    <s v="No"/>
    <x v="13"/>
    <n v="19"/>
    <s v="Bachelor's Degree"/>
    <n v="3"/>
    <n v="2"/>
    <x v="1"/>
    <n v="4444"/>
    <n v="15"/>
    <x v="3"/>
    <x v="19"/>
    <n v="8"/>
    <n v="5"/>
    <n v="10"/>
    <n v="0"/>
  </r>
  <r>
    <n v="922"/>
    <x v="1"/>
    <x v="1"/>
    <x v="2"/>
    <x v="1"/>
    <s v="Medical"/>
    <n v="1"/>
    <x v="1"/>
    <x v="2"/>
    <s v="Single"/>
    <s v="Yes"/>
    <x v="14"/>
    <n v="1"/>
    <s v="Master's Degree"/>
    <n v="4"/>
    <n v="1"/>
    <x v="2"/>
    <n v="2154"/>
    <n v="5"/>
    <x v="2"/>
    <x v="9"/>
    <n v="2"/>
    <n v="0"/>
    <n v="2"/>
    <n v="0"/>
  </r>
  <r>
    <n v="923"/>
    <x v="1"/>
    <x v="0"/>
    <x v="0"/>
    <x v="1"/>
    <s v="Life Sciences"/>
    <n v="1"/>
    <x v="1"/>
    <x v="5"/>
    <s v="Divorced"/>
    <s v="No"/>
    <x v="20"/>
    <n v="4"/>
    <s v="Associates Degree"/>
    <n v="3"/>
    <n v="5"/>
    <x v="3"/>
    <n v="19190"/>
    <n v="26"/>
    <x v="2"/>
    <x v="10"/>
    <n v="9"/>
    <n v="14"/>
    <n v="13"/>
    <n v="0"/>
  </r>
  <r>
    <n v="924"/>
    <x v="1"/>
    <x v="1"/>
    <x v="2"/>
    <x v="2"/>
    <s v="Life Sciences"/>
    <n v="1"/>
    <x v="1"/>
    <x v="8"/>
    <s v="Married"/>
    <s v="No"/>
    <x v="13"/>
    <n v="11"/>
    <s v="Bachelor's Degree"/>
    <n v="3"/>
    <n v="2"/>
    <x v="1"/>
    <n v="4490"/>
    <n v="14"/>
    <x v="3"/>
    <x v="1"/>
    <n v="9"/>
    <n v="1"/>
    <n v="8"/>
    <n v="0"/>
  </r>
  <r>
    <n v="925"/>
    <x v="1"/>
    <x v="0"/>
    <x v="0"/>
    <x v="1"/>
    <s v="Life Sciences"/>
    <n v="1"/>
    <x v="1"/>
    <x v="1"/>
    <s v="Married"/>
    <s v="Yes"/>
    <x v="10"/>
    <n v="6"/>
    <s v="High School"/>
    <n v="3"/>
    <n v="1"/>
    <x v="2"/>
    <n v="3506"/>
    <n v="4"/>
    <x v="1"/>
    <x v="11"/>
    <n v="2"/>
    <n v="2"/>
    <n v="2"/>
    <n v="0"/>
  </r>
  <r>
    <n v="926"/>
    <x v="1"/>
    <x v="0"/>
    <x v="0"/>
    <x v="1"/>
    <s v="Medical"/>
    <n v="1"/>
    <x v="0"/>
    <x v="1"/>
    <s v="Married"/>
    <s v="Yes"/>
    <x v="19"/>
    <n v="7"/>
    <s v="Master's Degree"/>
    <n v="2"/>
    <n v="2"/>
    <x v="1"/>
    <n v="2372"/>
    <n v="18"/>
    <x v="1"/>
    <x v="6"/>
    <n v="0"/>
    <n v="0"/>
    <n v="0"/>
    <n v="0"/>
  </r>
  <r>
    <n v="927"/>
    <x v="1"/>
    <x v="0"/>
    <x v="0"/>
    <x v="0"/>
    <s v="Marketing"/>
    <n v="1"/>
    <x v="0"/>
    <x v="0"/>
    <s v="Single"/>
    <s v="No"/>
    <x v="23"/>
    <n v="4"/>
    <s v="Master's Degree"/>
    <n v="4"/>
    <n v="3"/>
    <x v="0"/>
    <n v="10231"/>
    <n v="23"/>
    <x v="3"/>
    <x v="17"/>
    <n v="7"/>
    <n v="15"/>
    <n v="17"/>
    <n v="0"/>
  </r>
  <r>
    <n v="928"/>
    <x v="1"/>
    <x v="0"/>
    <x v="0"/>
    <x v="1"/>
    <s v="Life Sciences"/>
    <n v="1"/>
    <x v="0"/>
    <x v="3"/>
    <s v="Single"/>
    <s v="Yes"/>
    <x v="9"/>
    <n v="2"/>
    <s v="Master's Degree"/>
    <n v="3"/>
    <n v="2"/>
    <x v="1"/>
    <n v="5410"/>
    <n v="18"/>
    <x v="1"/>
    <x v="22"/>
    <n v="14"/>
    <n v="5"/>
    <n v="12"/>
    <n v="0"/>
  </r>
  <r>
    <n v="929"/>
    <x v="0"/>
    <x v="0"/>
    <x v="0"/>
    <x v="1"/>
    <s v="Medical"/>
    <n v="1"/>
    <x v="0"/>
    <x v="4"/>
    <s v="Married"/>
    <s v="No"/>
    <x v="20"/>
    <n v="15"/>
    <s v="Bachelor's Degree"/>
    <n v="1"/>
    <n v="3"/>
    <x v="0"/>
    <n v="7978"/>
    <n v="10"/>
    <x v="1"/>
    <x v="1"/>
    <n v="7"/>
    <n v="0"/>
    <n v="5"/>
    <n v="1"/>
  </r>
  <r>
    <n v="930"/>
    <x v="1"/>
    <x v="1"/>
    <x v="2"/>
    <x v="1"/>
    <s v="Life Sciences"/>
    <n v="1"/>
    <x v="1"/>
    <x v="2"/>
    <s v="Married"/>
    <s v="Yes"/>
    <x v="14"/>
    <n v="2"/>
    <s v="Bachelor's Degree"/>
    <n v="4"/>
    <n v="1"/>
    <x v="0"/>
    <n v="3867"/>
    <n v="2"/>
    <x v="1"/>
    <x v="4"/>
    <n v="2"/>
    <n v="2"/>
    <n v="2"/>
    <n v="0"/>
  </r>
  <r>
    <n v="931"/>
    <x v="1"/>
    <x v="1"/>
    <x v="1"/>
    <x v="1"/>
    <s v="Medical"/>
    <n v="1"/>
    <x v="0"/>
    <x v="2"/>
    <s v="Single"/>
    <s v="No"/>
    <x v="31"/>
    <n v="6"/>
    <s v="Associates Degree"/>
    <n v="2"/>
    <n v="1"/>
    <x v="2"/>
    <n v="2838"/>
    <n v="8"/>
    <x v="2"/>
    <x v="5"/>
    <n v="0"/>
    <n v="7"/>
    <n v="7"/>
    <n v="0"/>
  </r>
  <r>
    <n v="932"/>
    <x v="1"/>
    <x v="2"/>
    <x v="2"/>
    <x v="1"/>
    <s v="Medical"/>
    <n v="1"/>
    <x v="0"/>
    <x v="3"/>
    <s v="Single"/>
    <s v="Yes"/>
    <x v="7"/>
    <n v="9"/>
    <s v="Associates Degree"/>
    <n v="3"/>
    <n v="2"/>
    <x v="2"/>
    <n v="4695"/>
    <n v="10"/>
    <x v="1"/>
    <x v="3"/>
    <n v="4"/>
    <n v="1"/>
    <n v="7"/>
    <n v="0"/>
  </r>
  <r>
    <n v="933"/>
    <x v="0"/>
    <x v="0"/>
    <x v="2"/>
    <x v="1"/>
    <s v="Technical Degree"/>
    <n v="1"/>
    <x v="0"/>
    <x v="2"/>
    <s v="Divorced"/>
    <s v="Yes"/>
    <x v="11"/>
    <n v="7"/>
    <s v="Bachelor's Degree"/>
    <n v="2"/>
    <n v="1"/>
    <x v="2"/>
    <n v="3339"/>
    <n v="10"/>
    <x v="1"/>
    <x v="5"/>
    <n v="7"/>
    <n v="7"/>
    <n v="7"/>
    <n v="1"/>
  </r>
  <r>
    <n v="934"/>
    <x v="1"/>
    <x v="0"/>
    <x v="2"/>
    <x v="1"/>
    <s v="Technical Degree"/>
    <n v="1"/>
    <x v="1"/>
    <x v="1"/>
    <s v="Single"/>
    <s v="No"/>
    <x v="14"/>
    <n v="1"/>
    <s v="Bachelor's Degree"/>
    <n v="4"/>
    <n v="1"/>
    <x v="3"/>
    <n v="2080"/>
    <n v="5"/>
    <x v="2"/>
    <x v="11"/>
    <n v="2"/>
    <n v="1"/>
    <n v="2"/>
    <n v="0"/>
  </r>
  <r>
    <n v="935"/>
    <x v="1"/>
    <x v="0"/>
    <x v="2"/>
    <x v="1"/>
    <s v="Medical"/>
    <n v="1"/>
    <x v="0"/>
    <x v="1"/>
    <s v="Single"/>
    <s v="No"/>
    <x v="36"/>
    <n v="1"/>
    <s v="Bachelor's Degree"/>
    <n v="4"/>
    <n v="1"/>
    <x v="1"/>
    <n v="2096"/>
    <n v="2"/>
    <x v="2"/>
    <x v="4"/>
    <n v="2"/>
    <n v="2"/>
    <n v="1"/>
    <n v="0"/>
  </r>
  <r>
    <n v="936"/>
    <x v="1"/>
    <x v="0"/>
    <x v="2"/>
    <x v="0"/>
    <s v="Medical"/>
    <n v="1"/>
    <x v="1"/>
    <x v="0"/>
    <s v="Married"/>
    <s v="No"/>
    <x v="5"/>
    <n v="8"/>
    <s v="Bachelor's Degree"/>
    <n v="3"/>
    <n v="2"/>
    <x v="0"/>
    <n v="6209"/>
    <n v="10"/>
    <x v="3"/>
    <x v="1"/>
    <n v="7"/>
    <n v="0"/>
    <n v="8"/>
    <n v="0"/>
  </r>
  <r>
    <n v="937"/>
    <x v="1"/>
    <x v="1"/>
    <x v="1"/>
    <x v="1"/>
    <s v="Medical"/>
    <n v="1"/>
    <x v="0"/>
    <x v="5"/>
    <s v="Single"/>
    <s v="No"/>
    <x v="28"/>
    <n v="25"/>
    <s v="Bachelor's Degree"/>
    <n v="2"/>
    <n v="5"/>
    <x v="1"/>
    <n v="18061"/>
    <n v="22"/>
    <x v="1"/>
    <x v="2"/>
    <n v="0"/>
    <n v="0"/>
    <n v="0"/>
    <n v="0"/>
  </r>
  <r>
    <n v="938"/>
    <x v="1"/>
    <x v="0"/>
    <x v="0"/>
    <x v="1"/>
    <s v="Medical"/>
    <n v="1"/>
    <x v="0"/>
    <x v="5"/>
    <s v="Divorced"/>
    <s v="Yes"/>
    <x v="22"/>
    <n v="13"/>
    <s v="Master's Degree"/>
    <n v="3"/>
    <n v="4"/>
    <x v="1"/>
    <n v="17123"/>
    <n v="21"/>
    <x v="1"/>
    <x v="27"/>
    <n v="9"/>
    <n v="15"/>
    <n v="2"/>
    <n v="0"/>
  </r>
  <r>
    <n v="939"/>
    <x v="1"/>
    <x v="0"/>
    <x v="3"/>
    <x v="1"/>
    <s v="Life Sciences"/>
    <n v="1"/>
    <x v="1"/>
    <x v="1"/>
    <s v="Divorced"/>
    <s v="No"/>
    <x v="34"/>
    <n v="23"/>
    <s v="Master's Degree"/>
    <n v="1"/>
    <n v="1"/>
    <x v="2"/>
    <n v="2372"/>
    <n v="2"/>
    <x v="1"/>
    <x v="4"/>
    <n v="2"/>
    <n v="2"/>
    <n v="2"/>
    <n v="0"/>
  </r>
  <r>
    <n v="940"/>
    <x v="0"/>
    <x v="0"/>
    <x v="2"/>
    <x v="1"/>
    <s v="Life Sciences"/>
    <n v="1"/>
    <x v="1"/>
    <x v="2"/>
    <s v="Married"/>
    <s v="No"/>
    <x v="5"/>
    <n v="7"/>
    <s v="Associates Degree"/>
    <n v="4"/>
    <n v="2"/>
    <x v="2"/>
    <n v="4883"/>
    <n v="10"/>
    <x v="1"/>
    <x v="1"/>
    <n v="4"/>
    <n v="1"/>
    <n v="1"/>
    <n v="1"/>
  </r>
  <r>
    <n v="941"/>
    <x v="0"/>
    <x v="0"/>
    <x v="0"/>
    <x v="1"/>
    <s v="Medical"/>
    <n v="1"/>
    <x v="1"/>
    <x v="1"/>
    <s v="Single"/>
    <s v="No"/>
    <x v="22"/>
    <n v="23"/>
    <s v="Bachelor's Degree"/>
    <n v="3"/>
    <n v="1"/>
    <x v="3"/>
    <n v="3904"/>
    <n v="6"/>
    <x v="1"/>
    <x v="8"/>
    <n v="2"/>
    <n v="0"/>
    <n v="3"/>
    <n v="1"/>
  </r>
  <r>
    <n v="942"/>
    <x v="1"/>
    <x v="0"/>
    <x v="2"/>
    <x v="1"/>
    <s v="Technical Degree"/>
    <n v="1"/>
    <x v="0"/>
    <x v="2"/>
    <s v="Married"/>
    <s v="No"/>
    <x v="7"/>
    <n v="6"/>
    <s v="Bachelor's Degree"/>
    <n v="1"/>
    <n v="2"/>
    <x v="0"/>
    <n v="4627"/>
    <n v="10"/>
    <x v="1"/>
    <x v="7"/>
    <n v="2"/>
    <n v="6"/>
    <n v="7"/>
    <n v="0"/>
  </r>
  <r>
    <n v="943"/>
    <x v="1"/>
    <x v="0"/>
    <x v="0"/>
    <x v="1"/>
    <s v="Technical Degree"/>
    <n v="1"/>
    <x v="0"/>
    <x v="4"/>
    <s v="Married"/>
    <s v="No"/>
    <x v="9"/>
    <n v="10"/>
    <s v="Master's Degree"/>
    <n v="4"/>
    <n v="3"/>
    <x v="2"/>
    <n v="7094"/>
    <n v="10"/>
    <x v="1"/>
    <x v="5"/>
    <n v="7"/>
    <n v="1"/>
    <n v="7"/>
    <n v="0"/>
  </r>
  <r>
    <n v="944"/>
    <x v="1"/>
    <x v="0"/>
    <x v="1"/>
    <x v="2"/>
    <s v="Life Sciences"/>
    <n v="1"/>
    <x v="0"/>
    <x v="8"/>
    <s v="Single"/>
    <s v="No"/>
    <x v="21"/>
    <n v="1"/>
    <s v="Associates Degree"/>
    <n v="4"/>
    <n v="1"/>
    <x v="3"/>
    <n v="3423"/>
    <n v="10"/>
    <x v="3"/>
    <x v="5"/>
    <n v="6"/>
    <n v="5"/>
    <n v="7"/>
    <n v="0"/>
  </r>
  <r>
    <n v="945"/>
    <x v="1"/>
    <x v="2"/>
    <x v="2"/>
    <x v="1"/>
    <s v="Life Sciences"/>
    <n v="1"/>
    <x v="0"/>
    <x v="2"/>
    <s v="Married"/>
    <s v="No"/>
    <x v="14"/>
    <n v="1"/>
    <s v="Bachelor's Degree"/>
    <n v="3"/>
    <n v="2"/>
    <x v="0"/>
    <n v="6674"/>
    <n v="10"/>
    <x v="1"/>
    <x v="7"/>
    <n v="8"/>
    <n v="7"/>
    <n v="5"/>
    <n v="0"/>
  </r>
  <r>
    <n v="946"/>
    <x v="1"/>
    <x v="0"/>
    <x v="1"/>
    <x v="1"/>
    <s v="Life Sciences"/>
    <n v="1"/>
    <x v="0"/>
    <x v="7"/>
    <s v="Married"/>
    <s v="Yes"/>
    <x v="24"/>
    <n v="28"/>
    <s v="Bachelor's Degree"/>
    <n v="4"/>
    <n v="4"/>
    <x v="3"/>
    <n v="16880"/>
    <n v="25"/>
    <x v="1"/>
    <x v="11"/>
    <n v="2"/>
    <n v="1"/>
    <n v="2"/>
    <n v="0"/>
  </r>
  <r>
    <n v="947"/>
    <x v="0"/>
    <x v="0"/>
    <x v="0"/>
    <x v="0"/>
    <s v="Marketing"/>
    <n v="1"/>
    <x v="1"/>
    <x v="0"/>
    <s v="Single"/>
    <s v="Yes"/>
    <x v="32"/>
    <n v="25"/>
    <s v="Master's Degree"/>
    <n v="4"/>
    <n v="3"/>
    <x v="1"/>
    <n v="9094"/>
    <n v="9"/>
    <x v="1"/>
    <x v="8"/>
    <n v="4"/>
    <n v="1"/>
    <n v="0"/>
    <n v="1"/>
  </r>
  <r>
    <n v="948"/>
    <x v="0"/>
    <x v="0"/>
    <x v="1"/>
    <x v="0"/>
    <s v="Life Sciences"/>
    <n v="1"/>
    <x v="1"/>
    <x v="0"/>
    <s v="Single"/>
    <s v="Yes"/>
    <x v="39"/>
    <n v="5"/>
    <s v="Bachelor's Degree"/>
    <n v="2"/>
    <n v="3"/>
    <x v="1"/>
    <n v="8446"/>
    <n v="10"/>
    <x v="2"/>
    <x v="3"/>
    <n v="7"/>
    <n v="7"/>
    <n v="7"/>
    <n v="1"/>
  </r>
  <r>
    <n v="949"/>
    <x v="1"/>
    <x v="0"/>
    <x v="2"/>
    <x v="1"/>
    <s v="Medical"/>
    <n v="1"/>
    <x v="0"/>
    <x v="5"/>
    <s v="Married"/>
    <s v="Yes"/>
    <x v="7"/>
    <n v="17"/>
    <s v="Master's Degree"/>
    <n v="2"/>
    <n v="3"/>
    <x v="3"/>
    <n v="11916"/>
    <n v="9"/>
    <x v="1"/>
    <x v="7"/>
    <n v="1"/>
    <n v="0"/>
    <n v="8"/>
    <n v="0"/>
  </r>
  <r>
    <n v="950"/>
    <x v="1"/>
    <x v="0"/>
    <x v="0"/>
    <x v="1"/>
    <s v="Life Sciences"/>
    <n v="1"/>
    <x v="1"/>
    <x v="3"/>
    <s v="Single"/>
    <s v="No"/>
    <x v="22"/>
    <n v="18"/>
    <s v="Associates Degree"/>
    <n v="1"/>
    <n v="2"/>
    <x v="2"/>
    <n v="4534"/>
    <n v="9"/>
    <x v="1"/>
    <x v="3"/>
    <n v="7"/>
    <n v="1"/>
    <n v="7"/>
    <n v="0"/>
  </r>
  <r>
    <n v="951"/>
    <x v="1"/>
    <x v="2"/>
    <x v="2"/>
    <x v="0"/>
    <s v="Life Sciences"/>
    <n v="1"/>
    <x v="0"/>
    <x v="0"/>
    <s v="Divorced"/>
    <s v="Yes"/>
    <x v="12"/>
    <n v="2"/>
    <s v="Master's Degree"/>
    <n v="4"/>
    <n v="3"/>
    <x v="2"/>
    <n v="9852"/>
    <n v="10"/>
    <x v="2"/>
    <x v="1"/>
    <n v="8"/>
    <n v="9"/>
    <n v="6"/>
    <n v="0"/>
  </r>
  <r>
    <n v="952"/>
    <x v="1"/>
    <x v="2"/>
    <x v="0"/>
    <x v="0"/>
    <s v="Medical"/>
    <n v="1"/>
    <x v="1"/>
    <x v="0"/>
    <s v="Single"/>
    <s v="No"/>
    <x v="0"/>
    <n v="10"/>
    <s v="Associates Degree"/>
    <n v="3"/>
    <n v="2"/>
    <x v="1"/>
    <n v="6151"/>
    <n v="19"/>
    <x v="1"/>
    <x v="27"/>
    <n v="2"/>
    <n v="11"/>
    <n v="9"/>
    <n v="0"/>
  </r>
  <r>
    <n v="953"/>
    <x v="0"/>
    <x v="1"/>
    <x v="2"/>
    <x v="0"/>
    <s v="Life Sciences"/>
    <n v="1"/>
    <x v="0"/>
    <x v="6"/>
    <s v="Single"/>
    <s v="Yes"/>
    <x v="12"/>
    <n v="1"/>
    <s v="Bachelor's Degree"/>
    <n v="4"/>
    <n v="1"/>
    <x v="1"/>
    <n v="2302"/>
    <n v="3"/>
    <x v="3"/>
    <x v="11"/>
    <n v="2"/>
    <n v="2"/>
    <n v="2"/>
    <n v="1"/>
  </r>
  <r>
    <n v="954"/>
    <x v="0"/>
    <x v="0"/>
    <x v="0"/>
    <x v="1"/>
    <s v="Life Sciences"/>
    <n v="1"/>
    <x v="1"/>
    <x v="2"/>
    <s v="Married"/>
    <s v="No"/>
    <x v="20"/>
    <n v="3"/>
    <s v="Bachelor's Degree"/>
    <n v="1"/>
    <n v="1"/>
    <x v="3"/>
    <n v="2362"/>
    <n v="10"/>
    <x v="3"/>
    <x v="11"/>
    <n v="2"/>
    <n v="1"/>
    <n v="2"/>
    <n v="1"/>
  </r>
  <r>
    <n v="955"/>
    <x v="1"/>
    <x v="2"/>
    <x v="0"/>
    <x v="1"/>
    <s v="Life Sciences"/>
    <n v="1"/>
    <x v="1"/>
    <x v="5"/>
    <s v="Married"/>
    <s v="Yes"/>
    <x v="19"/>
    <n v="2"/>
    <s v="High School"/>
    <n v="3"/>
    <n v="4"/>
    <x v="2"/>
    <n v="17861"/>
    <n v="21"/>
    <x v="2"/>
    <x v="23"/>
    <n v="8"/>
    <n v="2"/>
    <n v="10"/>
    <n v="0"/>
  </r>
  <r>
    <n v="956"/>
    <x v="1"/>
    <x v="0"/>
    <x v="3"/>
    <x v="1"/>
    <s v="Medical"/>
    <n v="1"/>
    <x v="0"/>
    <x v="5"/>
    <s v="Married"/>
    <s v="No"/>
    <x v="27"/>
    <n v="2"/>
    <s v="Associates Degree"/>
    <n v="4"/>
    <n v="5"/>
    <x v="2"/>
    <n v="19187"/>
    <n v="23"/>
    <x v="1"/>
    <x v="27"/>
    <n v="9"/>
    <n v="9"/>
    <n v="11"/>
    <n v="0"/>
  </r>
  <r>
    <n v="957"/>
    <x v="1"/>
    <x v="0"/>
    <x v="3"/>
    <x v="2"/>
    <s v="Life Sciences"/>
    <n v="1"/>
    <x v="1"/>
    <x v="5"/>
    <s v="Single"/>
    <s v="No"/>
    <x v="29"/>
    <n v="8"/>
    <s v="Master's Degree"/>
    <n v="4"/>
    <n v="5"/>
    <x v="1"/>
    <n v="19717"/>
    <n v="36"/>
    <x v="1"/>
    <x v="5"/>
    <n v="3"/>
    <n v="7"/>
    <n v="7"/>
    <n v="0"/>
  </r>
  <r>
    <n v="958"/>
    <x v="1"/>
    <x v="2"/>
    <x v="0"/>
    <x v="1"/>
    <s v="Life Sciences"/>
    <n v="1"/>
    <x v="1"/>
    <x v="1"/>
    <s v="Divorced"/>
    <s v="No"/>
    <x v="32"/>
    <n v="16"/>
    <s v="Associates Degree"/>
    <n v="3"/>
    <n v="1"/>
    <x v="2"/>
    <n v="3544"/>
    <n v="6"/>
    <x v="1"/>
    <x v="9"/>
    <n v="2"/>
    <n v="0"/>
    <n v="0"/>
    <n v="0"/>
  </r>
  <r>
    <n v="959"/>
    <x v="1"/>
    <x v="0"/>
    <x v="2"/>
    <x v="1"/>
    <s v="Life Sciences"/>
    <n v="1"/>
    <x v="1"/>
    <x v="4"/>
    <s v="Divorced"/>
    <s v="No"/>
    <x v="13"/>
    <n v="9"/>
    <s v="Bachelor's Degree"/>
    <n v="4"/>
    <n v="3"/>
    <x v="0"/>
    <n v="8500"/>
    <n v="10"/>
    <x v="2"/>
    <x v="7"/>
    <n v="7"/>
    <n v="1"/>
    <n v="6"/>
    <n v="0"/>
  </r>
  <r>
    <n v="960"/>
    <x v="1"/>
    <x v="0"/>
    <x v="0"/>
    <x v="1"/>
    <s v="Life Sciences"/>
    <n v="1"/>
    <x v="1"/>
    <x v="1"/>
    <s v="Single"/>
    <s v="No"/>
    <x v="32"/>
    <n v="2"/>
    <s v="Bachelor's Degree"/>
    <n v="3"/>
    <n v="2"/>
    <x v="0"/>
    <n v="4661"/>
    <n v="9"/>
    <x v="1"/>
    <x v="7"/>
    <n v="8"/>
    <n v="8"/>
    <n v="8"/>
    <n v="0"/>
  </r>
  <r>
    <n v="961"/>
    <x v="1"/>
    <x v="1"/>
    <x v="0"/>
    <x v="0"/>
    <s v="Marketing"/>
    <n v="1"/>
    <x v="0"/>
    <x v="0"/>
    <s v="Divorced"/>
    <s v="No"/>
    <x v="0"/>
    <n v="1"/>
    <s v="Bachelor's Degree"/>
    <n v="3"/>
    <n v="2"/>
    <x v="3"/>
    <n v="4103"/>
    <n v="10"/>
    <x v="1"/>
    <x v="7"/>
    <n v="3"/>
    <n v="1"/>
    <n v="7"/>
    <n v="0"/>
  </r>
  <r>
    <n v="962"/>
    <x v="1"/>
    <x v="1"/>
    <x v="0"/>
    <x v="1"/>
    <s v="Life Sciences"/>
    <n v="1"/>
    <x v="1"/>
    <x v="1"/>
    <s v="Single"/>
    <s v="Yes"/>
    <x v="10"/>
    <n v="4"/>
    <s v="Master's Degree"/>
    <n v="3"/>
    <n v="2"/>
    <x v="2"/>
    <n v="4249"/>
    <n v="9"/>
    <x v="1"/>
    <x v="7"/>
    <n v="6"/>
    <n v="1"/>
    <n v="1"/>
    <n v="0"/>
  </r>
  <r>
    <n v="963"/>
    <x v="1"/>
    <x v="0"/>
    <x v="1"/>
    <x v="2"/>
    <s v="Life Sciences"/>
    <n v="1"/>
    <x v="1"/>
    <x v="5"/>
    <s v="Divorced"/>
    <s v="Yes"/>
    <x v="31"/>
    <n v="5"/>
    <s v="Bachelor's Degree"/>
    <n v="3"/>
    <n v="4"/>
    <x v="1"/>
    <n v="14026"/>
    <n v="33"/>
    <x v="1"/>
    <x v="26"/>
    <n v="9"/>
    <n v="0"/>
    <n v="10"/>
    <n v="0"/>
  </r>
  <r>
    <n v="964"/>
    <x v="1"/>
    <x v="0"/>
    <x v="0"/>
    <x v="0"/>
    <s v="Life Sciences"/>
    <n v="1"/>
    <x v="0"/>
    <x v="0"/>
    <s v="Divorced"/>
    <s v="No"/>
    <x v="8"/>
    <n v="2"/>
    <s v="Associates Degree"/>
    <n v="2"/>
    <n v="2"/>
    <x v="3"/>
    <n v="6893"/>
    <n v="11"/>
    <x v="1"/>
    <x v="5"/>
    <n v="7"/>
    <n v="1"/>
    <n v="7"/>
    <n v="0"/>
  </r>
  <r>
    <n v="965"/>
    <x v="1"/>
    <x v="0"/>
    <x v="2"/>
    <x v="0"/>
    <s v="Medical"/>
    <n v="1"/>
    <x v="0"/>
    <x v="0"/>
    <s v="Single"/>
    <s v="No"/>
    <x v="13"/>
    <n v="15"/>
    <s v="Associates Degree"/>
    <n v="3"/>
    <n v="2"/>
    <x v="3"/>
    <n v="6125"/>
    <n v="10"/>
    <x v="3"/>
    <x v="1"/>
    <n v="8"/>
    <n v="9"/>
    <n v="6"/>
    <n v="0"/>
  </r>
  <r>
    <n v="966"/>
    <x v="1"/>
    <x v="0"/>
    <x v="2"/>
    <x v="1"/>
    <s v="Medical"/>
    <n v="1"/>
    <x v="1"/>
    <x v="2"/>
    <s v="Married"/>
    <s v="No"/>
    <x v="36"/>
    <n v="19"/>
    <s v="High School"/>
    <n v="4"/>
    <n v="1"/>
    <x v="0"/>
    <n v="3669"/>
    <n v="7"/>
    <x v="2"/>
    <x v="11"/>
    <n v="2"/>
    <n v="1"/>
    <n v="2"/>
    <n v="0"/>
  </r>
  <r>
    <n v="967"/>
    <x v="0"/>
    <x v="0"/>
    <x v="3"/>
    <x v="1"/>
    <s v="Medical"/>
    <n v="1"/>
    <x v="0"/>
    <x v="3"/>
    <s v="Married"/>
    <s v="Yes"/>
    <x v="34"/>
    <n v="7"/>
    <s v="Master's Degree"/>
    <n v="3"/>
    <n v="3"/>
    <x v="3"/>
    <n v="10008"/>
    <n v="31"/>
    <x v="2"/>
    <x v="1"/>
    <n v="9"/>
    <n v="5"/>
    <n v="9"/>
    <n v="1"/>
  </r>
  <r>
    <n v="968"/>
    <x v="1"/>
    <x v="0"/>
    <x v="0"/>
    <x v="1"/>
    <s v="Life Sciences"/>
    <n v="1"/>
    <x v="1"/>
    <x v="2"/>
    <s v="Married"/>
    <s v="No"/>
    <x v="32"/>
    <n v="1"/>
    <s v="Master's Degree"/>
    <n v="2"/>
    <n v="1"/>
    <x v="1"/>
    <n v="2387"/>
    <n v="7"/>
    <x v="1"/>
    <x v="9"/>
    <n v="2"/>
    <n v="0"/>
    <n v="3"/>
    <n v="0"/>
  </r>
  <r>
    <n v="969"/>
    <x v="1"/>
    <x v="1"/>
    <x v="0"/>
    <x v="0"/>
    <s v="Marketing"/>
    <n v="1"/>
    <x v="0"/>
    <x v="0"/>
    <s v="Married"/>
    <s v="No"/>
    <x v="9"/>
    <n v="7"/>
    <s v="Bachelor's Degree"/>
    <n v="1"/>
    <n v="2"/>
    <x v="3"/>
    <n v="4639"/>
    <n v="17"/>
    <x v="2"/>
    <x v="15"/>
    <n v="7"/>
    <n v="6"/>
    <n v="13"/>
    <n v="0"/>
  </r>
  <r>
    <n v="970"/>
    <x v="1"/>
    <x v="0"/>
    <x v="1"/>
    <x v="1"/>
    <s v="Life Sciences"/>
    <n v="1"/>
    <x v="1"/>
    <x v="3"/>
    <s v="Single"/>
    <s v="No"/>
    <x v="26"/>
    <n v="4"/>
    <s v="Bachelor's Degree"/>
    <n v="4"/>
    <n v="3"/>
    <x v="0"/>
    <n v="7898"/>
    <n v="11"/>
    <x v="1"/>
    <x v="1"/>
    <n v="9"/>
    <n v="0"/>
    <n v="8"/>
    <n v="0"/>
  </r>
  <r>
    <n v="971"/>
    <x v="1"/>
    <x v="0"/>
    <x v="2"/>
    <x v="0"/>
    <s v="Medical"/>
    <n v="1"/>
    <x v="0"/>
    <x v="6"/>
    <s v="Married"/>
    <s v="No"/>
    <x v="4"/>
    <n v="11"/>
    <s v="Bachelor's Degree"/>
    <n v="3"/>
    <n v="1"/>
    <x v="0"/>
    <n v="2534"/>
    <n v="5"/>
    <x v="1"/>
    <x v="6"/>
    <n v="0"/>
    <n v="0"/>
    <n v="0"/>
    <n v="0"/>
  </r>
  <r>
    <n v="972"/>
    <x v="1"/>
    <x v="0"/>
    <x v="1"/>
    <x v="1"/>
    <s v="Technical Degree"/>
    <n v="1"/>
    <x v="0"/>
    <x v="3"/>
    <s v="Single"/>
    <s v="No"/>
    <x v="31"/>
    <n v="11"/>
    <s v="Associates Degree"/>
    <n v="4"/>
    <n v="4"/>
    <x v="1"/>
    <n v="13142"/>
    <n v="29"/>
    <x v="2"/>
    <x v="8"/>
    <n v="2"/>
    <n v="0"/>
    <n v="3"/>
    <n v="0"/>
  </r>
  <r>
    <n v="973"/>
    <x v="1"/>
    <x v="2"/>
    <x v="4"/>
    <x v="1"/>
    <s v="Life Sciences"/>
    <n v="1"/>
    <x v="0"/>
    <x v="2"/>
    <s v="Single"/>
    <s v="No"/>
    <x v="41"/>
    <n v="1"/>
    <s v="Bachelor's Degree"/>
    <n v="4"/>
    <n v="1"/>
    <x v="0"/>
    <n v="1611"/>
    <n v="0"/>
    <x v="3"/>
    <x v="2"/>
    <n v="0"/>
    <n v="0"/>
    <n v="0"/>
    <n v="0"/>
  </r>
  <r>
    <n v="974"/>
    <x v="1"/>
    <x v="0"/>
    <x v="0"/>
    <x v="1"/>
    <s v="Medical"/>
    <n v="1"/>
    <x v="0"/>
    <x v="2"/>
    <s v="Married"/>
    <s v="No"/>
    <x v="10"/>
    <n v="1"/>
    <s v="Bachelor's Degree"/>
    <n v="4"/>
    <n v="2"/>
    <x v="0"/>
    <n v="5363"/>
    <n v="10"/>
    <x v="1"/>
    <x v="7"/>
    <n v="7"/>
    <n v="0"/>
    <n v="0"/>
    <n v="0"/>
  </r>
  <r>
    <n v="975"/>
    <x v="1"/>
    <x v="1"/>
    <x v="2"/>
    <x v="0"/>
    <s v="Life Sciences"/>
    <n v="1"/>
    <x v="1"/>
    <x v="0"/>
    <s v="Single"/>
    <s v="No"/>
    <x v="4"/>
    <n v="2"/>
    <s v="High School"/>
    <n v="4"/>
    <n v="2"/>
    <x v="0"/>
    <n v="5071"/>
    <n v="8"/>
    <x v="1"/>
    <x v="0"/>
    <n v="2"/>
    <n v="0"/>
    <n v="0"/>
    <n v="0"/>
  </r>
  <r>
    <n v="976"/>
    <x v="0"/>
    <x v="0"/>
    <x v="3"/>
    <x v="0"/>
    <s v="Marketing"/>
    <n v="1"/>
    <x v="1"/>
    <x v="0"/>
    <s v="Single"/>
    <s v="Yes"/>
    <x v="27"/>
    <n v="13"/>
    <s v="Master's Degree"/>
    <n v="1"/>
    <n v="4"/>
    <x v="2"/>
    <n v="13695"/>
    <n v="24"/>
    <x v="2"/>
    <x v="27"/>
    <n v="7"/>
    <n v="3"/>
    <n v="8"/>
    <n v="1"/>
  </r>
  <r>
    <n v="977"/>
    <x v="1"/>
    <x v="0"/>
    <x v="3"/>
    <x v="1"/>
    <s v="Life Sciences"/>
    <n v="1"/>
    <x v="1"/>
    <x v="3"/>
    <s v="Married"/>
    <s v="Yes"/>
    <x v="29"/>
    <n v="23"/>
    <s v="Bachelor's Degree"/>
    <n v="4"/>
    <n v="4"/>
    <x v="1"/>
    <n v="13402"/>
    <n v="33"/>
    <x v="1"/>
    <x v="27"/>
    <n v="16"/>
    <n v="15"/>
    <n v="9"/>
    <n v="0"/>
  </r>
  <r>
    <n v="978"/>
    <x v="1"/>
    <x v="2"/>
    <x v="2"/>
    <x v="1"/>
    <s v="Technical Degree"/>
    <n v="1"/>
    <x v="0"/>
    <x v="1"/>
    <s v="Divorced"/>
    <s v="No"/>
    <x v="13"/>
    <n v="26"/>
    <s v="High School"/>
    <n v="1"/>
    <n v="1"/>
    <x v="2"/>
    <n v="2029"/>
    <n v="5"/>
    <x v="1"/>
    <x v="8"/>
    <n v="4"/>
    <n v="0"/>
    <n v="0"/>
    <n v="0"/>
  </r>
  <r>
    <n v="979"/>
    <x v="1"/>
    <x v="0"/>
    <x v="0"/>
    <x v="1"/>
    <s v="Medical"/>
    <n v="1"/>
    <x v="0"/>
    <x v="4"/>
    <s v="Divorced"/>
    <s v="No"/>
    <x v="32"/>
    <n v="2"/>
    <s v="High School"/>
    <n v="2"/>
    <n v="2"/>
    <x v="2"/>
    <n v="6377"/>
    <n v="15"/>
    <x v="1"/>
    <x v="12"/>
    <n v="11"/>
    <n v="11"/>
    <n v="8"/>
    <n v="0"/>
  </r>
  <r>
    <n v="980"/>
    <x v="1"/>
    <x v="0"/>
    <x v="2"/>
    <x v="1"/>
    <s v="Medical"/>
    <n v="1"/>
    <x v="1"/>
    <x v="2"/>
    <s v="Married"/>
    <s v="No"/>
    <x v="13"/>
    <n v="29"/>
    <s v="Bachelor's Degree"/>
    <n v="2"/>
    <n v="2"/>
    <x v="2"/>
    <n v="5429"/>
    <n v="10"/>
    <x v="1"/>
    <x v="3"/>
    <n v="7"/>
    <n v="7"/>
    <n v="7"/>
    <n v="0"/>
  </r>
  <r>
    <n v="981"/>
    <x v="0"/>
    <x v="1"/>
    <x v="2"/>
    <x v="0"/>
    <s v="Life Sciences"/>
    <n v="1"/>
    <x v="0"/>
    <x v="6"/>
    <s v="Single"/>
    <s v="No"/>
    <x v="12"/>
    <n v="2"/>
    <s v="Bachelor's Degree"/>
    <n v="3"/>
    <n v="1"/>
    <x v="0"/>
    <n v="2785"/>
    <n v="3"/>
    <x v="3"/>
    <x v="6"/>
    <n v="0"/>
    <n v="0"/>
    <n v="0"/>
    <n v="1"/>
  </r>
  <r>
    <n v="982"/>
    <x v="0"/>
    <x v="1"/>
    <x v="0"/>
    <x v="0"/>
    <s v="Marketing"/>
    <n v="1"/>
    <x v="0"/>
    <x v="0"/>
    <s v="Married"/>
    <s v="Yes"/>
    <x v="10"/>
    <n v="18"/>
    <s v="Master's Degree"/>
    <n v="4"/>
    <n v="2"/>
    <x v="2"/>
    <n v="4614"/>
    <n v="5"/>
    <x v="2"/>
    <x v="9"/>
    <n v="2"/>
    <n v="3"/>
    <n v="2"/>
    <n v="1"/>
  </r>
  <r>
    <n v="983"/>
    <x v="1"/>
    <x v="1"/>
    <x v="0"/>
    <x v="1"/>
    <s v="Life Sciences"/>
    <n v="1"/>
    <x v="1"/>
    <x v="1"/>
    <s v="Divorced"/>
    <s v="No"/>
    <x v="8"/>
    <n v="7"/>
    <s v="Bachelor's Degree"/>
    <n v="4"/>
    <n v="1"/>
    <x v="2"/>
    <n v="2610"/>
    <n v="4"/>
    <x v="1"/>
    <x v="9"/>
    <n v="2"/>
    <n v="0"/>
    <n v="3"/>
    <n v="0"/>
  </r>
  <r>
    <n v="984"/>
    <x v="1"/>
    <x v="0"/>
    <x v="2"/>
    <x v="1"/>
    <s v="Technical Degree"/>
    <n v="1"/>
    <x v="0"/>
    <x v="4"/>
    <s v="Single"/>
    <s v="No"/>
    <x v="13"/>
    <n v="2"/>
    <s v="Master's Degree"/>
    <n v="3"/>
    <n v="2"/>
    <x v="0"/>
    <n v="6687"/>
    <n v="14"/>
    <x v="3"/>
    <x v="13"/>
    <n v="11"/>
    <n v="4"/>
    <n v="11"/>
    <n v="0"/>
  </r>
  <r>
    <n v="985"/>
    <x v="1"/>
    <x v="0"/>
    <x v="2"/>
    <x v="0"/>
    <s v="Life Sciences"/>
    <n v="1"/>
    <x v="1"/>
    <x v="0"/>
    <s v="Married"/>
    <s v="No"/>
    <x v="14"/>
    <n v="26"/>
    <s v="Bachelor's Degree"/>
    <n v="3"/>
    <n v="2"/>
    <x v="3"/>
    <n v="4724"/>
    <n v="5"/>
    <x v="1"/>
    <x v="8"/>
    <n v="3"/>
    <n v="0"/>
    <n v="4"/>
    <n v="0"/>
  </r>
  <r>
    <n v="986"/>
    <x v="0"/>
    <x v="0"/>
    <x v="2"/>
    <x v="1"/>
    <s v="Medical"/>
    <n v="1"/>
    <x v="1"/>
    <x v="3"/>
    <s v="Married"/>
    <s v="Yes"/>
    <x v="12"/>
    <n v="22"/>
    <s v="Master's Degree"/>
    <n v="4"/>
    <n v="2"/>
    <x v="2"/>
    <n v="6179"/>
    <n v="10"/>
    <x v="2"/>
    <x v="1"/>
    <n v="2"/>
    <n v="6"/>
    <n v="7"/>
    <n v="1"/>
  </r>
  <r>
    <n v="987"/>
    <x v="1"/>
    <x v="0"/>
    <x v="0"/>
    <x v="0"/>
    <s v="Life Sciences"/>
    <n v="1"/>
    <x v="1"/>
    <x v="0"/>
    <s v="Married"/>
    <s v="Yes"/>
    <x v="22"/>
    <n v="21"/>
    <s v="Master's Degree"/>
    <n v="1"/>
    <n v="2"/>
    <x v="0"/>
    <n v="6120"/>
    <n v="8"/>
    <x v="3"/>
    <x v="8"/>
    <n v="4"/>
    <n v="1"/>
    <n v="4"/>
    <n v="0"/>
  </r>
  <r>
    <n v="988"/>
    <x v="1"/>
    <x v="1"/>
    <x v="1"/>
    <x v="0"/>
    <s v="Marketing"/>
    <n v="1"/>
    <x v="1"/>
    <x v="0"/>
    <s v="Married"/>
    <s v="No"/>
    <x v="31"/>
    <n v="2"/>
    <s v="Bachelor's Degree"/>
    <n v="2"/>
    <n v="3"/>
    <x v="1"/>
    <n v="10596"/>
    <n v="14"/>
    <x v="1"/>
    <x v="9"/>
    <n v="2"/>
    <n v="3"/>
    <n v="2"/>
    <n v="0"/>
  </r>
  <r>
    <n v="989"/>
    <x v="1"/>
    <x v="1"/>
    <x v="0"/>
    <x v="1"/>
    <s v="Life Sciences"/>
    <n v="1"/>
    <x v="0"/>
    <x v="1"/>
    <s v="Divorced"/>
    <s v="Yes"/>
    <x v="0"/>
    <n v="22"/>
    <s v="Bachelor's Degree"/>
    <n v="4"/>
    <n v="2"/>
    <x v="0"/>
    <n v="5467"/>
    <n v="12"/>
    <x v="2"/>
    <x v="0"/>
    <n v="2"/>
    <n v="3"/>
    <n v="3"/>
    <n v="0"/>
  </r>
  <r>
    <n v="990"/>
    <x v="1"/>
    <x v="0"/>
    <x v="0"/>
    <x v="1"/>
    <s v="Life Sciences"/>
    <n v="1"/>
    <x v="1"/>
    <x v="1"/>
    <s v="Married"/>
    <s v="Yes"/>
    <x v="2"/>
    <n v="4"/>
    <s v="High School"/>
    <n v="3"/>
    <n v="1"/>
    <x v="2"/>
    <n v="2996"/>
    <n v="8"/>
    <x v="1"/>
    <x v="0"/>
    <n v="4"/>
    <n v="1"/>
    <n v="3"/>
    <n v="0"/>
  </r>
  <r>
    <n v="991"/>
    <x v="1"/>
    <x v="1"/>
    <x v="2"/>
    <x v="0"/>
    <s v="Life Sciences"/>
    <n v="1"/>
    <x v="1"/>
    <x v="0"/>
    <s v="Married"/>
    <s v="No"/>
    <x v="3"/>
    <n v="5"/>
    <s v="High School"/>
    <n v="2"/>
    <n v="2"/>
    <x v="0"/>
    <n v="9998"/>
    <n v="8"/>
    <x v="3"/>
    <x v="8"/>
    <n v="4"/>
    <n v="1"/>
    <n v="2"/>
    <n v="0"/>
  </r>
  <r>
    <n v="992"/>
    <x v="1"/>
    <x v="0"/>
    <x v="2"/>
    <x v="0"/>
    <s v="Marketing"/>
    <n v="1"/>
    <x v="1"/>
    <x v="0"/>
    <s v="Married"/>
    <s v="Yes"/>
    <x v="5"/>
    <n v="2"/>
    <s v="High School"/>
    <n v="3"/>
    <n v="2"/>
    <x v="1"/>
    <n v="4078"/>
    <n v="4"/>
    <x v="2"/>
    <x v="11"/>
    <n v="2"/>
    <n v="1"/>
    <n v="2"/>
    <n v="0"/>
  </r>
  <r>
    <n v="993"/>
    <x v="1"/>
    <x v="2"/>
    <x v="0"/>
    <x v="1"/>
    <s v="Life Sciences"/>
    <n v="1"/>
    <x v="1"/>
    <x v="4"/>
    <s v="Married"/>
    <s v="No"/>
    <x v="22"/>
    <n v="25"/>
    <s v="Associates Degree"/>
    <n v="3"/>
    <n v="3"/>
    <x v="2"/>
    <n v="10920"/>
    <n v="13"/>
    <x v="1"/>
    <x v="0"/>
    <n v="4"/>
    <n v="0"/>
    <n v="5"/>
    <n v="0"/>
  </r>
  <r>
    <n v="994"/>
    <x v="1"/>
    <x v="0"/>
    <x v="2"/>
    <x v="0"/>
    <s v="Life Sciences"/>
    <n v="1"/>
    <x v="1"/>
    <x v="0"/>
    <s v="Married"/>
    <s v="No"/>
    <x v="36"/>
    <n v="18"/>
    <s v="High School"/>
    <n v="1"/>
    <n v="2"/>
    <x v="2"/>
    <n v="6232"/>
    <n v="6"/>
    <x v="2"/>
    <x v="11"/>
    <n v="2"/>
    <n v="1"/>
    <n v="2"/>
    <n v="0"/>
  </r>
  <r>
    <n v="995"/>
    <x v="1"/>
    <x v="1"/>
    <x v="1"/>
    <x v="1"/>
    <s v="Medical"/>
    <n v="1"/>
    <x v="0"/>
    <x v="3"/>
    <s v="Married"/>
    <s v="Yes"/>
    <x v="39"/>
    <n v="28"/>
    <s v="Associates Degree"/>
    <n v="4"/>
    <n v="4"/>
    <x v="2"/>
    <n v="13247"/>
    <n v="24"/>
    <x v="2"/>
    <x v="8"/>
    <n v="3"/>
    <n v="0"/>
    <n v="2"/>
    <n v="0"/>
  </r>
  <r>
    <n v="996"/>
    <x v="1"/>
    <x v="0"/>
    <x v="0"/>
    <x v="1"/>
    <s v="Medical"/>
    <n v="1"/>
    <x v="0"/>
    <x v="1"/>
    <s v="Single"/>
    <s v="Yes"/>
    <x v="23"/>
    <n v="6"/>
    <s v="Bachelor's Degree"/>
    <n v="1"/>
    <n v="2"/>
    <x v="2"/>
    <n v="4081"/>
    <n v="20"/>
    <x v="0"/>
    <x v="23"/>
    <n v="7"/>
    <n v="1"/>
    <n v="8"/>
    <n v="0"/>
  </r>
  <r>
    <n v="997"/>
    <x v="1"/>
    <x v="0"/>
    <x v="2"/>
    <x v="0"/>
    <s v="Marketing"/>
    <n v="1"/>
    <x v="0"/>
    <x v="0"/>
    <s v="Married"/>
    <s v="Yes"/>
    <x v="4"/>
    <n v="10"/>
    <s v="Bachelor's Degree"/>
    <n v="4"/>
    <n v="2"/>
    <x v="0"/>
    <n v="5769"/>
    <n v="6"/>
    <x v="1"/>
    <x v="0"/>
    <n v="2"/>
    <n v="4"/>
    <n v="4"/>
    <n v="0"/>
  </r>
  <r>
    <n v="998"/>
    <x v="0"/>
    <x v="0"/>
    <x v="2"/>
    <x v="1"/>
    <s v="Life Sciences"/>
    <n v="1"/>
    <x v="0"/>
    <x v="1"/>
    <s v="Single"/>
    <s v="Yes"/>
    <x v="4"/>
    <n v="17"/>
    <s v="Master's Degree"/>
    <n v="4"/>
    <n v="1"/>
    <x v="2"/>
    <n v="2394"/>
    <n v="8"/>
    <x v="1"/>
    <x v="3"/>
    <n v="2"/>
    <n v="7"/>
    <n v="7"/>
    <n v="1"/>
  </r>
  <r>
    <n v="999"/>
    <x v="1"/>
    <x v="0"/>
    <x v="2"/>
    <x v="1"/>
    <s v="Medical"/>
    <n v="1"/>
    <x v="1"/>
    <x v="1"/>
    <s v="Single"/>
    <s v="No"/>
    <x v="25"/>
    <n v="2"/>
    <s v="High School"/>
    <n v="1"/>
    <n v="1"/>
    <x v="0"/>
    <n v="3904"/>
    <n v="5"/>
    <x v="1"/>
    <x v="9"/>
    <n v="3"/>
    <n v="1"/>
    <n v="1"/>
    <n v="0"/>
  </r>
  <r>
    <n v="1000"/>
    <x v="1"/>
    <x v="0"/>
    <x v="0"/>
    <x v="2"/>
    <s v="Human Resources"/>
    <n v="1"/>
    <x v="0"/>
    <x v="5"/>
    <s v="Married"/>
    <s v="No"/>
    <x v="19"/>
    <n v="10"/>
    <s v="Bachelor's Degree"/>
    <n v="3"/>
    <n v="4"/>
    <x v="3"/>
    <n v="16799"/>
    <n v="21"/>
    <x v="1"/>
    <x v="23"/>
    <n v="7"/>
    <n v="0"/>
    <n v="9"/>
    <n v="0"/>
  </r>
  <r>
    <n v="1001"/>
    <x v="1"/>
    <x v="2"/>
    <x v="2"/>
    <x v="1"/>
    <s v="Medical"/>
    <n v="1"/>
    <x v="0"/>
    <x v="4"/>
    <s v="Divorced"/>
    <s v="No"/>
    <x v="5"/>
    <n v="15"/>
    <s v="Master's Degree"/>
    <n v="3"/>
    <n v="2"/>
    <x v="0"/>
    <n v="6667"/>
    <n v="9"/>
    <x v="1"/>
    <x v="8"/>
    <n v="1"/>
    <n v="1"/>
    <n v="2"/>
    <n v="0"/>
  </r>
  <r>
    <n v="1002"/>
    <x v="1"/>
    <x v="2"/>
    <x v="0"/>
    <x v="1"/>
    <s v="Medical"/>
    <n v="1"/>
    <x v="0"/>
    <x v="3"/>
    <s v="Married"/>
    <s v="No"/>
    <x v="9"/>
    <n v="1"/>
    <s v="Master's Degree"/>
    <n v="4"/>
    <n v="2"/>
    <x v="2"/>
    <n v="4374"/>
    <n v="4"/>
    <x v="1"/>
    <x v="11"/>
    <n v="2"/>
    <n v="1"/>
    <n v="2"/>
    <n v="0"/>
  </r>
  <r>
    <n v="1003"/>
    <x v="1"/>
    <x v="2"/>
    <x v="0"/>
    <x v="1"/>
    <s v="Life Sciences"/>
    <n v="1"/>
    <x v="0"/>
    <x v="4"/>
    <s v="Married"/>
    <s v="No"/>
    <x v="10"/>
    <n v="8"/>
    <s v="Master's Degree"/>
    <n v="3"/>
    <n v="2"/>
    <x v="2"/>
    <n v="4148"/>
    <n v="15"/>
    <x v="1"/>
    <x v="13"/>
    <n v="11"/>
    <n v="2"/>
    <n v="9"/>
    <n v="0"/>
  </r>
  <r>
    <n v="1004"/>
    <x v="1"/>
    <x v="2"/>
    <x v="1"/>
    <x v="1"/>
    <s v="Medical"/>
    <n v="1"/>
    <x v="0"/>
    <x v="7"/>
    <s v="Married"/>
    <s v="No"/>
    <x v="40"/>
    <n v="1"/>
    <s v="High School"/>
    <n v="3"/>
    <n v="3"/>
    <x v="1"/>
    <n v="11957"/>
    <n v="14"/>
    <x v="0"/>
    <x v="20"/>
    <n v="8"/>
    <n v="5"/>
    <n v="12"/>
    <n v="0"/>
  </r>
  <r>
    <n v="1005"/>
    <x v="1"/>
    <x v="2"/>
    <x v="4"/>
    <x v="1"/>
    <s v="Medical"/>
    <n v="1"/>
    <x v="0"/>
    <x v="1"/>
    <s v="Single"/>
    <s v="No"/>
    <x v="41"/>
    <n v="14"/>
    <s v="Bachelor's Degree"/>
    <n v="2"/>
    <n v="1"/>
    <x v="2"/>
    <n v="1514"/>
    <n v="0"/>
    <x v="0"/>
    <x v="2"/>
    <n v="0"/>
    <n v="0"/>
    <n v="0"/>
    <n v="0"/>
  </r>
  <r>
    <n v="1006"/>
    <x v="1"/>
    <x v="2"/>
    <x v="0"/>
    <x v="0"/>
    <s v="Life Sciences"/>
    <n v="1"/>
    <x v="0"/>
    <x v="0"/>
    <s v="Married"/>
    <s v="No"/>
    <x v="22"/>
    <n v="21"/>
    <s v="Master's Degree"/>
    <n v="1"/>
    <n v="2"/>
    <x v="2"/>
    <n v="5736"/>
    <n v="10"/>
    <x v="1"/>
    <x v="11"/>
    <n v="2"/>
    <n v="1"/>
    <n v="2"/>
    <n v="0"/>
  </r>
  <r>
    <n v="1007"/>
    <x v="1"/>
    <x v="2"/>
    <x v="4"/>
    <x v="0"/>
    <s v="Life Sciences"/>
    <n v="1"/>
    <x v="0"/>
    <x v="6"/>
    <s v="Married"/>
    <s v="No"/>
    <x v="17"/>
    <n v="13"/>
    <s v="Associates Degree"/>
    <n v="4"/>
    <n v="1"/>
    <x v="1"/>
    <n v="2033"/>
    <n v="1"/>
    <x v="1"/>
    <x v="6"/>
    <n v="0"/>
    <n v="0"/>
    <n v="0"/>
    <n v="0"/>
  </r>
  <r>
    <n v="1008"/>
    <x v="1"/>
    <x v="2"/>
    <x v="2"/>
    <x v="0"/>
    <s v="Marketing"/>
    <n v="1"/>
    <x v="0"/>
    <x v="0"/>
    <s v="Single"/>
    <s v="No"/>
    <x v="3"/>
    <n v="2"/>
    <s v="Bachelor's Degree"/>
    <n v="4"/>
    <n v="2"/>
    <x v="1"/>
    <n v="5147"/>
    <n v="13"/>
    <x v="2"/>
    <x v="19"/>
    <n v="7"/>
    <n v="1"/>
    <n v="7"/>
    <n v="0"/>
  </r>
  <r>
    <n v="1009"/>
    <x v="1"/>
    <x v="1"/>
    <x v="1"/>
    <x v="1"/>
    <s v="Medical"/>
    <n v="1"/>
    <x v="0"/>
    <x v="5"/>
    <s v="Divorced"/>
    <s v="No"/>
    <x v="26"/>
    <n v="22"/>
    <s v="Bachelor's Degree"/>
    <n v="4"/>
    <n v="4"/>
    <x v="0"/>
    <n v="17174"/>
    <n v="24"/>
    <x v="1"/>
    <x v="14"/>
    <n v="17"/>
    <n v="4"/>
    <n v="7"/>
    <n v="0"/>
  </r>
  <r>
    <n v="1010"/>
    <x v="1"/>
    <x v="1"/>
    <x v="0"/>
    <x v="1"/>
    <s v="Life Sciences"/>
    <n v="1"/>
    <x v="0"/>
    <x v="3"/>
    <s v="Divorced"/>
    <s v="No"/>
    <x v="9"/>
    <n v="4"/>
    <s v="Associates Degree"/>
    <n v="4"/>
    <n v="2"/>
    <x v="1"/>
    <n v="5131"/>
    <n v="18"/>
    <x v="1"/>
    <x v="9"/>
    <n v="2"/>
    <n v="0"/>
    <n v="2"/>
    <n v="0"/>
  </r>
  <r>
    <n v="1011"/>
    <x v="1"/>
    <x v="1"/>
    <x v="0"/>
    <x v="1"/>
    <s v="Medical"/>
    <n v="1"/>
    <x v="0"/>
    <x v="2"/>
    <s v="Married"/>
    <s v="No"/>
    <x v="8"/>
    <n v="2"/>
    <s v="Associates Degree"/>
    <n v="3"/>
    <n v="1"/>
    <x v="1"/>
    <n v="2468"/>
    <n v="9"/>
    <x v="2"/>
    <x v="0"/>
    <n v="1"/>
    <n v="0"/>
    <n v="5"/>
    <n v="0"/>
  </r>
  <r>
    <n v="1012"/>
    <x v="1"/>
    <x v="1"/>
    <x v="2"/>
    <x v="1"/>
    <s v="Life Sciences"/>
    <n v="1"/>
    <x v="0"/>
    <x v="1"/>
    <s v="Married"/>
    <s v="No"/>
    <x v="4"/>
    <n v="15"/>
    <s v="Bachelor's Degree"/>
    <n v="4"/>
    <n v="1"/>
    <x v="3"/>
    <n v="4774"/>
    <n v="8"/>
    <x v="2"/>
    <x v="5"/>
    <n v="6"/>
    <n v="7"/>
    <n v="3"/>
    <n v="0"/>
  </r>
  <r>
    <n v="1013"/>
    <x v="1"/>
    <x v="1"/>
    <x v="0"/>
    <x v="1"/>
    <s v="Technical Degree"/>
    <n v="1"/>
    <x v="0"/>
    <x v="2"/>
    <s v="Married"/>
    <s v="No"/>
    <x v="32"/>
    <n v="11"/>
    <s v="Bachelor's Degree"/>
    <n v="4"/>
    <n v="2"/>
    <x v="2"/>
    <n v="6323"/>
    <n v="10"/>
    <x v="3"/>
    <x v="1"/>
    <n v="9"/>
    <n v="9"/>
    <n v="4"/>
    <n v="0"/>
  </r>
  <r>
    <n v="1014"/>
    <x v="1"/>
    <x v="1"/>
    <x v="2"/>
    <x v="1"/>
    <s v="Life Sciences"/>
    <n v="1"/>
    <x v="0"/>
    <x v="2"/>
    <s v="Married"/>
    <s v="No"/>
    <x v="11"/>
    <n v="2"/>
    <s v="High School"/>
    <n v="4"/>
    <n v="1"/>
    <x v="1"/>
    <n v="3180"/>
    <n v="4"/>
    <x v="1"/>
    <x v="11"/>
    <n v="2"/>
    <n v="0"/>
    <n v="2"/>
    <n v="0"/>
  </r>
  <r>
    <n v="1015"/>
    <x v="1"/>
    <x v="1"/>
    <x v="0"/>
    <x v="1"/>
    <s v="Medical"/>
    <n v="1"/>
    <x v="0"/>
    <x v="3"/>
    <s v="Single"/>
    <s v="No"/>
    <x v="22"/>
    <n v="4"/>
    <s v="Bachelor's Degree"/>
    <n v="1"/>
    <n v="2"/>
    <x v="2"/>
    <n v="5042"/>
    <n v="10"/>
    <x v="0"/>
    <x v="7"/>
    <n v="2"/>
    <n v="3"/>
    <n v="8"/>
    <n v="0"/>
  </r>
  <r>
    <n v="1016"/>
    <x v="1"/>
    <x v="1"/>
    <x v="0"/>
    <x v="1"/>
    <s v="Medical"/>
    <n v="1"/>
    <x v="0"/>
    <x v="2"/>
    <s v="Single"/>
    <s v="No"/>
    <x v="19"/>
    <n v="9"/>
    <s v="Associates Degree"/>
    <n v="1"/>
    <n v="1"/>
    <x v="0"/>
    <n v="3673"/>
    <n v="12"/>
    <x v="1"/>
    <x v="12"/>
    <n v="9"/>
    <n v="5"/>
    <n v="8"/>
    <n v="0"/>
  </r>
  <r>
    <n v="1017"/>
    <x v="1"/>
    <x v="1"/>
    <x v="2"/>
    <x v="1"/>
    <s v="Technical Degree"/>
    <n v="1"/>
    <x v="0"/>
    <x v="1"/>
    <s v="Single"/>
    <s v="No"/>
    <x v="7"/>
    <n v="2"/>
    <s v="Master's Degree"/>
    <n v="4"/>
    <n v="1"/>
    <x v="3"/>
    <n v="4968"/>
    <n v="10"/>
    <x v="1"/>
    <x v="7"/>
    <n v="7"/>
    <n v="0"/>
    <n v="7"/>
    <n v="0"/>
  </r>
  <r>
    <n v="1018"/>
    <x v="1"/>
    <x v="1"/>
    <x v="0"/>
    <x v="0"/>
    <s v="Marketing"/>
    <n v="1"/>
    <x v="0"/>
    <x v="0"/>
    <s v="Married"/>
    <s v="No"/>
    <x v="20"/>
    <n v="1"/>
    <s v="Doctoral Degree"/>
    <n v="1"/>
    <n v="2"/>
    <x v="2"/>
    <n v="4768"/>
    <n v="11"/>
    <x v="2"/>
    <x v="6"/>
    <n v="0"/>
    <n v="0"/>
    <n v="0"/>
    <n v="0"/>
  </r>
  <r>
    <n v="1019"/>
    <x v="1"/>
    <x v="1"/>
    <x v="2"/>
    <x v="0"/>
    <s v="Marketing"/>
    <n v="1"/>
    <x v="0"/>
    <x v="0"/>
    <s v="Married"/>
    <s v="No"/>
    <x v="12"/>
    <n v="7"/>
    <s v="Master's Degree"/>
    <n v="1"/>
    <n v="3"/>
    <x v="3"/>
    <n v="9637"/>
    <n v="9"/>
    <x v="1"/>
    <x v="11"/>
    <n v="2"/>
    <n v="2"/>
    <n v="2"/>
    <n v="0"/>
  </r>
  <r>
    <n v="1020"/>
    <x v="1"/>
    <x v="0"/>
    <x v="2"/>
    <x v="2"/>
    <s v="Human Resources"/>
    <n v="1"/>
    <x v="0"/>
    <x v="8"/>
    <s v="Married"/>
    <s v="No"/>
    <x v="36"/>
    <n v="2"/>
    <s v="Bachelor's Degree"/>
    <n v="3"/>
    <n v="1"/>
    <x v="1"/>
    <n v="2187"/>
    <n v="6"/>
    <x v="1"/>
    <x v="4"/>
    <n v="0"/>
    <n v="1"/>
    <n v="2"/>
    <n v="0"/>
  </r>
  <r>
    <n v="1021"/>
    <x v="1"/>
    <x v="0"/>
    <x v="1"/>
    <x v="2"/>
    <s v="Life Sciences"/>
    <n v="1"/>
    <x v="0"/>
    <x v="5"/>
    <s v="Married"/>
    <s v="No"/>
    <x v="40"/>
    <n v="26"/>
    <s v="Master's Degree"/>
    <n v="4"/>
    <n v="5"/>
    <x v="2"/>
    <n v="19658"/>
    <n v="27"/>
    <x v="1"/>
    <x v="8"/>
    <n v="2"/>
    <n v="1"/>
    <n v="0"/>
    <n v="0"/>
  </r>
  <r>
    <n v="1022"/>
    <x v="1"/>
    <x v="0"/>
    <x v="2"/>
    <x v="2"/>
    <s v="Medical"/>
    <n v="1"/>
    <x v="0"/>
    <x v="8"/>
    <s v="Single"/>
    <s v="No"/>
    <x v="12"/>
    <n v="8"/>
    <s v="Associates Degree"/>
    <n v="4"/>
    <n v="1"/>
    <x v="1"/>
    <n v="2109"/>
    <n v="8"/>
    <x v="1"/>
    <x v="11"/>
    <n v="2"/>
    <n v="0"/>
    <n v="2"/>
    <n v="0"/>
  </r>
  <r>
    <n v="1023"/>
    <x v="1"/>
    <x v="0"/>
    <x v="2"/>
    <x v="1"/>
    <s v="Medical"/>
    <n v="1"/>
    <x v="0"/>
    <x v="2"/>
    <s v="Divorced"/>
    <s v="No"/>
    <x v="12"/>
    <n v="4"/>
    <s v="Bachelor's Degree"/>
    <n v="1"/>
    <n v="1"/>
    <x v="2"/>
    <n v="3978"/>
    <n v="4"/>
    <x v="2"/>
    <x v="4"/>
    <n v="2"/>
    <n v="2"/>
    <n v="2"/>
    <n v="0"/>
  </r>
  <r>
    <n v="1024"/>
    <x v="1"/>
    <x v="0"/>
    <x v="0"/>
    <x v="1"/>
    <s v="Life Sciences"/>
    <n v="1"/>
    <x v="0"/>
    <x v="4"/>
    <s v="Divorced"/>
    <s v="No"/>
    <x v="32"/>
    <n v="12"/>
    <s v="Bachelor's Degree"/>
    <n v="2"/>
    <n v="2"/>
    <x v="3"/>
    <n v="4448"/>
    <n v="15"/>
    <x v="1"/>
    <x v="5"/>
    <n v="4"/>
    <n v="7"/>
    <n v="7"/>
    <n v="0"/>
  </r>
  <r>
    <n v="1025"/>
    <x v="1"/>
    <x v="0"/>
    <x v="0"/>
    <x v="1"/>
    <s v="Life Sciences"/>
    <n v="1"/>
    <x v="0"/>
    <x v="4"/>
    <s v="Divorced"/>
    <s v="No"/>
    <x v="32"/>
    <n v="1"/>
    <s v="Bachelor's Degree"/>
    <n v="3"/>
    <n v="2"/>
    <x v="0"/>
    <n v="6513"/>
    <n v="12"/>
    <x v="1"/>
    <x v="8"/>
    <n v="3"/>
    <n v="0"/>
    <n v="3"/>
    <n v="0"/>
  </r>
  <r>
    <n v="1026"/>
    <x v="1"/>
    <x v="0"/>
    <x v="2"/>
    <x v="1"/>
    <s v="Technical Degree"/>
    <n v="1"/>
    <x v="0"/>
    <x v="1"/>
    <s v="Divorced"/>
    <s v="No"/>
    <x v="11"/>
    <n v="4"/>
    <s v="Bachelor's Degree"/>
    <n v="4"/>
    <n v="1"/>
    <x v="3"/>
    <n v="2109"/>
    <n v="1"/>
    <x v="1"/>
    <x v="6"/>
    <n v="0"/>
    <n v="0"/>
    <n v="0"/>
    <n v="0"/>
  </r>
  <r>
    <n v="1027"/>
    <x v="1"/>
    <x v="0"/>
    <x v="2"/>
    <x v="1"/>
    <s v="Life Sciences"/>
    <n v="1"/>
    <x v="0"/>
    <x v="1"/>
    <s v="Divorced"/>
    <s v="No"/>
    <x v="13"/>
    <n v="3"/>
    <s v="Bachelor's Degree"/>
    <n v="4"/>
    <n v="2"/>
    <x v="1"/>
    <n v="5433"/>
    <n v="11"/>
    <x v="1"/>
    <x v="19"/>
    <n v="8"/>
    <n v="7"/>
    <n v="9"/>
    <n v="0"/>
  </r>
  <r>
    <n v="1028"/>
    <x v="1"/>
    <x v="0"/>
    <x v="1"/>
    <x v="1"/>
    <s v="Other"/>
    <n v="1"/>
    <x v="0"/>
    <x v="3"/>
    <s v="Divorced"/>
    <s v="No"/>
    <x v="28"/>
    <n v="2"/>
    <s v="Associates Degree"/>
    <n v="4"/>
    <n v="2"/>
    <x v="0"/>
    <n v="5770"/>
    <n v="10"/>
    <x v="1"/>
    <x v="1"/>
    <n v="7"/>
    <n v="3"/>
    <n v="9"/>
    <n v="0"/>
  </r>
  <r>
    <n v="1029"/>
    <x v="1"/>
    <x v="0"/>
    <x v="1"/>
    <x v="1"/>
    <s v="Life Sciences"/>
    <n v="1"/>
    <x v="0"/>
    <x v="7"/>
    <s v="Divorced"/>
    <s v="No"/>
    <x v="24"/>
    <n v="17"/>
    <s v="Doctoral Degree"/>
    <n v="4"/>
    <n v="3"/>
    <x v="3"/>
    <n v="13269"/>
    <n v="19"/>
    <x v="1"/>
    <x v="13"/>
    <n v="11"/>
    <n v="1"/>
    <n v="11"/>
    <n v="0"/>
  </r>
  <r>
    <n v="1030"/>
    <x v="1"/>
    <x v="0"/>
    <x v="2"/>
    <x v="1"/>
    <s v="Medical"/>
    <n v="1"/>
    <x v="0"/>
    <x v="2"/>
    <s v="Married"/>
    <s v="No"/>
    <x v="3"/>
    <n v="4"/>
    <s v="Master's Degree"/>
    <n v="1"/>
    <n v="1"/>
    <x v="1"/>
    <n v="3838"/>
    <n v="8"/>
    <x v="1"/>
    <x v="8"/>
    <n v="4"/>
    <n v="0"/>
    <n v="2"/>
    <n v="0"/>
  </r>
  <r>
    <n v="1031"/>
    <x v="1"/>
    <x v="0"/>
    <x v="0"/>
    <x v="1"/>
    <s v="Medical"/>
    <n v="1"/>
    <x v="0"/>
    <x v="5"/>
    <s v="Married"/>
    <s v="No"/>
    <x v="23"/>
    <n v="6"/>
    <s v="Bachelor's Degree"/>
    <n v="1"/>
    <n v="5"/>
    <x v="2"/>
    <n v="19392"/>
    <n v="21"/>
    <x v="1"/>
    <x v="22"/>
    <n v="12"/>
    <n v="6"/>
    <n v="14"/>
    <n v="0"/>
  </r>
  <r>
    <n v="1032"/>
    <x v="1"/>
    <x v="0"/>
    <x v="1"/>
    <x v="1"/>
    <s v="Technical Degree"/>
    <n v="1"/>
    <x v="0"/>
    <x v="5"/>
    <s v="Married"/>
    <s v="No"/>
    <x v="31"/>
    <n v="3"/>
    <s v="Bachelor's Degree"/>
    <n v="1"/>
    <n v="3"/>
    <x v="2"/>
    <n v="13116"/>
    <n v="15"/>
    <x v="1"/>
    <x v="4"/>
    <n v="2"/>
    <n v="2"/>
    <n v="2"/>
    <n v="0"/>
  </r>
  <r>
    <n v="1033"/>
    <x v="1"/>
    <x v="0"/>
    <x v="2"/>
    <x v="1"/>
    <s v="Life Sciences"/>
    <n v="1"/>
    <x v="0"/>
    <x v="1"/>
    <s v="Married"/>
    <s v="No"/>
    <x v="13"/>
    <n v="19"/>
    <s v="Bachelor's Degree"/>
    <n v="2"/>
    <n v="1"/>
    <x v="0"/>
    <n v="2929"/>
    <n v="10"/>
    <x v="1"/>
    <x v="1"/>
    <n v="9"/>
    <n v="8"/>
    <n v="7"/>
    <n v="0"/>
  </r>
  <r>
    <n v="1034"/>
    <x v="1"/>
    <x v="0"/>
    <x v="2"/>
    <x v="1"/>
    <s v="Medical"/>
    <n v="1"/>
    <x v="0"/>
    <x v="1"/>
    <s v="Married"/>
    <s v="No"/>
    <x v="4"/>
    <n v="8"/>
    <s v="Bachelor's Degree"/>
    <n v="2"/>
    <n v="1"/>
    <x v="2"/>
    <n v="3517"/>
    <n v="5"/>
    <x v="1"/>
    <x v="11"/>
    <n v="2"/>
    <n v="0"/>
    <n v="2"/>
    <n v="0"/>
  </r>
  <r>
    <n v="1035"/>
    <x v="1"/>
    <x v="0"/>
    <x v="1"/>
    <x v="1"/>
    <s v="Other"/>
    <n v="1"/>
    <x v="0"/>
    <x v="2"/>
    <s v="Married"/>
    <s v="No"/>
    <x v="39"/>
    <n v="8"/>
    <s v="Master's Degree"/>
    <n v="3"/>
    <n v="1"/>
    <x v="3"/>
    <n v="2950"/>
    <n v="12"/>
    <x v="0"/>
    <x v="8"/>
    <n v="4"/>
    <n v="0"/>
    <n v="4"/>
    <n v="0"/>
  </r>
  <r>
    <n v="1036"/>
    <x v="1"/>
    <x v="0"/>
    <x v="0"/>
    <x v="1"/>
    <s v="Medical"/>
    <n v="1"/>
    <x v="0"/>
    <x v="7"/>
    <s v="Married"/>
    <s v="No"/>
    <x v="8"/>
    <n v="10"/>
    <s v="Bachelor's Degree"/>
    <n v="2"/>
    <n v="3"/>
    <x v="2"/>
    <n v="13206"/>
    <n v="20"/>
    <x v="1"/>
    <x v="29"/>
    <n v="16"/>
    <n v="1"/>
    <n v="11"/>
    <n v="0"/>
  </r>
  <r>
    <n v="1037"/>
    <x v="1"/>
    <x v="0"/>
    <x v="0"/>
    <x v="1"/>
    <s v="Medical"/>
    <n v="1"/>
    <x v="0"/>
    <x v="1"/>
    <s v="Married"/>
    <s v="No"/>
    <x v="2"/>
    <n v="10"/>
    <s v="Bachelor's Degree"/>
    <n v="2"/>
    <n v="1"/>
    <x v="1"/>
    <n v="3936"/>
    <n v="8"/>
    <x v="0"/>
    <x v="3"/>
    <n v="4"/>
    <n v="7"/>
    <n v="7"/>
    <n v="0"/>
  </r>
  <r>
    <n v="1038"/>
    <x v="1"/>
    <x v="0"/>
    <x v="2"/>
    <x v="1"/>
    <s v="Other"/>
    <n v="1"/>
    <x v="0"/>
    <x v="4"/>
    <s v="Married"/>
    <s v="No"/>
    <x v="11"/>
    <n v="8"/>
    <s v="High School"/>
    <n v="3"/>
    <n v="2"/>
    <x v="3"/>
    <n v="9715"/>
    <n v="9"/>
    <x v="1"/>
    <x v="5"/>
    <n v="7"/>
    <n v="0"/>
    <n v="7"/>
    <n v="0"/>
  </r>
  <r>
    <n v="1039"/>
    <x v="1"/>
    <x v="0"/>
    <x v="0"/>
    <x v="1"/>
    <s v="Life Sciences"/>
    <n v="1"/>
    <x v="0"/>
    <x v="1"/>
    <s v="Married"/>
    <s v="No"/>
    <x v="10"/>
    <n v="1"/>
    <s v="Master's Degree"/>
    <n v="3"/>
    <n v="1"/>
    <x v="0"/>
    <n v="2977"/>
    <n v="4"/>
    <x v="1"/>
    <x v="9"/>
    <n v="3"/>
    <n v="1"/>
    <n v="1"/>
    <n v="0"/>
  </r>
  <r>
    <n v="1040"/>
    <x v="1"/>
    <x v="0"/>
    <x v="0"/>
    <x v="1"/>
    <s v="Life Sciences"/>
    <n v="1"/>
    <x v="0"/>
    <x v="2"/>
    <s v="Married"/>
    <s v="No"/>
    <x v="32"/>
    <n v="2"/>
    <s v="Associates Degree"/>
    <n v="3"/>
    <n v="1"/>
    <x v="3"/>
    <n v="3377"/>
    <n v="7"/>
    <x v="2"/>
    <x v="9"/>
    <n v="3"/>
    <n v="0"/>
    <n v="2"/>
    <n v="0"/>
  </r>
  <r>
    <n v="1041"/>
    <x v="1"/>
    <x v="0"/>
    <x v="1"/>
    <x v="1"/>
    <s v="Life Sciences"/>
    <n v="1"/>
    <x v="0"/>
    <x v="2"/>
    <s v="Married"/>
    <s v="No"/>
    <x v="1"/>
    <n v="25"/>
    <s v="Master's Degree"/>
    <n v="3"/>
    <n v="1"/>
    <x v="3"/>
    <n v="3211"/>
    <n v="10"/>
    <x v="2"/>
    <x v="7"/>
    <n v="6"/>
    <n v="1"/>
    <n v="4"/>
    <n v="0"/>
  </r>
  <r>
    <n v="1042"/>
    <x v="1"/>
    <x v="0"/>
    <x v="1"/>
    <x v="1"/>
    <s v="Other"/>
    <n v="1"/>
    <x v="0"/>
    <x v="1"/>
    <s v="Married"/>
    <s v="No"/>
    <x v="26"/>
    <n v="15"/>
    <s v="Master's Degree"/>
    <n v="3"/>
    <n v="1"/>
    <x v="3"/>
    <n v="2367"/>
    <n v="10"/>
    <x v="2"/>
    <x v="3"/>
    <n v="2"/>
    <n v="7"/>
    <n v="6"/>
    <n v="0"/>
  </r>
  <r>
    <n v="1043"/>
    <x v="1"/>
    <x v="0"/>
    <x v="2"/>
    <x v="1"/>
    <s v="Life Sciences"/>
    <n v="1"/>
    <x v="0"/>
    <x v="2"/>
    <s v="Married"/>
    <s v="No"/>
    <x v="13"/>
    <n v="1"/>
    <s v="Bachelor's Degree"/>
    <n v="4"/>
    <n v="1"/>
    <x v="1"/>
    <n v="3294"/>
    <n v="7"/>
    <x v="2"/>
    <x v="8"/>
    <n v="4"/>
    <n v="0"/>
    <n v="2"/>
    <n v="0"/>
  </r>
  <r>
    <n v="1044"/>
    <x v="1"/>
    <x v="0"/>
    <x v="2"/>
    <x v="1"/>
    <s v="Life Sciences"/>
    <n v="1"/>
    <x v="0"/>
    <x v="1"/>
    <s v="Married"/>
    <s v="No"/>
    <x v="5"/>
    <n v="5"/>
    <s v="Associates Degree"/>
    <n v="4"/>
    <n v="2"/>
    <x v="1"/>
    <n v="5878"/>
    <n v="12"/>
    <x v="1"/>
    <x v="5"/>
    <n v="1"/>
    <n v="2"/>
    <n v="5"/>
    <n v="0"/>
  </r>
  <r>
    <n v="1045"/>
    <x v="1"/>
    <x v="0"/>
    <x v="0"/>
    <x v="1"/>
    <s v="Other"/>
    <n v="1"/>
    <x v="0"/>
    <x v="2"/>
    <s v="Married"/>
    <s v="No"/>
    <x v="8"/>
    <n v="6"/>
    <s v="Associates Degree"/>
    <n v="4"/>
    <n v="1"/>
    <x v="2"/>
    <n v="3702"/>
    <n v="5"/>
    <x v="1"/>
    <x v="8"/>
    <n v="4"/>
    <n v="0"/>
    <n v="4"/>
    <n v="0"/>
  </r>
  <r>
    <n v="1046"/>
    <x v="1"/>
    <x v="0"/>
    <x v="0"/>
    <x v="1"/>
    <s v="Medical"/>
    <n v="1"/>
    <x v="0"/>
    <x v="2"/>
    <s v="Married"/>
    <s v="No"/>
    <x v="8"/>
    <n v="4"/>
    <s v="Associates Degree"/>
    <n v="4"/>
    <n v="1"/>
    <x v="2"/>
    <n v="3306"/>
    <n v="7"/>
    <x v="2"/>
    <x v="2"/>
    <n v="0"/>
    <n v="0"/>
    <n v="0"/>
    <n v="0"/>
  </r>
  <r>
    <n v="1047"/>
    <x v="1"/>
    <x v="0"/>
    <x v="2"/>
    <x v="1"/>
    <s v="Medical"/>
    <n v="1"/>
    <x v="0"/>
    <x v="2"/>
    <s v="Married"/>
    <s v="No"/>
    <x v="11"/>
    <n v="9"/>
    <s v="Master's Degree"/>
    <n v="4"/>
    <n v="1"/>
    <x v="2"/>
    <n v="2974"/>
    <n v="9"/>
    <x v="1"/>
    <x v="8"/>
    <n v="3"/>
    <n v="1"/>
    <n v="2"/>
    <n v="0"/>
  </r>
  <r>
    <n v="1048"/>
    <x v="1"/>
    <x v="0"/>
    <x v="1"/>
    <x v="1"/>
    <s v="Medical"/>
    <n v="1"/>
    <x v="0"/>
    <x v="1"/>
    <s v="Married"/>
    <s v="No"/>
    <x v="33"/>
    <n v="7"/>
    <s v="Master's Degree"/>
    <n v="4"/>
    <n v="2"/>
    <x v="0"/>
    <n v="6854"/>
    <n v="14"/>
    <x v="2"/>
    <x v="5"/>
    <n v="1"/>
    <n v="1"/>
    <n v="7"/>
    <n v="0"/>
  </r>
  <r>
    <n v="1049"/>
    <x v="1"/>
    <x v="0"/>
    <x v="0"/>
    <x v="1"/>
    <s v="Life Sciences"/>
    <n v="1"/>
    <x v="0"/>
    <x v="3"/>
    <s v="Married"/>
    <s v="No"/>
    <x v="32"/>
    <n v="15"/>
    <s v="Bachelor's Degree"/>
    <n v="1"/>
    <n v="3"/>
    <x v="2"/>
    <n v="10435"/>
    <n v="18"/>
    <x v="1"/>
    <x v="29"/>
    <n v="15"/>
    <n v="14"/>
    <n v="12"/>
    <n v="0"/>
  </r>
  <r>
    <n v="1050"/>
    <x v="1"/>
    <x v="0"/>
    <x v="1"/>
    <x v="1"/>
    <s v="Other"/>
    <n v="1"/>
    <x v="0"/>
    <x v="7"/>
    <s v="Married"/>
    <s v="No"/>
    <x v="1"/>
    <n v="22"/>
    <s v="Master's Degree"/>
    <n v="1"/>
    <n v="4"/>
    <x v="1"/>
    <n v="16413"/>
    <n v="27"/>
    <x v="1"/>
    <x v="9"/>
    <n v="2"/>
    <n v="1"/>
    <n v="2"/>
    <n v="0"/>
  </r>
  <r>
    <n v="1051"/>
    <x v="1"/>
    <x v="0"/>
    <x v="1"/>
    <x v="1"/>
    <s v="Life Sciences"/>
    <n v="1"/>
    <x v="0"/>
    <x v="1"/>
    <s v="Married"/>
    <s v="No"/>
    <x v="33"/>
    <n v="9"/>
    <s v="Associates Degree"/>
    <n v="1"/>
    <n v="2"/>
    <x v="2"/>
    <n v="2897"/>
    <n v="9"/>
    <x v="2"/>
    <x v="9"/>
    <n v="3"/>
    <n v="2"/>
    <n v="3"/>
    <n v="0"/>
  </r>
  <r>
    <n v="1052"/>
    <x v="1"/>
    <x v="0"/>
    <x v="1"/>
    <x v="1"/>
    <s v="Medical"/>
    <n v="1"/>
    <x v="0"/>
    <x v="7"/>
    <s v="Married"/>
    <s v="No"/>
    <x v="40"/>
    <n v="2"/>
    <s v="Master's Degree"/>
    <n v="1"/>
    <n v="4"/>
    <x v="2"/>
    <n v="17169"/>
    <n v="26"/>
    <x v="3"/>
    <x v="23"/>
    <n v="17"/>
    <n v="5"/>
    <n v="6"/>
    <n v="0"/>
  </r>
  <r>
    <n v="1053"/>
    <x v="1"/>
    <x v="0"/>
    <x v="1"/>
    <x v="1"/>
    <s v="Life Sciences"/>
    <n v="1"/>
    <x v="0"/>
    <x v="3"/>
    <s v="Married"/>
    <s v="No"/>
    <x v="28"/>
    <n v="25"/>
    <s v="Associates Degree"/>
    <n v="2"/>
    <n v="2"/>
    <x v="0"/>
    <n v="5906"/>
    <n v="10"/>
    <x v="2"/>
    <x v="7"/>
    <n v="8"/>
    <n v="3"/>
    <n v="8"/>
    <n v="0"/>
  </r>
  <r>
    <n v="1054"/>
    <x v="1"/>
    <x v="0"/>
    <x v="0"/>
    <x v="1"/>
    <s v="Life Sciences"/>
    <n v="1"/>
    <x v="0"/>
    <x v="4"/>
    <s v="Married"/>
    <s v="No"/>
    <x v="9"/>
    <n v="5"/>
    <s v="Master's Degree"/>
    <n v="2"/>
    <n v="3"/>
    <x v="3"/>
    <n v="8008"/>
    <n v="9"/>
    <x v="1"/>
    <x v="11"/>
    <n v="2"/>
    <n v="0"/>
    <n v="2"/>
    <n v="0"/>
  </r>
  <r>
    <n v="1055"/>
    <x v="1"/>
    <x v="0"/>
    <x v="2"/>
    <x v="1"/>
    <s v="Other"/>
    <n v="1"/>
    <x v="0"/>
    <x v="1"/>
    <s v="Married"/>
    <s v="No"/>
    <x v="5"/>
    <n v="5"/>
    <s v="Master's Degree"/>
    <n v="2"/>
    <n v="1"/>
    <x v="0"/>
    <n v="3312"/>
    <n v="6"/>
    <x v="1"/>
    <x v="11"/>
    <n v="2"/>
    <n v="0"/>
    <n v="2"/>
    <n v="0"/>
  </r>
  <r>
    <n v="1056"/>
    <x v="1"/>
    <x v="0"/>
    <x v="0"/>
    <x v="1"/>
    <s v="Medical"/>
    <n v="1"/>
    <x v="0"/>
    <x v="1"/>
    <s v="Married"/>
    <s v="No"/>
    <x v="32"/>
    <n v="2"/>
    <s v="Master's Degree"/>
    <n v="3"/>
    <n v="1"/>
    <x v="2"/>
    <n v="2001"/>
    <n v="20"/>
    <x v="1"/>
    <x v="8"/>
    <n v="3"/>
    <n v="0"/>
    <n v="2"/>
    <n v="0"/>
  </r>
  <r>
    <n v="1057"/>
    <x v="1"/>
    <x v="0"/>
    <x v="2"/>
    <x v="1"/>
    <s v="Life Sciences"/>
    <n v="1"/>
    <x v="0"/>
    <x v="7"/>
    <s v="Single"/>
    <s v="No"/>
    <x v="12"/>
    <n v="8"/>
    <s v="Doctoral Degree"/>
    <n v="1"/>
    <n v="4"/>
    <x v="1"/>
    <n v="16422"/>
    <n v="9"/>
    <x v="3"/>
    <x v="11"/>
    <n v="2"/>
    <n v="1"/>
    <n v="0"/>
    <n v="0"/>
  </r>
  <r>
    <n v="1058"/>
    <x v="1"/>
    <x v="0"/>
    <x v="0"/>
    <x v="1"/>
    <s v="Medical"/>
    <n v="1"/>
    <x v="0"/>
    <x v="2"/>
    <s v="Single"/>
    <s v="No"/>
    <x v="2"/>
    <n v="11"/>
    <s v="Bachelor's Degree"/>
    <n v="1"/>
    <n v="1"/>
    <x v="2"/>
    <n v="3629"/>
    <n v="8"/>
    <x v="1"/>
    <x v="11"/>
    <n v="2"/>
    <n v="0"/>
    <n v="2"/>
    <n v="0"/>
  </r>
  <r>
    <n v="1059"/>
    <x v="1"/>
    <x v="0"/>
    <x v="2"/>
    <x v="1"/>
    <s v="Medical"/>
    <n v="1"/>
    <x v="0"/>
    <x v="3"/>
    <s v="Single"/>
    <s v="No"/>
    <x v="7"/>
    <n v="10"/>
    <s v="Bachelor's Degree"/>
    <n v="1"/>
    <n v="3"/>
    <x v="2"/>
    <n v="9667"/>
    <n v="9"/>
    <x v="1"/>
    <x v="5"/>
    <n v="7"/>
    <n v="0"/>
    <n v="2"/>
    <n v="0"/>
  </r>
  <r>
    <n v="1060"/>
    <x v="1"/>
    <x v="0"/>
    <x v="0"/>
    <x v="1"/>
    <s v="Life Sciences"/>
    <n v="1"/>
    <x v="0"/>
    <x v="3"/>
    <s v="Single"/>
    <s v="No"/>
    <x v="22"/>
    <n v="6"/>
    <s v="Bachelor's Degree"/>
    <n v="2"/>
    <n v="3"/>
    <x v="1"/>
    <n v="8376"/>
    <n v="9"/>
    <x v="1"/>
    <x v="4"/>
    <n v="0"/>
    <n v="2"/>
    <n v="2"/>
    <n v="0"/>
  </r>
  <r>
    <n v="1061"/>
    <x v="1"/>
    <x v="0"/>
    <x v="1"/>
    <x v="1"/>
    <s v="Life Sciences"/>
    <n v="1"/>
    <x v="0"/>
    <x v="2"/>
    <s v="Single"/>
    <s v="No"/>
    <x v="40"/>
    <n v="9"/>
    <s v="Master's Degree"/>
    <n v="2"/>
    <n v="1"/>
    <x v="2"/>
    <n v="2105"/>
    <n v="7"/>
    <x v="1"/>
    <x v="4"/>
    <n v="2"/>
    <n v="2"/>
    <n v="0"/>
    <n v="0"/>
  </r>
  <r>
    <n v="1062"/>
    <x v="1"/>
    <x v="0"/>
    <x v="2"/>
    <x v="1"/>
    <s v="Life Sciences"/>
    <n v="1"/>
    <x v="0"/>
    <x v="2"/>
    <s v="Single"/>
    <s v="No"/>
    <x v="5"/>
    <n v="29"/>
    <s v="Master's Degree"/>
    <n v="3"/>
    <n v="1"/>
    <x v="1"/>
    <n v="2837"/>
    <n v="6"/>
    <x v="1"/>
    <x v="0"/>
    <n v="2"/>
    <n v="4"/>
    <n v="1"/>
    <n v="0"/>
  </r>
  <r>
    <n v="1063"/>
    <x v="1"/>
    <x v="0"/>
    <x v="4"/>
    <x v="1"/>
    <s v="Medical"/>
    <n v="1"/>
    <x v="0"/>
    <x v="2"/>
    <s v="Single"/>
    <s v="No"/>
    <x v="30"/>
    <n v="4"/>
    <s v="High School"/>
    <n v="3"/>
    <n v="1"/>
    <x v="1"/>
    <n v="3295"/>
    <n v="3"/>
    <x v="0"/>
    <x v="11"/>
    <n v="2"/>
    <n v="1"/>
    <n v="2"/>
    <n v="0"/>
  </r>
  <r>
    <n v="1064"/>
    <x v="1"/>
    <x v="0"/>
    <x v="2"/>
    <x v="1"/>
    <s v="Medical"/>
    <n v="1"/>
    <x v="0"/>
    <x v="1"/>
    <s v="Single"/>
    <s v="No"/>
    <x v="4"/>
    <n v="8"/>
    <s v="Bachelor's Degree"/>
    <n v="3"/>
    <n v="1"/>
    <x v="0"/>
    <n v="3445"/>
    <n v="6"/>
    <x v="2"/>
    <x v="0"/>
    <n v="2"/>
    <n v="1"/>
    <n v="4"/>
    <n v="0"/>
  </r>
  <r>
    <n v="1065"/>
    <x v="1"/>
    <x v="0"/>
    <x v="2"/>
    <x v="1"/>
    <s v="Medical"/>
    <n v="1"/>
    <x v="0"/>
    <x v="1"/>
    <s v="Single"/>
    <s v="No"/>
    <x v="11"/>
    <n v="28"/>
    <s v="Master's Degree"/>
    <n v="4"/>
    <n v="1"/>
    <x v="3"/>
    <n v="3785"/>
    <n v="5"/>
    <x v="0"/>
    <x v="8"/>
    <n v="4"/>
    <n v="0"/>
    <n v="4"/>
    <n v="0"/>
  </r>
  <r>
    <n v="1066"/>
    <x v="1"/>
    <x v="0"/>
    <x v="0"/>
    <x v="1"/>
    <s v="Life Sciences"/>
    <n v="1"/>
    <x v="0"/>
    <x v="4"/>
    <s v="Single"/>
    <s v="No"/>
    <x v="10"/>
    <n v="16"/>
    <s v="Bachelor's Degree"/>
    <n v="4"/>
    <n v="3"/>
    <x v="1"/>
    <n v="8606"/>
    <n v="11"/>
    <x v="0"/>
    <x v="19"/>
    <n v="8"/>
    <n v="3"/>
    <n v="3"/>
    <n v="0"/>
  </r>
  <r>
    <n v="1067"/>
    <x v="1"/>
    <x v="0"/>
    <x v="1"/>
    <x v="1"/>
    <s v="Technical Degree"/>
    <n v="1"/>
    <x v="0"/>
    <x v="7"/>
    <s v="Single"/>
    <s v="No"/>
    <x v="28"/>
    <n v="28"/>
    <s v="Associates Degree"/>
    <n v="4"/>
    <n v="4"/>
    <x v="1"/>
    <n v="16704"/>
    <n v="21"/>
    <x v="1"/>
    <x v="17"/>
    <n v="6"/>
    <n v="8"/>
    <n v="6"/>
    <n v="0"/>
  </r>
  <r>
    <n v="1068"/>
    <x v="1"/>
    <x v="0"/>
    <x v="1"/>
    <x v="1"/>
    <s v="Medical"/>
    <n v="1"/>
    <x v="0"/>
    <x v="7"/>
    <s v="Single"/>
    <s v="No"/>
    <x v="33"/>
    <n v="1"/>
    <s v="Bachelor's Degree"/>
    <n v="4"/>
    <n v="4"/>
    <x v="0"/>
    <n v="17328"/>
    <n v="29"/>
    <x v="2"/>
    <x v="23"/>
    <n v="7"/>
    <n v="12"/>
    <n v="7"/>
    <n v="0"/>
  </r>
  <r>
    <n v="1069"/>
    <x v="1"/>
    <x v="0"/>
    <x v="1"/>
    <x v="0"/>
    <s v="Technical Degree"/>
    <n v="1"/>
    <x v="0"/>
    <x v="0"/>
    <s v="Divorced"/>
    <s v="No"/>
    <x v="21"/>
    <n v="3"/>
    <s v="Bachelor's Degree"/>
    <n v="1"/>
    <n v="4"/>
    <x v="3"/>
    <n v="13225"/>
    <n v="25"/>
    <x v="1"/>
    <x v="27"/>
    <n v="17"/>
    <n v="2"/>
    <n v="8"/>
    <n v="0"/>
  </r>
  <r>
    <n v="1070"/>
    <x v="1"/>
    <x v="0"/>
    <x v="1"/>
    <x v="0"/>
    <s v="Life Sciences"/>
    <n v="1"/>
    <x v="0"/>
    <x v="0"/>
    <s v="Divorced"/>
    <s v="No"/>
    <x v="26"/>
    <n v="16"/>
    <s v="Master's Degree"/>
    <n v="3"/>
    <n v="2"/>
    <x v="2"/>
    <n v="6439"/>
    <n v="18"/>
    <x v="1"/>
    <x v="3"/>
    <n v="7"/>
    <n v="7"/>
    <n v="7"/>
    <n v="0"/>
  </r>
  <r>
    <n v="1071"/>
    <x v="1"/>
    <x v="0"/>
    <x v="2"/>
    <x v="0"/>
    <s v="Marketing"/>
    <n v="1"/>
    <x v="0"/>
    <x v="0"/>
    <s v="Divorced"/>
    <s v="No"/>
    <x v="7"/>
    <n v="7"/>
    <s v="Master's Degree"/>
    <n v="4"/>
    <n v="2"/>
    <x v="3"/>
    <n v="4779"/>
    <n v="8"/>
    <x v="1"/>
    <x v="11"/>
    <n v="2"/>
    <n v="0"/>
    <n v="2"/>
    <n v="0"/>
  </r>
  <r>
    <n v="1072"/>
    <x v="1"/>
    <x v="0"/>
    <x v="1"/>
    <x v="0"/>
    <s v="Life Sciences"/>
    <n v="1"/>
    <x v="0"/>
    <x v="5"/>
    <s v="Divorced"/>
    <s v="No"/>
    <x v="40"/>
    <n v="2"/>
    <s v="Master's Degree"/>
    <n v="2"/>
    <n v="4"/>
    <x v="1"/>
    <n v="15972"/>
    <n v="29"/>
    <x v="1"/>
    <x v="11"/>
    <n v="2"/>
    <n v="1"/>
    <n v="2"/>
    <n v="0"/>
  </r>
  <r>
    <n v="1073"/>
    <x v="1"/>
    <x v="0"/>
    <x v="0"/>
    <x v="0"/>
    <s v="Life Sciences"/>
    <n v="1"/>
    <x v="0"/>
    <x v="0"/>
    <s v="Married"/>
    <s v="No"/>
    <x v="8"/>
    <n v="10"/>
    <s v="Associates Degree"/>
    <n v="1"/>
    <n v="2"/>
    <x v="0"/>
    <n v="5343"/>
    <n v="10"/>
    <x v="1"/>
    <x v="1"/>
    <n v="7"/>
    <n v="1"/>
    <n v="9"/>
    <n v="0"/>
  </r>
  <r>
    <n v="1074"/>
    <x v="1"/>
    <x v="0"/>
    <x v="0"/>
    <x v="0"/>
    <s v="Marketing"/>
    <n v="1"/>
    <x v="0"/>
    <x v="0"/>
    <s v="Married"/>
    <s v="No"/>
    <x v="9"/>
    <n v="11"/>
    <s v="Master's Degree"/>
    <n v="2"/>
    <n v="2"/>
    <x v="0"/>
    <n v="6652"/>
    <n v="8"/>
    <x v="2"/>
    <x v="0"/>
    <n v="3"/>
    <n v="0"/>
    <n v="0"/>
    <n v="0"/>
  </r>
  <r>
    <n v="1075"/>
    <x v="1"/>
    <x v="0"/>
    <x v="0"/>
    <x v="0"/>
    <s v="Marketing"/>
    <n v="1"/>
    <x v="0"/>
    <x v="0"/>
    <s v="Married"/>
    <s v="No"/>
    <x v="22"/>
    <n v="24"/>
    <s v="High School"/>
    <n v="2"/>
    <n v="4"/>
    <x v="0"/>
    <n v="12031"/>
    <n v="21"/>
    <x v="2"/>
    <x v="23"/>
    <n v="9"/>
    <n v="9"/>
    <n v="6"/>
    <n v="0"/>
  </r>
  <r>
    <n v="1076"/>
    <x v="1"/>
    <x v="0"/>
    <x v="0"/>
    <x v="0"/>
    <s v="Marketing"/>
    <n v="1"/>
    <x v="0"/>
    <x v="0"/>
    <s v="Married"/>
    <s v="No"/>
    <x v="32"/>
    <n v="2"/>
    <s v="Associates Degree"/>
    <n v="2"/>
    <n v="2"/>
    <x v="1"/>
    <n v="5677"/>
    <n v="15"/>
    <x v="1"/>
    <x v="19"/>
    <n v="8"/>
    <n v="5"/>
    <n v="10"/>
    <n v="0"/>
  </r>
  <r>
    <n v="1077"/>
    <x v="1"/>
    <x v="0"/>
    <x v="2"/>
    <x v="0"/>
    <s v="Medical"/>
    <n v="1"/>
    <x v="0"/>
    <x v="6"/>
    <s v="Married"/>
    <s v="No"/>
    <x v="14"/>
    <n v="3"/>
    <s v="Bachelor's Degree"/>
    <n v="2"/>
    <n v="1"/>
    <x v="1"/>
    <n v="2856"/>
    <n v="1"/>
    <x v="1"/>
    <x v="6"/>
    <n v="0"/>
    <n v="0"/>
    <n v="0"/>
    <n v="0"/>
  </r>
  <r>
    <n v="1078"/>
    <x v="1"/>
    <x v="0"/>
    <x v="1"/>
    <x v="0"/>
    <s v="Life Sciences"/>
    <n v="1"/>
    <x v="0"/>
    <x v="5"/>
    <s v="Married"/>
    <s v="No"/>
    <x v="21"/>
    <n v="3"/>
    <s v="Bachelor's Degree"/>
    <n v="3"/>
    <n v="4"/>
    <x v="1"/>
    <n v="16606"/>
    <n v="23"/>
    <x v="3"/>
    <x v="20"/>
    <n v="12"/>
    <n v="5"/>
    <n v="1"/>
    <n v="0"/>
  </r>
  <r>
    <n v="1079"/>
    <x v="1"/>
    <x v="0"/>
    <x v="3"/>
    <x v="0"/>
    <s v="Marketing"/>
    <n v="1"/>
    <x v="0"/>
    <x v="0"/>
    <s v="Married"/>
    <s v="No"/>
    <x v="29"/>
    <n v="11"/>
    <s v="Doctoral Degree"/>
    <n v="4"/>
    <n v="2"/>
    <x v="3"/>
    <n v="5380"/>
    <n v="6"/>
    <x v="1"/>
    <x v="2"/>
    <n v="0"/>
    <n v="0"/>
    <n v="0"/>
    <n v="0"/>
  </r>
  <r>
    <n v="1080"/>
    <x v="1"/>
    <x v="0"/>
    <x v="0"/>
    <x v="0"/>
    <s v="Life Sciences"/>
    <n v="1"/>
    <x v="0"/>
    <x v="0"/>
    <s v="Married"/>
    <s v="No"/>
    <x v="32"/>
    <n v="14"/>
    <s v="Associates Degree"/>
    <n v="4"/>
    <n v="2"/>
    <x v="3"/>
    <n v="4639"/>
    <n v="5"/>
    <x v="1"/>
    <x v="8"/>
    <n v="4"/>
    <n v="1"/>
    <n v="2"/>
    <n v="0"/>
  </r>
  <r>
    <n v="1081"/>
    <x v="1"/>
    <x v="0"/>
    <x v="2"/>
    <x v="0"/>
    <s v="Marketing"/>
    <n v="1"/>
    <x v="0"/>
    <x v="0"/>
    <s v="Married"/>
    <s v="No"/>
    <x v="12"/>
    <n v="29"/>
    <s v="Master's Degree"/>
    <n v="1"/>
    <n v="2"/>
    <x v="0"/>
    <n v="5468"/>
    <n v="13"/>
    <x v="1"/>
    <x v="12"/>
    <n v="7"/>
    <n v="5"/>
    <n v="7"/>
    <n v="0"/>
  </r>
  <r>
    <n v="1082"/>
    <x v="1"/>
    <x v="0"/>
    <x v="0"/>
    <x v="0"/>
    <s v="Medical"/>
    <n v="1"/>
    <x v="0"/>
    <x v="0"/>
    <s v="Married"/>
    <s v="No"/>
    <x v="9"/>
    <n v="3"/>
    <s v="Bachelor's Degree"/>
    <n v="1"/>
    <n v="3"/>
    <x v="0"/>
    <n v="7644"/>
    <n v="10"/>
    <x v="1"/>
    <x v="7"/>
    <n v="7"/>
    <n v="3"/>
    <n v="4"/>
    <n v="0"/>
  </r>
  <r>
    <n v="1083"/>
    <x v="1"/>
    <x v="0"/>
    <x v="2"/>
    <x v="0"/>
    <s v="Life Sciences"/>
    <n v="1"/>
    <x v="0"/>
    <x v="0"/>
    <s v="Married"/>
    <s v="No"/>
    <x v="12"/>
    <n v="5"/>
    <s v="Master's Degree"/>
    <n v="1"/>
    <n v="2"/>
    <x v="0"/>
    <n v="5476"/>
    <n v="10"/>
    <x v="1"/>
    <x v="1"/>
    <n v="0"/>
    <n v="0"/>
    <n v="2"/>
    <n v="0"/>
  </r>
  <r>
    <n v="1084"/>
    <x v="1"/>
    <x v="0"/>
    <x v="0"/>
    <x v="0"/>
    <s v="Marketing"/>
    <n v="1"/>
    <x v="0"/>
    <x v="0"/>
    <s v="Married"/>
    <s v="No"/>
    <x v="9"/>
    <n v="16"/>
    <s v="Master's Degree"/>
    <n v="3"/>
    <n v="2"/>
    <x v="3"/>
    <n v="5647"/>
    <n v="11"/>
    <x v="2"/>
    <x v="11"/>
    <n v="2"/>
    <n v="0"/>
    <n v="2"/>
    <n v="0"/>
  </r>
  <r>
    <n v="1085"/>
    <x v="1"/>
    <x v="0"/>
    <x v="2"/>
    <x v="0"/>
    <s v="Marketing"/>
    <n v="1"/>
    <x v="0"/>
    <x v="0"/>
    <s v="Married"/>
    <s v="No"/>
    <x v="5"/>
    <n v="1"/>
    <s v="Master's Degree"/>
    <n v="3"/>
    <n v="3"/>
    <x v="0"/>
    <n v="10422"/>
    <n v="14"/>
    <x v="1"/>
    <x v="13"/>
    <n v="10"/>
    <n v="5"/>
    <n v="7"/>
    <n v="0"/>
  </r>
  <r>
    <n v="1086"/>
    <x v="1"/>
    <x v="0"/>
    <x v="2"/>
    <x v="0"/>
    <s v="Medical"/>
    <n v="1"/>
    <x v="0"/>
    <x v="0"/>
    <s v="Single"/>
    <s v="No"/>
    <x v="4"/>
    <n v="2"/>
    <s v="Associates Degree"/>
    <n v="1"/>
    <n v="2"/>
    <x v="2"/>
    <n v="6500"/>
    <n v="9"/>
    <x v="2"/>
    <x v="3"/>
    <n v="7"/>
    <n v="0"/>
    <n v="7"/>
    <n v="0"/>
  </r>
  <r>
    <n v="1087"/>
    <x v="1"/>
    <x v="0"/>
    <x v="0"/>
    <x v="0"/>
    <s v="Life Sciences"/>
    <n v="1"/>
    <x v="0"/>
    <x v="0"/>
    <s v="Single"/>
    <s v="No"/>
    <x v="8"/>
    <n v="16"/>
    <s v="Bachelor's Degree"/>
    <n v="2"/>
    <n v="2"/>
    <x v="1"/>
    <n v="4198"/>
    <n v="8"/>
    <x v="3"/>
    <x v="11"/>
    <n v="2"/>
    <n v="1"/>
    <n v="2"/>
    <n v="0"/>
  </r>
  <r>
    <n v="1088"/>
    <x v="1"/>
    <x v="0"/>
    <x v="0"/>
    <x v="0"/>
    <s v="Life Sciences"/>
    <n v="1"/>
    <x v="0"/>
    <x v="0"/>
    <s v="Single"/>
    <s v="No"/>
    <x v="9"/>
    <n v="1"/>
    <s v="Master's Degree"/>
    <n v="2"/>
    <n v="2"/>
    <x v="2"/>
    <n v="6815"/>
    <n v="15"/>
    <x v="1"/>
    <x v="6"/>
    <n v="0"/>
    <n v="0"/>
    <n v="0"/>
    <n v="0"/>
  </r>
  <r>
    <n v="1089"/>
    <x v="1"/>
    <x v="0"/>
    <x v="4"/>
    <x v="0"/>
    <s v="Medical"/>
    <n v="1"/>
    <x v="0"/>
    <x v="6"/>
    <s v="Single"/>
    <s v="No"/>
    <x v="35"/>
    <n v="2"/>
    <s v="Bachelor's Degree"/>
    <n v="3"/>
    <n v="1"/>
    <x v="2"/>
    <n v="2783"/>
    <n v="2"/>
    <x v="1"/>
    <x v="4"/>
    <n v="2"/>
    <n v="2"/>
    <n v="2"/>
    <n v="0"/>
  </r>
  <r>
    <n v="1090"/>
    <x v="1"/>
    <x v="0"/>
    <x v="0"/>
    <x v="0"/>
    <s v="Life Sciences"/>
    <n v="1"/>
    <x v="0"/>
    <x v="6"/>
    <s v="Single"/>
    <s v="No"/>
    <x v="9"/>
    <n v="2"/>
    <s v="Master's Degree"/>
    <n v="3"/>
    <n v="2"/>
    <x v="0"/>
    <n v="4502"/>
    <n v="17"/>
    <x v="2"/>
    <x v="20"/>
    <n v="7"/>
    <n v="6"/>
    <n v="7"/>
    <n v="0"/>
  </r>
  <r>
    <n v="1091"/>
    <x v="1"/>
    <x v="0"/>
    <x v="2"/>
    <x v="0"/>
    <s v="Life Sciences"/>
    <n v="1"/>
    <x v="0"/>
    <x v="0"/>
    <s v="Single"/>
    <s v="No"/>
    <x v="13"/>
    <n v="3"/>
    <s v="Associates Degree"/>
    <n v="4"/>
    <n v="2"/>
    <x v="0"/>
    <n v="6029"/>
    <n v="6"/>
    <x v="1"/>
    <x v="4"/>
    <n v="2"/>
    <n v="2"/>
    <n v="2"/>
    <n v="0"/>
  </r>
  <r>
    <n v="1092"/>
    <x v="1"/>
    <x v="0"/>
    <x v="2"/>
    <x v="0"/>
    <s v="Other"/>
    <n v="1"/>
    <x v="0"/>
    <x v="6"/>
    <s v="Single"/>
    <s v="No"/>
    <x v="25"/>
    <n v="5"/>
    <s v="Bachelor's Degree"/>
    <n v="4"/>
    <n v="1"/>
    <x v="2"/>
    <n v="2966"/>
    <n v="5"/>
    <x v="1"/>
    <x v="9"/>
    <n v="2"/>
    <n v="0"/>
    <n v="0"/>
    <n v="0"/>
  </r>
  <r>
    <n v="1093"/>
    <x v="1"/>
    <x v="0"/>
    <x v="1"/>
    <x v="0"/>
    <s v="Life Sciences"/>
    <n v="1"/>
    <x v="0"/>
    <x v="0"/>
    <s v="Single"/>
    <s v="No"/>
    <x v="28"/>
    <n v="20"/>
    <s v="Bachelor's Degree"/>
    <n v="4"/>
    <n v="2"/>
    <x v="2"/>
    <n v="4850"/>
    <n v="8"/>
    <x v="1"/>
    <x v="8"/>
    <n v="3"/>
    <n v="0"/>
    <n v="1"/>
    <n v="0"/>
  </r>
  <r>
    <n v="1094"/>
    <x v="1"/>
    <x v="0"/>
    <x v="1"/>
    <x v="0"/>
    <s v="Marketing"/>
    <n v="1"/>
    <x v="0"/>
    <x v="0"/>
    <s v="Single"/>
    <s v="No"/>
    <x v="1"/>
    <n v="11"/>
    <s v="Master's Degree"/>
    <n v="4"/>
    <n v="2"/>
    <x v="0"/>
    <n v="4507"/>
    <n v="8"/>
    <x v="3"/>
    <x v="8"/>
    <n v="1"/>
    <n v="0"/>
    <n v="4"/>
    <n v="0"/>
  </r>
  <r>
    <n v="1095"/>
    <x v="1"/>
    <x v="2"/>
    <x v="2"/>
    <x v="2"/>
    <s v="Life Sciences"/>
    <n v="1"/>
    <x v="1"/>
    <x v="8"/>
    <s v="Divorced"/>
    <s v="No"/>
    <x v="14"/>
    <n v="1"/>
    <s v="Associates Degree"/>
    <n v="3"/>
    <n v="1"/>
    <x v="0"/>
    <n v="2706"/>
    <n v="3"/>
    <x v="1"/>
    <x v="11"/>
    <n v="2"/>
    <n v="2"/>
    <n v="2"/>
    <n v="0"/>
  </r>
  <r>
    <n v="1096"/>
    <x v="1"/>
    <x v="2"/>
    <x v="0"/>
    <x v="2"/>
    <s v="Human Resources"/>
    <n v="1"/>
    <x v="1"/>
    <x v="8"/>
    <s v="Divorced"/>
    <s v="No"/>
    <x v="8"/>
    <n v="2"/>
    <s v="Bachelor's Degree"/>
    <n v="1"/>
    <n v="1"/>
    <x v="1"/>
    <n v="2592"/>
    <n v="13"/>
    <x v="1"/>
    <x v="19"/>
    <n v="10"/>
    <n v="3"/>
    <n v="8"/>
    <n v="0"/>
  </r>
  <r>
    <n v="1097"/>
    <x v="1"/>
    <x v="2"/>
    <x v="0"/>
    <x v="2"/>
    <s v="Human Resources"/>
    <n v="1"/>
    <x v="1"/>
    <x v="8"/>
    <s v="Married"/>
    <s v="No"/>
    <x v="0"/>
    <n v="4"/>
    <s v="Bachelor's Degree"/>
    <n v="3"/>
    <n v="2"/>
    <x v="1"/>
    <n v="6430"/>
    <n v="10"/>
    <x v="1"/>
    <x v="11"/>
    <n v="2"/>
    <n v="1"/>
    <n v="2"/>
    <n v="0"/>
  </r>
  <r>
    <n v="1098"/>
    <x v="1"/>
    <x v="2"/>
    <x v="0"/>
    <x v="1"/>
    <s v="Medical"/>
    <n v="1"/>
    <x v="1"/>
    <x v="3"/>
    <s v="Divorced"/>
    <s v="No"/>
    <x v="10"/>
    <n v="2"/>
    <s v="Associates Degree"/>
    <n v="2"/>
    <n v="2"/>
    <x v="0"/>
    <n v="5762"/>
    <n v="15"/>
    <x v="1"/>
    <x v="5"/>
    <n v="7"/>
    <n v="1"/>
    <n v="7"/>
    <n v="0"/>
  </r>
  <r>
    <n v="1099"/>
    <x v="1"/>
    <x v="2"/>
    <x v="0"/>
    <x v="1"/>
    <s v="Medical"/>
    <n v="1"/>
    <x v="1"/>
    <x v="7"/>
    <s v="Divorced"/>
    <s v="No"/>
    <x v="32"/>
    <n v="8"/>
    <s v="High School"/>
    <n v="4"/>
    <n v="3"/>
    <x v="1"/>
    <n v="13757"/>
    <n v="16"/>
    <x v="1"/>
    <x v="7"/>
    <n v="8"/>
    <n v="4"/>
    <n v="8"/>
    <n v="0"/>
  </r>
  <r>
    <n v="1100"/>
    <x v="1"/>
    <x v="2"/>
    <x v="2"/>
    <x v="1"/>
    <s v="Technical Degree"/>
    <n v="1"/>
    <x v="1"/>
    <x v="1"/>
    <s v="Divorced"/>
    <s v="No"/>
    <x v="7"/>
    <n v="7"/>
    <s v="Bachelor's Degree"/>
    <n v="3"/>
    <n v="1"/>
    <x v="2"/>
    <n v="1274"/>
    <n v="1"/>
    <x v="2"/>
    <x v="6"/>
    <n v="0"/>
    <n v="0"/>
    <n v="0"/>
    <n v="0"/>
  </r>
  <r>
    <n v="1101"/>
    <x v="1"/>
    <x v="2"/>
    <x v="0"/>
    <x v="1"/>
    <s v="Other"/>
    <n v="1"/>
    <x v="1"/>
    <x v="2"/>
    <s v="Divorced"/>
    <s v="No"/>
    <x v="32"/>
    <n v="9"/>
    <s v="Master's Degree"/>
    <n v="3"/>
    <n v="2"/>
    <x v="2"/>
    <n v="3975"/>
    <n v="11"/>
    <x v="3"/>
    <x v="3"/>
    <n v="7"/>
    <n v="0"/>
    <n v="7"/>
    <n v="0"/>
  </r>
  <r>
    <n v="1102"/>
    <x v="1"/>
    <x v="2"/>
    <x v="2"/>
    <x v="1"/>
    <s v="Technical Degree"/>
    <n v="1"/>
    <x v="1"/>
    <x v="1"/>
    <s v="Divorced"/>
    <s v="No"/>
    <x v="3"/>
    <n v="4"/>
    <s v="Bachelor's Degree"/>
    <n v="4"/>
    <n v="2"/>
    <x v="1"/>
    <n v="3055"/>
    <n v="11"/>
    <x v="2"/>
    <x v="7"/>
    <n v="8"/>
    <n v="1"/>
    <n v="7"/>
    <n v="0"/>
  </r>
  <r>
    <n v="1103"/>
    <x v="1"/>
    <x v="2"/>
    <x v="2"/>
    <x v="1"/>
    <s v="Medical"/>
    <n v="1"/>
    <x v="1"/>
    <x v="2"/>
    <s v="Divorced"/>
    <s v="No"/>
    <x v="3"/>
    <n v="1"/>
    <s v="Associates Degree"/>
    <n v="2"/>
    <n v="1"/>
    <x v="2"/>
    <n v="2008"/>
    <n v="1"/>
    <x v="2"/>
    <x v="6"/>
    <n v="1"/>
    <n v="0"/>
    <n v="0"/>
    <n v="0"/>
  </r>
  <r>
    <n v="1104"/>
    <x v="1"/>
    <x v="2"/>
    <x v="1"/>
    <x v="1"/>
    <s v="Technical Degree"/>
    <n v="1"/>
    <x v="1"/>
    <x v="1"/>
    <s v="Married"/>
    <s v="No"/>
    <x v="40"/>
    <n v="14"/>
    <s v="Master's Degree"/>
    <n v="3"/>
    <n v="2"/>
    <x v="1"/>
    <n v="5467"/>
    <n v="16"/>
    <x v="3"/>
    <x v="3"/>
    <n v="7"/>
    <n v="1"/>
    <n v="7"/>
    <n v="0"/>
  </r>
  <r>
    <n v="1105"/>
    <x v="1"/>
    <x v="2"/>
    <x v="2"/>
    <x v="1"/>
    <s v="Technical Degree"/>
    <n v="1"/>
    <x v="1"/>
    <x v="1"/>
    <s v="Married"/>
    <s v="No"/>
    <x v="5"/>
    <n v="1"/>
    <s v="Master's Degree"/>
    <n v="4"/>
    <n v="2"/>
    <x v="3"/>
    <n v="4087"/>
    <n v="9"/>
    <x v="2"/>
    <x v="0"/>
    <n v="5"/>
    <n v="1"/>
    <n v="2"/>
    <n v="0"/>
  </r>
  <r>
    <n v="1106"/>
    <x v="1"/>
    <x v="2"/>
    <x v="0"/>
    <x v="1"/>
    <s v="Life Sciences"/>
    <n v="1"/>
    <x v="1"/>
    <x v="1"/>
    <s v="Single"/>
    <s v="No"/>
    <x v="23"/>
    <n v="9"/>
    <s v="Bachelor's Degree"/>
    <n v="1"/>
    <n v="1"/>
    <x v="2"/>
    <n v="2438"/>
    <n v="7"/>
    <x v="2"/>
    <x v="11"/>
    <n v="2"/>
    <n v="1"/>
    <n v="2"/>
    <n v="0"/>
  </r>
  <r>
    <n v="1107"/>
    <x v="1"/>
    <x v="2"/>
    <x v="2"/>
    <x v="1"/>
    <s v="Medical"/>
    <n v="1"/>
    <x v="1"/>
    <x v="3"/>
    <s v="Single"/>
    <s v="No"/>
    <x v="12"/>
    <n v="5"/>
    <s v="Bachelor's Degree"/>
    <n v="2"/>
    <n v="2"/>
    <x v="3"/>
    <n v="9936"/>
    <n v="10"/>
    <x v="1"/>
    <x v="7"/>
    <n v="4"/>
    <n v="1"/>
    <n v="7"/>
    <n v="0"/>
  </r>
  <r>
    <n v="1108"/>
    <x v="1"/>
    <x v="2"/>
    <x v="2"/>
    <x v="1"/>
    <s v="Technical Degree"/>
    <n v="1"/>
    <x v="1"/>
    <x v="1"/>
    <s v="Single"/>
    <s v="No"/>
    <x v="5"/>
    <n v="5"/>
    <s v="Master's Degree"/>
    <n v="2"/>
    <n v="1"/>
    <x v="1"/>
    <n v="2718"/>
    <n v="12"/>
    <x v="1"/>
    <x v="5"/>
    <n v="7"/>
    <n v="0"/>
    <n v="7"/>
    <n v="0"/>
  </r>
  <r>
    <n v="1109"/>
    <x v="1"/>
    <x v="2"/>
    <x v="0"/>
    <x v="1"/>
    <s v="Life Sciences"/>
    <n v="1"/>
    <x v="1"/>
    <x v="2"/>
    <s v="Single"/>
    <s v="No"/>
    <x v="20"/>
    <n v="5"/>
    <s v="Bachelor's Degree"/>
    <n v="3"/>
    <n v="1"/>
    <x v="2"/>
    <n v="3162"/>
    <n v="7"/>
    <x v="1"/>
    <x v="8"/>
    <n v="2"/>
    <n v="0"/>
    <n v="3"/>
    <n v="0"/>
  </r>
  <r>
    <n v="1110"/>
    <x v="1"/>
    <x v="2"/>
    <x v="2"/>
    <x v="1"/>
    <s v="Medical"/>
    <n v="1"/>
    <x v="1"/>
    <x v="1"/>
    <s v="Single"/>
    <s v="No"/>
    <x v="14"/>
    <n v="16"/>
    <s v="Bachelor's Degree"/>
    <n v="3"/>
    <n v="1"/>
    <x v="2"/>
    <n v="2144"/>
    <n v="5"/>
    <x v="2"/>
    <x v="8"/>
    <n v="3"/>
    <n v="1"/>
    <n v="4"/>
    <n v="0"/>
  </r>
  <r>
    <n v="1111"/>
    <x v="1"/>
    <x v="2"/>
    <x v="0"/>
    <x v="1"/>
    <s v="Technical Degree"/>
    <n v="1"/>
    <x v="1"/>
    <x v="2"/>
    <s v="Single"/>
    <s v="No"/>
    <x v="2"/>
    <n v="5"/>
    <s v="Associates Degree"/>
    <n v="3"/>
    <n v="1"/>
    <x v="2"/>
    <n v="3500"/>
    <n v="7"/>
    <x v="0"/>
    <x v="0"/>
    <n v="5"/>
    <n v="1"/>
    <n v="3"/>
    <n v="0"/>
  </r>
  <r>
    <n v="1112"/>
    <x v="1"/>
    <x v="2"/>
    <x v="0"/>
    <x v="1"/>
    <s v="Life Sciences"/>
    <n v="1"/>
    <x v="1"/>
    <x v="1"/>
    <s v="Single"/>
    <s v="No"/>
    <x v="19"/>
    <n v="23"/>
    <s v="Associates Degree"/>
    <n v="4"/>
    <n v="2"/>
    <x v="2"/>
    <n v="4332"/>
    <n v="20"/>
    <x v="1"/>
    <x v="23"/>
    <n v="9"/>
    <n v="3"/>
    <n v="7"/>
    <n v="0"/>
  </r>
  <r>
    <n v="1113"/>
    <x v="1"/>
    <x v="2"/>
    <x v="0"/>
    <x v="1"/>
    <s v="Life Sciences"/>
    <n v="1"/>
    <x v="1"/>
    <x v="5"/>
    <s v="Single"/>
    <s v="No"/>
    <x v="22"/>
    <n v="9"/>
    <s v="Bachelor's Degree"/>
    <n v="4"/>
    <n v="5"/>
    <x v="0"/>
    <n v="19431"/>
    <n v="21"/>
    <x v="2"/>
    <x v="0"/>
    <n v="0"/>
    <n v="1"/>
    <n v="3"/>
    <n v="0"/>
  </r>
  <r>
    <n v="1114"/>
    <x v="1"/>
    <x v="2"/>
    <x v="1"/>
    <x v="0"/>
    <s v="Life Sciences"/>
    <n v="1"/>
    <x v="1"/>
    <x v="6"/>
    <s v="Divorced"/>
    <s v="No"/>
    <x v="39"/>
    <n v="29"/>
    <s v="Master's Degree"/>
    <n v="1"/>
    <n v="1"/>
    <x v="0"/>
    <n v="3482"/>
    <n v="16"/>
    <x v="2"/>
    <x v="7"/>
    <n v="8"/>
    <n v="0"/>
    <n v="0"/>
    <n v="0"/>
  </r>
  <r>
    <n v="1115"/>
    <x v="1"/>
    <x v="2"/>
    <x v="1"/>
    <x v="0"/>
    <s v="Marketing"/>
    <n v="1"/>
    <x v="1"/>
    <x v="0"/>
    <s v="Married"/>
    <s v="No"/>
    <x v="28"/>
    <n v="26"/>
    <s v="Bachelor's Degree"/>
    <n v="1"/>
    <n v="2"/>
    <x v="3"/>
    <n v="4385"/>
    <n v="10"/>
    <x v="1"/>
    <x v="1"/>
    <n v="7"/>
    <n v="4"/>
    <n v="5"/>
    <n v="0"/>
  </r>
  <r>
    <n v="1116"/>
    <x v="1"/>
    <x v="2"/>
    <x v="1"/>
    <x v="0"/>
    <s v="Marketing"/>
    <n v="1"/>
    <x v="1"/>
    <x v="0"/>
    <s v="Married"/>
    <s v="No"/>
    <x v="40"/>
    <n v="2"/>
    <s v="Master's Degree"/>
    <n v="3"/>
    <n v="2"/>
    <x v="1"/>
    <n v="4978"/>
    <n v="4"/>
    <x v="0"/>
    <x v="6"/>
    <n v="0"/>
    <n v="0"/>
    <n v="0"/>
    <n v="0"/>
  </r>
  <r>
    <n v="1117"/>
    <x v="1"/>
    <x v="2"/>
    <x v="1"/>
    <x v="0"/>
    <s v="Life Sciences"/>
    <n v="1"/>
    <x v="1"/>
    <x v="0"/>
    <s v="Single"/>
    <s v="No"/>
    <x v="21"/>
    <n v="26"/>
    <s v="Associates Degree"/>
    <n v="2"/>
    <n v="2"/>
    <x v="1"/>
    <n v="7991"/>
    <n v="6"/>
    <x v="1"/>
    <x v="4"/>
    <n v="2"/>
    <n v="2"/>
    <n v="2"/>
    <n v="0"/>
  </r>
  <r>
    <n v="1118"/>
    <x v="1"/>
    <x v="1"/>
    <x v="0"/>
    <x v="2"/>
    <s v="Human Resources"/>
    <n v="1"/>
    <x v="1"/>
    <x v="8"/>
    <s v="Married"/>
    <s v="No"/>
    <x v="8"/>
    <n v="10"/>
    <s v="Master's Degree"/>
    <n v="3"/>
    <n v="2"/>
    <x v="2"/>
    <n v="6077"/>
    <n v="10"/>
    <x v="1"/>
    <x v="0"/>
    <n v="3"/>
    <n v="1"/>
    <n v="2"/>
    <n v="0"/>
  </r>
  <r>
    <n v="1119"/>
    <x v="1"/>
    <x v="1"/>
    <x v="4"/>
    <x v="2"/>
    <s v="Medical"/>
    <n v="1"/>
    <x v="1"/>
    <x v="8"/>
    <s v="Married"/>
    <s v="No"/>
    <x v="17"/>
    <n v="10"/>
    <s v="Bachelor's Degree"/>
    <n v="1"/>
    <n v="1"/>
    <x v="0"/>
    <n v="2145"/>
    <n v="3"/>
    <x v="1"/>
    <x v="4"/>
    <n v="2"/>
    <n v="2"/>
    <n v="1"/>
    <n v="0"/>
  </r>
  <r>
    <n v="1120"/>
    <x v="1"/>
    <x v="1"/>
    <x v="2"/>
    <x v="1"/>
    <s v="Life Sciences"/>
    <n v="1"/>
    <x v="1"/>
    <x v="4"/>
    <s v="Divorced"/>
    <s v="No"/>
    <x v="11"/>
    <n v="2"/>
    <s v="High School"/>
    <n v="1"/>
    <n v="2"/>
    <x v="0"/>
    <n v="8853"/>
    <n v="6"/>
    <x v="3"/>
    <x v="0"/>
    <n v="4"/>
    <n v="1"/>
    <n v="3"/>
    <n v="0"/>
  </r>
  <r>
    <n v="1121"/>
    <x v="1"/>
    <x v="1"/>
    <x v="2"/>
    <x v="1"/>
    <s v="Life Sciences"/>
    <n v="1"/>
    <x v="1"/>
    <x v="3"/>
    <s v="Divorced"/>
    <s v="No"/>
    <x v="13"/>
    <n v="10"/>
    <s v="Master's Degree"/>
    <n v="3"/>
    <n v="2"/>
    <x v="0"/>
    <n v="4724"/>
    <n v="9"/>
    <x v="1"/>
    <x v="7"/>
    <n v="7"/>
    <n v="7"/>
    <n v="2"/>
    <n v="0"/>
  </r>
  <r>
    <n v="1122"/>
    <x v="1"/>
    <x v="1"/>
    <x v="2"/>
    <x v="1"/>
    <s v="Medical"/>
    <n v="1"/>
    <x v="1"/>
    <x v="7"/>
    <s v="Divorced"/>
    <s v="No"/>
    <x v="13"/>
    <n v="15"/>
    <s v="Bachelor's Degree"/>
    <n v="2"/>
    <n v="4"/>
    <x v="3"/>
    <n v="17007"/>
    <n v="16"/>
    <x v="2"/>
    <x v="13"/>
    <n v="8"/>
    <n v="6"/>
    <n v="9"/>
    <n v="0"/>
  </r>
  <r>
    <n v="1123"/>
    <x v="1"/>
    <x v="1"/>
    <x v="2"/>
    <x v="1"/>
    <s v="Other"/>
    <n v="1"/>
    <x v="1"/>
    <x v="1"/>
    <s v="Divorced"/>
    <s v="No"/>
    <x v="13"/>
    <n v="1"/>
    <s v="Master's Degree"/>
    <n v="4"/>
    <n v="1"/>
    <x v="3"/>
    <n v="2996"/>
    <n v="10"/>
    <x v="1"/>
    <x v="9"/>
    <n v="3"/>
    <n v="1"/>
    <n v="3"/>
    <n v="0"/>
  </r>
  <r>
    <n v="1124"/>
    <x v="1"/>
    <x v="1"/>
    <x v="2"/>
    <x v="1"/>
    <s v="Life Sciences"/>
    <n v="1"/>
    <x v="1"/>
    <x v="3"/>
    <s v="Divorced"/>
    <s v="No"/>
    <x v="36"/>
    <n v="2"/>
    <s v="High School"/>
    <n v="4"/>
    <n v="2"/>
    <x v="2"/>
    <n v="5206"/>
    <n v="7"/>
    <x v="1"/>
    <x v="5"/>
    <n v="7"/>
    <n v="0"/>
    <n v="7"/>
    <n v="0"/>
  </r>
  <r>
    <n v="1125"/>
    <x v="1"/>
    <x v="1"/>
    <x v="1"/>
    <x v="1"/>
    <s v="Life Sciences"/>
    <n v="1"/>
    <x v="1"/>
    <x v="7"/>
    <s v="Married"/>
    <s v="No"/>
    <x v="1"/>
    <n v="2"/>
    <s v="High School"/>
    <n v="2"/>
    <n v="5"/>
    <x v="0"/>
    <n v="19161"/>
    <n v="28"/>
    <x v="1"/>
    <x v="8"/>
    <n v="4"/>
    <n v="4"/>
    <n v="3"/>
    <n v="0"/>
  </r>
  <r>
    <n v="1126"/>
    <x v="1"/>
    <x v="1"/>
    <x v="2"/>
    <x v="1"/>
    <s v="Medical"/>
    <n v="1"/>
    <x v="1"/>
    <x v="2"/>
    <s v="Married"/>
    <s v="No"/>
    <x v="11"/>
    <n v="20"/>
    <s v="High School"/>
    <n v="4"/>
    <n v="1"/>
    <x v="0"/>
    <n v="3812"/>
    <n v="11"/>
    <x v="3"/>
    <x v="19"/>
    <n v="8"/>
    <n v="3"/>
    <n v="10"/>
    <n v="0"/>
  </r>
  <r>
    <n v="1127"/>
    <x v="1"/>
    <x v="1"/>
    <x v="0"/>
    <x v="1"/>
    <s v="Life Sciences"/>
    <n v="1"/>
    <x v="1"/>
    <x v="3"/>
    <s v="Married"/>
    <s v="No"/>
    <x v="8"/>
    <n v="6"/>
    <s v="Master's Degree"/>
    <n v="1"/>
    <n v="2"/>
    <x v="2"/>
    <n v="5321"/>
    <n v="10"/>
    <x v="1"/>
    <x v="3"/>
    <n v="3"/>
    <n v="7"/>
    <n v="7"/>
    <n v="0"/>
  </r>
  <r>
    <n v="1128"/>
    <x v="1"/>
    <x v="1"/>
    <x v="2"/>
    <x v="1"/>
    <s v="Life Sciences"/>
    <n v="1"/>
    <x v="1"/>
    <x v="1"/>
    <s v="Married"/>
    <s v="No"/>
    <x v="5"/>
    <n v="10"/>
    <s v="Bachelor's Degree"/>
    <n v="1"/>
    <n v="1"/>
    <x v="2"/>
    <n v="3433"/>
    <n v="10"/>
    <x v="2"/>
    <x v="8"/>
    <n v="2"/>
    <n v="1"/>
    <n v="3"/>
    <n v="0"/>
  </r>
  <r>
    <n v="1129"/>
    <x v="1"/>
    <x v="1"/>
    <x v="2"/>
    <x v="1"/>
    <s v="Other"/>
    <n v="1"/>
    <x v="1"/>
    <x v="2"/>
    <s v="Married"/>
    <s v="No"/>
    <x v="25"/>
    <n v="6"/>
    <s v="Bachelor's Degree"/>
    <n v="3"/>
    <n v="1"/>
    <x v="0"/>
    <n v="2544"/>
    <n v="8"/>
    <x v="1"/>
    <x v="5"/>
    <n v="7"/>
    <n v="7"/>
    <n v="7"/>
    <n v="0"/>
  </r>
  <r>
    <n v="1130"/>
    <x v="1"/>
    <x v="1"/>
    <x v="0"/>
    <x v="1"/>
    <s v="Medical"/>
    <n v="1"/>
    <x v="1"/>
    <x v="2"/>
    <s v="Married"/>
    <s v="No"/>
    <x v="9"/>
    <n v="23"/>
    <s v="Associates Degree"/>
    <n v="3"/>
    <n v="2"/>
    <x v="0"/>
    <n v="2571"/>
    <n v="17"/>
    <x v="1"/>
    <x v="8"/>
    <n v="2"/>
    <n v="0"/>
    <n v="3"/>
    <n v="0"/>
  </r>
  <r>
    <n v="1131"/>
    <x v="1"/>
    <x v="1"/>
    <x v="2"/>
    <x v="1"/>
    <s v="Technical Degree"/>
    <n v="1"/>
    <x v="1"/>
    <x v="4"/>
    <s v="Married"/>
    <s v="No"/>
    <x v="13"/>
    <n v="10"/>
    <s v="Master's Degree"/>
    <n v="4"/>
    <n v="2"/>
    <x v="2"/>
    <n v="5063"/>
    <n v="8"/>
    <x v="2"/>
    <x v="3"/>
    <n v="2"/>
    <n v="7"/>
    <n v="7"/>
    <n v="0"/>
  </r>
  <r>
    <n v="1132"/>
    <x v="1"/>
    <x v="1"/>
    <x v="0"/>
    <x v="1"/>
    <s v="Life Sciences"/>
    <n v="1"/>
    <x v="1"/>
    <x v="1"/>
    <s v="Married"/>
    <s v="No"/>
    <x v="8"/>
    <n v="1"/>
    <s v="Bachelor's Degree"/>
    <n v="4"/>
    <n v="2"/>
    <x v="0"/>
    <n v="4735"/>
    <n v="19"/>
    <x v="3"/>
    <x v="20"/>
    <n v="11"/>
    <n v="2"/>
    <n v="9"/>
    <n v="0"/>
  </r>
  <r>
    <n v="1133"/>
    <x v="1"/>
    <x v="1"/>
    <x v="1"/>
    <x v="1"/>
    <s v="Medical"/>
    <n v="1"/>
    <x v="1"/>
    <x v="4"/>
    <s v="Single"/>
    <s v="No"/>
    <x v="28"/>
    <n v="1"/>
    <s v="Master's Degree"/>
    <n v="2"/>
    <n v="2"/>
    <x v="2"/>
    <n v="5399"/>
    <n v="12"/>
    <x v="1"/>
    <x v="9"/>
    <n v="2"/>
    <n v="0"/>
    <n v="3"/>
    <n v="0"/>
  </r>
  <r>
    <n v="1134"/>
    <x v="1"/>
    <x v="1"/>
    <x v="0"/>
    <x v="1"/>
    <s v="Life Sciences"/>
    <n v="1"/>
    <x v="1"/>
    <x v="3"/>
    <s v="Single"/>
    <s v="No"/>
    <x v="10"/>
    <n v="18"/>
    <s v="Associates Degree"/>
    <n v="3"/>
    <n v="3"/>
    <x v="0"/>
    <n v="9362"/>
    <n v="10"/>
    <x v="1"/>
    <x v="4"/>
    <n v="2"/>
    <n v="2"/>
    <n v="2"/>
    <n v="0"/>
  </r>
  <r>
    <n v="1135"/>
    <x v="1"/>
    <x v="1"/>
    <x v="2"/>
    <x v="1"/>
    <s v="Medical"/>
    <n v="1"/>
    <x v="1"/>
    <x v="1"/>
    <s v="Single"/>
    <s v="No"/>
    <x v="4"/>
    <n v="2"/>
    <s v="Bachelor's Degree"/>
    <n v="4"/>
    <n v="1"/>
    <x v="0"/>
    <n v="2580"/>
    <n v="6"/>
    <x v="2"/>
    <x v="9"/>
    <n v="2"/>
    <n v="1"/>
    <n v="2"/>
    <n v="0"/>
  </r>
  <r>
    <n v="1136"/>
    <x v="1"/>
    <x v="1"/>
    <x v="0"/>
    <x v="0"/>
    <s v="Life Sciences"/>
    <n v="1"/>
    <x v="1"/>
    <x v="0"/>
    <s v="Divorced"/>
    <s v="No"/>
    <x v="22"/>
    <n v="20"/>
    <s v="Bachelor's Degree"/>
    <n v="3"/>
    <n v="2"/>
    <x v="0"/>
    <n v="4127"/>
    <n v="7"/>
    <x v="1"/>
    <x v="4"/>
    <n v="1"/>
    <n v="2"/>
    <n v="2"/>
    <n v="0"/>
  </r>
  <r>
    <n v="1137"/>
    <x v="1"/>
    <x v="1"/>
    <x v="0"/>
    <x v="0"/>
    <s v="Medical"/>
    <n v="1"/>
    <x v="1"/>
    <x v="0"/>
    <s v="Divorced"/>
    <s v="No"/>
    <x v="2"/>
    <n v="1"/>
    <s v="Master's Degree"/>
    <n v="3"/>
    <n v="2"/>
    <x v="0"/>
    <n v="9525"/>
    <n v="6"/>
    <x v="2"/>
    <x v="0"/>
    <n v="3"/>
    <n v="1"/>
    <n v="3"/>
    <n v="0"/>
  </r>
  <r>
    <n v="1138"/>
    <x v="1"/>
    <x v="1"/>
    <x v="1"/>
    <x v="0"/>
    <s v="Medical"/>
    <n v="1"/>
    <x v="1"/>
    <x v="0"/>
    <s v="Married"/>
    <s v="No"/>
    <x v="1"/>
    <n v="2"/>
    <s v="Bachelor's Degree"/>
    <n v="4"/>
    <n v="2"/>
    <x v="1"/>
    <n v="5390"/>
    <n v="17"/>
    <x v="2"/>
    <x v="7"/>
    <n v="6"/>
    <n v="0"/>
    <n v="8"/>
    <n v="0"/>
  </r>
  <r>
    <n v="1139"/>
    <x v="1"/>
    <x v="1"/>
    <x v="2"/>
    <x v="0"/>
    <s v="Medical"/>
    <n v="1"/>
    <x v="1"/>
    <x v="0"/>
    <s v="Married"/>
    <s v="No"/>
    <x v="3"/>
    <n v="7"/>
    <s v="Bachelor's Degree"/>
    <n v="4"/>
    <n v="2"/>
    <x v="3"/>
    <n v="4373"/>
    <n v="5"/>
    <x v="1"/>
    <x v="9"/>
    <n v="3"/>
    <n v="0"/>
    <n v="3"/>
    <n v="0"/>
  </r>
  <r>
    <n v="1140"/>
    <x v="1"/>
    <x v="1"/>
    <x v="2"/>
    <x v="0"/>
    <s v="Life Sciences"/>
    <n v="1"/>
    <x v="1"/>
    <x v="0"/>
    <s v="Single"/>
    <s v="No"/>
    <x v="14"/>
    <n v="7"/>
    <s v="Bachelor's Degree"/>
    <n v="3"/>
    <n v="2"/>
    <x v="3"/>
    <n v="4898"/>
    <n v="5"/>
    <x v="1"/>
    <x v="9"/>
    <n v="2"/>
    <n v="1"/>
    <n v="3"/>
    <n v="0"/>
  </r>
  <r>
    <n v="1141"/>
    <x v="1"/>
    <x v="1"/>
    <x v="2"/>
    <x v="0"/>
    <s v="Other"/>
    <n v="1"/>
    <x v="1"/>
    <x v="0"/>
    <s v="Single"/>
    <s v="No"/>
    <x v="12"/>
    <n v="2"/>
    <s v="Master's Degree"/>
    <n v="4"/>
    <n v="2"/>
    <x v="3"/>
    <n v="5332"/>
    <n v="10"/>
    <x v="1"/>
    <x v="8"/>
    <n v="2"/>
    <n v="0"/>
    <n v="3"/>
    <n v="0"/>
  </r>
  <r>
    <n v="1142"/>
    <x v="1"/>
    <x v="1"/>
    <x v="2"/>
    <x v="0"/>
    <s v="Marketing"/>
    <n v="1"/>
    <x v="1"/>
    <x v="0"/>
    <s v="Single"/>
    <s v="No"/>
    <x v="5"/>
    <n v="10"/>
    <s v="Master's Degree"/>
    <n v="4"/>
    <n v="2"/>
    <x v="0"/>
    <n v="4648"/>
    <n v="4"/>
    <x v="3"/>
    <x v="2"/>
    <n v="0"/>
    <n v="0"/>
    <n v="0"/>
    <n v="0"/>
  </r>
  <r>
    <n v="1143"/>
    <x v="1"/>
    <x v="0"/>
    <x v="0"/>
    <x v="2"/>
    <s v="Other"/>
    <n v="1"/>
    <x v="1"/>
    <x v="8"/>
    <s v="Divorced"/>
    <s v="No"/>
    <x v="2"/>
    <n v="8"/>
    <s v="Associates Degree"/>
    <n v="3"/>
    <n v="2"/>
    <x v="1"/>
    <n v="4071"/>
    <n v="19"/>
    <x v="2"/>
    <x v="1"/>
    <n v="0"/>
    <n v="4"/>
    <n v="7"/>
    <n v="0"/>
  </r>
  <r>
    <n v="1144"/>
    <x v="1"/>
    <x v="0"/>
    <x v="2"/>
    <x v="2"/>
    <s v="Medical"/>
    <n v="1"/>
    <x v="1"/>
    <x v="8"/>
    <s v="Married"/>
    <s v="No"/>
    <x v="11"/>
    <n v="6"/>
    <s v="High School"/>
    <n v="4"/>
    <n v="1"/>
    <x v="1"/>
    <n v="2804"/>
    <n v="1"/>
    <x v="1"/>
    <x v="6"/>
    <n v="0"/>
    <n v="0"/>
    <n v="0"/>
    <n v="0"/>
  </r>
  <r>
    <n v="1145"/>
    <x v="1"/>
    <x v="0"/>
    <x v="2"/>
    <x v="2"/>
    <s v="Other"/>
    <n v="1"/>
    <x v="1"/>
    <x v="8"/>
    <s v="Single"/>
    <s v="No"/>
    <x v="11"/>
    <n v="17"/>
    <s v="Bachelor's Degree"/>
    <n v="2"/>
    <n v="3"/>
    <x v="3"/>
    <n v="7988"/>
    <n v="10"/>
    <x v="2"/>
    <x v="1"/>
    <n v="9"/>
    <n v="0"/>
    <n v="9"/>
    <n v="0"/>
  </r>
  <r>
    <n v="1146"/>
    <x v="1"/>
    <x v="0"/>
    <x v="0"/>
    <x v="2"/>
    <s v="Life Sciences"/>
    <n v="1"/>
    <x v="1"/>
    <x v="8"/>
    <s v="Single"/>
    <s v="No"/>
    <x v="23"/>
    <n v="2"/>
    <s v="Bachelor's Degree"/>
    <n v="2"/>
    <n v="1"/>
    <x v="0"/>
    <n v="3539"/>
    <n v="10"/>
    <x v="1"/>
    <x v="7"/>
    <n v="7"/>
    <n v="1"/>
    <n v="8"/>
    <n v="0"/>
  </r>
  <r>
    <n v="1147"/>
    <x v="1"/>
    <x v="0"/>
    <x v="3"/>
    <x v="1"/>
    <s v="Technical Degree"/>
    <n v="1"/>
    <x v="1"/>
    <x v="1"/>
    <s v="Divorced"/>
    <s v="No"/>
    <x v="27"/>
    <n v="22"/>
    <s v="Bachelor's Degree"/>
    <n v="1"/>
    <n v="1"/>
    <x v="1"/>
    <n v="3537"/>
    <n v="8"/>
    <x v="1"/>
    <x v="9"/>
    <n v="2"/>
    <n v="1"/>
    <n v="2"/>
    <n v="0"/>
  </r>
  <r>
    <n v="1148"/>
    <x v="1"/>
    <x v="0"/>
    <x v="2"/>
    <x v="1"/>
    <s v="Life Sciences"/>
    <n v="1"/>
    <x v="1"/>
    <x v="1"/>
    <s v="Divorced"/>
    <s v="No"/>
    <x v="14"/>
    <n v="1"/>
    <s v="Bachelor's Degree"/>
    <n v="1"/>
    <n v="1"/>
    <x v="2"/>
    <n v="1563"/>
    <n v="1"/>
    <x v="0"/>
    <x v="6"/>
    <n v="0"/>
    <n v="0"/>
    <n v="0"/>
    <n v="0"/>
  </r>
  <r>
    <n v="1149"/>
    <x v="1"/>
    <x v="0"/>
    <x v="0"/>
    <x v="1"/>
    <s v="Life Sciences"/>
    <n v="1"/>
    <x v="1"/>
    <x v="5"/>
    <s v="Divorced"/>
    <s v="No"/>
    <x v="32"/>
    <n v="1"/>
    <s v="Master's Degree"/>
    <n v="1"/>
    <n v="4"/>
    <x v="3"/>
    <n v="16823"/>
    <n v="22"/>
    <x v="1"/>
    <x v="27"/>
    <n v="7"/>
    <n v="11"/>
    <n v="16"/>
    <n v="0"/>
  </r>
  <r>
    <n v="1150"/>
    <x v="1"/>
    <x v="0"/>
    <x v="2"/>
    <x v="1"/>
    <s v="Life Sciences"/>
    <n v="1"/>
    <x v="1"/>
    <x v="2"/>
    <s v="Divorced"/>
    <s v="No"/>
    <x v="12"/>
    <n v="20"/>
    <s v="Bachelor's Degree"/>
    <n v="2"/>
    <n v="2"/>
    <x v="2"/>
    <n v="4197"/>
    <n v="10"/>
    <x v="1"/>
    <x v="1"/>
    <n v="8"/>
    <n v="0"/>
    <n v="2"/>
    <n v="0"/>
  </r>
  <r>
    <n v="1151"/>
    <x v="1"/>
    <x v="0"/>
    <x v="0"/>
    <x v="1"/>
    <s v="Medical"/>
    <n v="1"/>
    <x v="1"/>
    <x v="2"/>
    <s v="Divorced"/>
    <s v="No"/>
    <x v="22"/>
    <n v="3"/>
    <s v="Associates Degree"/>
    <n v="3"/>
    <n v="2"/>
    <x v="2"/>
    <n v="3069"/>
    <n v="11"/>
    <x v="1"/>
    <x v="1"/>
    <n v="8"/>
    <n v="0"/>
    <n v="7"/>
    <n v="0"/>
  </r>
  <r>
    <n v="1152"/>
    <x v="1"/>
    <x v="0"/>
    <x v="0"/>
    <x v="1"/>
    <s v="Medical"/>
    <n v="1"/>
    <x v="1"/>
    <x v="1"/>
    <s v="Divorced"/>
    <s v="No"/>
    <x v="32"/>
    <n v="2"/>
    <s v="Bachelor's Degree"/>
    <n v="3"/>
    <n v="1"/>
    <x v="2"/>
    <n v="2345"/>
    <n v="8"/>
    <x v="3"/>
    <x v="11"/>
    <n v="1"/>
    <n v="1"/>
    <n v="2"/>
    <n v="0"/>
  </r>
  <r>
    <n v="1153"/>
    <x v="1"/>
    <x v="0"/>
    <x v="1"/>
    <x v="1"/>
    <s v="Life Sciences"/>
    <n v="1"/>
    <x v="1"/>
    <x v="3"/>
    <s v="Divorced"/>
    <s v="No"/>
    <x v="21"/>
    <n v="2"/>
    <s v="Associates Degree"/>
    <n v="4"/>
    <n v="3"/>
    <x v="0"/>
    <n v="8578"/>
    <n v="12"/>
    <x v="2"/>
    <x v="7"/>
    <n v="8"/>
    <n v="4"/>
    <n v="7"/>
    <n v="0"/>
  </r>
  <r>
    <n v="1154"/>
    <x v="1"/>
    <x v="0"/>
    <x v="0"/>
    <x v="1"/>
    <s v="Technical Degree"/>
    <n v="1"/>
    <x v="1"/>
    <x v="2"/>
    <s v="Divorced"/>
    <s v="No"/>
    <x v="23"/>
    <n v="27"/>
    <s v="Bachelor's Degree"/>
    <n v="4"/>
    <n v="1"/>
    <x v="1"/>
    <n v="4876"/>
    <n v="8"/>
    <x v="1"/>
    <x v="0"/>
    <n v="4"/>
    <n v="0"/>
    <n v="2"/>
    <n v="0"/>
  </r>
  <r>
    <n v="1155"/>
    <x v="1"/>
    <x v="0"/>
    <x v="0"/>
    <x v="1"/>
    <s v="Life Sciences"/>
    <n v="1"/>
    <x v="1"/>
    <x v="1"/>
    <s v="Divorced"/>
    <s v="No"/>
    <x v="8"/>
    <n v="9"/>
    <s v="Associates Degree"/>
    <n v="2"/>
    <n v="1"/>
    <x v="0"/>
    <n v="4771"/>
    <n v="10"/>
    <x v="3"/>
    <x v="8"/>
    <n v="2"/>
    <n v="0"/>
    <n v="3"/>
    <n v="0"/>
  </r>
  <r>
    <n v="1156"/>
    <x v="1"/>
    <x v="0"/>
    <x v="3"/>
    <x v="1"/>
    <s v="Medical"/>
    <n v="1"/>
    <x v="1"/>
    <x v="7"/>
    <s v="Divorced"/>
    <s v="No"/>
    <x v="27"/>
    <n v="1"/>
    <s v="Master's Degree"/>
    <n v="2"/>
    <n v="4"/>
    <x v="0"/>
    <n v="14732"/>
    <n v="31"/>
    <x v="3"/>
    <x v="5"/>
    <n v="7"/>
    <n v="0"/>
    <n v="0"/>
    <n v="0"/>
  </r>
  <r>
    <n v="1157"/>
    <x v="1"/>
    <x v="0"/>
    <x v="1"/>
    <x v="1"/>
    <s v="Life Sciences"/>
    <n v="1"/>
    <x v="1"/>
    <x v="4"/>
    <s v="Divorced"/>
    <s v="No"/>
    <x v="1"/>
    <n v="7"/>
    <s v="Master's Degree"/>
    <n v="3"/>
    <n v="3"/>
    <x v="1"/>
    <n v="10466"/>
    <n v="29"/>
    <x v="1"/>
    <x v="3"/>
    <n v="7"/>
    <n v="0"/>
    <n v="7"/>
    <n v="0"/>
  </r>
  <r>
    <n v="1158"/>
    <x v="1"/>
    <x v="0"/>
    <x v="2"/>
    <x v="1"/>
    <s v="Life Sciences"/>
    <n v="1"/>
    <x v="1"/>
    <x v="4"/>
    <s v="Divorced"/>
    <s v="No"/>
    <x v="11"/>
    <n v="29"/>
    <s v="High School"/>
    <n v="4"/>
    <n v="2"/>
    <x v="2"/>
    <n v="6384"/>
    <n v="11"/>
    <x v="1"/>
    <x v="5"/>
    <n v="0"/>
    <n v="1"/>
    <n v="6"/>
    <n v="0"/>
  </r>
  <r>
    <n v="1159"/>
    <x v="1"/>
    <x v="0"/>
    <x v="2"/>
    <x v="1"/>
    <s v="Other"/>
    <n v="1"/>
    <x v="1"/>
    <x v="2"/>
    <s v="Divorced"/>
    <s v="No"/>
    <x v="4"/>
    <n v="19"/>
    <s v="Bachelor's Degree"/>
    <n v="4"/>
    <n v="1"/>
    <x v="3"/>
    <n v="4066"/>
    <n v="7"/>
    <x v="1"/>
    <x v="5"/>
    <n v="7"/>
    <n v="0"/>
    <n v="7"/>
    <n v="0"/>
  </r>
  <r>
    <n v="1160"/>
    <x v="1"/>
    <x v="0"/>
    <x v="2"/>
    <x v="1"/>
    <s v="Medical"/>
    <n v="1"/>
    <x v="1"/>
    <x v="1"/>
    <s v="Divorced"/>
    <s v="No"/>
    <x v="5"/>
    <n v="2"/>
    <s v="Bachelor's Degree"/>
    <n v="4"/>
    <n v="2"/>
    <x v="1"/>
    <n v="5470"/>
    <n v="10"/>
    <x v="2"/>
    <x v="7"/>
    <n v="5"/>
    <n v="1"/>
    <n v="6"/>
    <n v="0"/>
  </r>
  <r>
    <n v="1161"/>
    <x v="1"/>
    <x v="0"/>
    <x v="1"/>
    <x v="1"/>
    <s v="Technical Degree"/>
    <n v="1"/>
    <x v="1"/>
    <x v="4"/>
    <s v="Divorced"/>
    <s v="No"/>
    <x v="28"/>
    <n v="1"/>
    <s v="Master's Degree"/>
    <n v="1"/>
    <n v="3"/>
    <x v="1"/>
    <n v="7441"/>
    <n v="10"/>
    <x v="1"/>
    <x v="1"/>
    <n v="8"/>
    <n v="7"/>
    <n v="7"/>
    <n v="0"/>
  </r>
  <r>
    <n v="1162"/>
    <x v="1"/>
    <x v="0"/>
    <x v="4"/>
    <x v="1"/>
    <s v="Medical"/>
    <n v="1"/>
    <x v="1"/>
    <x v="2"/>
    <s v="Divorced"/>
    <s v="No"/>
    <x v="17"/>
    <n v="29"/>
    <s v="High School"/>
    <n v="2"/>
    <n v="1"/>
    <x v="3"/>
    <n v="3907"/>
    <n v="6"/>
    <x v="3"/>
    <x v="0"/>
    <n v="2"/>
    <n v="1"/>
    <n v="2"/>
    <n v="0"/>
  </r>
  <r>
    <n v="1163"/>
    <x v="1"/>
    <x v="0"/>
    <x v="4"/>
    <x v="1"/>
    <s v="Technical Degree"/>
    <n v="1"/>
    <x v="1"/>
    <x v="2"/>
    <s v="Divorced"/>
    <s v="No"/>
    <x v="17"/>
    <n v="21"/>
    <s v="Associates Degree"/>
    <n v="3"/>
    <n v="1"/>
    <x v="3"/>
    <n v="2296"/>
    <n v="2"/>
    <x v="1"/>
    <x v="6"/>
    <n v="1"/>
    <n v="0"/>
    <n v="0"/>
    <n v="0"/>
  </r>
  <r>
    <n v="1164"/>
    <x v="1"/>
    <x v="0"/>
    <x v="0"/>
    <x v="1"/>
    <s v="Other"/>
    <n v="1"/>
    <x v="1"/>
    <x v="1"/>
    <s v="Divorced"/>
    <s v="No"/>
    <x v="22"/>
    <n v="19"/>
    <s v="Master's Degree"/>
    <n v="4"/>
    <n v="2"/>
    <x v="0"/>
    <n v="3902"/>
    <n v="7"/>
    <x v="1"/>
    <x v="4"/>
    <n v="2"/>
    <n v="2"/>
    <n v="2"/>
    <n v="0"/>
  </r>
  <r>
    <n v="1165"/>
    <x v="1"/>
    <x v="0"/>
    <x v="0"/>
    <x v="1"/>
    <s v="Life Sciences"/>
    <n v="1"/>
    <x v="1"/>
    <x v="5"/>
    <s v="Married"/>
    <s v="No"/>
    <x v="19"/>
    <n v="2"/>
    <s v="Bachelor's Degree"/>
    <n v="1"/>
    <n v="5"/>
    <x v="2"/>
    <n v="18880"/>
    <n v="24"/>
    <x v="2"/>
    <x v="14"/>
    <n v="6"/>
    <n v="4"/>
    <n v="14"/>
    <n v="0"/>
  </r>
  <r>
    <n v="1166"/>
    <x v="1"/>
    <x v="0"/>
    <x v="0"/>
    <x v="1"/>
    <s v="Medical"/>
    <n v="1"/>
    <x v="1"/>
    <x v="1"/>
    <s v="Married"/>
    <s v="No"/>
    <x v="2"/>
    <n v="13"/>
    <s v="Bachelor's Degree"/>
    <n v="1"/>
    <n v="2"/>
    <x v="0"/>
    <n v="4285"/>
    <n v="10"/>
    <x v="1"/>
    <x v="1"/>
    <n v="8"/>
    <n v="3"/>
    <n v="7"/>
    <n v="0"/>
  </r>
  <r>
    <n v="1167"/>
    <x v="1"/>
    <x v="0"/>
    <x v="2"/>
    <x v="1"/>
    <s v="Life Sciences"/>
    <n v="1"/>
    <x v="1"/>
    <x v="2"/>
    <s v="Married"/>
    <s v="No"/>
    <x v="4"/>
    <n v="11"/>
    <s v="High School"/>
    <n v="2"/>
    <n v="1"/>
    <x v="3"/>
    <n v="2099"/>
    <n v="6"/>
    <x v="3"/>
    <x v="8"/>
    <n v="0"/>
    <n v="1"/>
    <n v="4"/>
    <n v="0"/>
  </r>
  <r>
    <n v="1168"/>
    <x v="1"/>
    <x v="0"/>
    <x v="0"/>
    <x v="1"/>
    <s v="Life Sciences"/>
    <n v="1"/>
    <x v="1"/>
    <x v="1"/>
    <s v="Married"/>
    <s v="No"/>
    <x v="10"/>
    <n v="18"/>
    <s v="Doctoral Degree"/>
    <n v="2"/>
    <n v="2"/>
    <x v="3"/>
    <n v="5208"/>
    <n v="16"/>
    <x v="1"/>
    <x v="22"/>
    <n v="15"/>
    <n v="1"/>
    <n v="10"/>
    <n v="0"/>
  </r>
  <r>
    <n v="1169"/>
    <x v="1"/>
    <x v="0"/>
    <x v="2"/>
    <x v="1"/>
    <s v="Medical"/>
    <n v="1"/>
    <x v="1"/>
    <x v="2"/>
    <s v="Married"/>
    <s v="No"/>
    <x v="13"/>
    <n v="8"/>
    <s v="Bachelor's Degree"/>
    <n v="2"/>
    <n v="2"/>
    <x v="2"/>
    <n v="4404"/>
    <n v="6"/>
    <x v="3"/>
    <x v="9"/>
    <n v="3"/>
    <n v="1"/>
    <n v="2"/>
    <n v="0"/>
  </r>
  <r>
    <n v="1170"/>
    <x v="1"/>
    <x v="0"/>
    <x v="1"/>
    <x v="1"/>
    <s v="Medical"/>
    <n v="1"/>
    <x v="1"/>
    <x v="4"/>
    <s v="Married"/>
    <s v="No"/>
    <x v="16"/>
    <n v="24"/>
    <s v="Master's Degree"/>
    <n v="2"/>
    <n v="3"/>
    <x v="0"/>
    <n v="7005"/>
    <n v="11"/>
    <x v="1"/>
    <x v="9"/>
    <n v="3"/>
    <n v="1"/>
    <n v="2"/>
    <n v="0"/>
  </r>
  <r>
    <n v="1171"/>
    <x v="1"/>
    <x v="0"/>
    <x v="1"/>
    <x v="1"/>
    <s v="Life Sciences"/>
    <n v="1"/>
    <x v="1"/>
    <x v="7"/>
    <s v="Married"/>
    <s v="No"/>
    <x v="26"/>
    <n v="10"/>
    <s v="Bachelor's Degree"/>
    <n v="4"/>
    <n v="5"/>
    <x v="1"/>
    <n v="19665"/>
    <n v="29"/>
    <x v="1"/>
    <x v="14"/>
    <n v="10"/>
    <n v="12"/>
    <n v="9"/>
    <n v="0"/>
  </r>
  <r>
    <n v="1172"/>
    <x v="1"/>
    <x v="0"/>
    <x v="2"/>
    <x v="1"/>
    <s v="Medical"/>
    <n v="1"/>
    <x v="1"/>
    <x v="2"/>
    <s v="Married"/>
    <s v="No"/>
    <x v="7"/>
    <n v="1"/>
    <s v="Associates Degree"/>
    <n v="4"/>
    <n v="1"/>
    <x v="1"/>
    <n v="3748"/>
    <n v="12"/>
    <x v="2"/>
    <x v="12"/>
    <n v="8"/>
    <n v="1"/>
    <n v="7"/>
    <n v="0"/>
  </r>
  <r>
    <n v="1173"/>
    <x v="1"/>
    <x v="0"/>
    <x v="2"/>
    <x v="1"/>
    <s v="Life Sciences"/>
    <n v="1"/>
    <x v="1"/>
    <x v="4"/>
    <s v="Married"/>
    <s v="No"/>
    <x v="11"/>
    <n v="1"/>
    <s v="Bachelor's Degree"/>
    <n v="1"/>
    <n v="2"/>
    <x v="3"/>
    <n v="5373"/>
    <n v="6"/>
    <x v="2"/>
    <x v="8"/>
    <n v="3"/>
    <n v="0"/>
    <n v="2"/>
    <n v="0"/>
  </r>
  <r>
    <n v="1174"/>
    <x v="1"/>
    <x v="0"/>
    <x v="1"/>
    <x v="1"/>
    <s v="Technical Degree"/>
    <n v="1"/>
    <x v="1"/>
    <x v="4"/>
    <s v="Married"/>
    <s v="No"/>
    <x v="1"/>
    <n v="5"/>
    <s v="Master's Degree"/>
    <n v="1"/>
    <n v="2"/>
    <x v="2"/>
    <n v="6651"/>
    <n v="20"/>
    <x v="2"/>
    <x v="11"/>
    <n v="2"/>
    <n v="1"/>
    <n v="2"/>
    <n v="0"/>
  </r>
  <r>
    <n v="1175"/>
    <x v="1"/>
    <x v="0"/>
    <x v="0"/>
    <x v="1"/>
    <s v="Life Sciences"/>
    <n v="1"/>
    <x v="1"/>
    <x v="4"/>
    <s v="Married"/>
    <s v="No"/>
    <x v="23"/>
    <n v="11"/>
    <s v="Bachelor's Degree"/>
    <n v="1"/>
    <n v="3"/>
    <x v="2"/>
    <n v="7510"/>
    <n v="10"/>
    <x v="1"/>
    <x v="1"/>
    <n v="9"/>
    <n v="0"/>
    <n v="9"/>
    <n v="0"/>
  </r>
  <r>
    <n v="1176"/>
    <x v="1"/>
    <x v="0"/>
    <x v="2"/>
    <x v="1"/>
    <s v="Technical Degree"/>
    <n v="1"/>
    <x v="1"/>
    <x v="2"/>
    <s v="Married"/>
    <s v="No"/>
    <x v="36"/>
    <n v="1"/>
    <s v="Bachelor's Degree"/>
    <n v="1"/>
    <n v="1"/>
    <x v="0"/>
    <n v="3229"/>
    <n v="7"/>
    <x v="2"/>
    <x v="11"/>
    <n v="2"/>
    <n v="0"/>
    <n v="2"/>
    <n v="0"/>
  </r>
  <r>
    <n v="1177"/>
    <x v="1"/>
    <x v="0"/>
    <x v="1"/>
    <x v="1"/>
    <s v="Technical Degree"/>
    <n v="1"/>
    <x v="1"/>
    <x v="1"/>
    <s v="Married"/>
    <s v="No"/>
    <x v="40"/>
    <n v="1"/>
    <s v="Bachelor's Degree"/>
    <n v="1"/>
    <n v="1"/>
    <x v="0"/>
    <n v="3420"/>
    <n v="17"/>
    <x v="2"/>
    <x v="0"/>
    <n v="5"/>
    <n v="1"/>
    <n v="2"/>
    <n v="0"/>
  </r>
  <r>
    <n v="1178"/>
    <x v="1"/>
    <x v="0"/>
    <x v="0"/>
    <x v="1"/>
    <s v="Medical"/>
    <n v="1"/>
    <x v="1"/>
    <x v="2"/>
    <s v="Married"/>
    <s v="No"/>
    <x v="10"/>
    <n v="23"/>
    <s v="Master's Degree"/>
    <n v="2"/>
    <n v="1"/>
    <x v="2"/>
    <n v="2705"/>
    <n v="6"/>
    <x v="3"/>
    <x v="8"/>
    <n v="4"/>
    <n v="0"/>
    <n v="3"/>
    <n v="0"/>
  </r>
  <r>
    <n v="1179"/>
    <x v="1"/>
    <x v="0"/>
    <x v="2"/>
    <x v="1"/>
    <s v="Medical"/>
    <n v="1"/>
    <x v="1"/>
    <x v="1"/>
    <s v="Married"/>
    <s v="No"/>
    <x v="7"/>
    <n v="7"/>
    <s v="Bachelor's Degree"/>
    <n v="2"/>
    <n v="1"/>
    <x v="1"/>
    <n v="2141"/>
    <n v="6"/>
    <x v="2"/>
    <x v="0"/>
    <n v="4"/>
    <n v="1"/>
    <n v="1"/>
    <n v="0"/>
  </r>
  <r>
    <n v="1180"/>
    <x v="1"/>
    <x v="0"/>
    <x v="2"/>
    <x v="1"/>
    <s v="Medical"/>
    <n v="1"/>
    <x v="1"/>
    <x v="2"/>
    <s v="Married"/>
    <s v="No"/>
    <x v="13"/>
    <n v="5"/>
    <s v="Associates Degree"/>
    <n v="2"/>
    <n v="2"/>
    <x v="0"/>
    <n v="3986"/>
    <n v="15"/>
    <x v="3"/>
    <x v="15"/>
    <n v="10"/>
    <n v="4"/>
    <n v="13"/>
    <n v="0"/>
  </r>
  <r>
    <n v="1181"/>
    <x v="1"/>
    <x v="0"/>
    <x v="2"/>
    <x v="1"/>
    <s v="Technical Degree"/>
    <n v="1"/>
    <x v="1"/>
    <x v="1"/>
    <s v="Married"/>
    <s v="No"/>
    <x v="4"/>
    <n v="2"/>
    <s v="Master's Degree"/>
    <n v="2"/>
    <n v="1"/>
    <x v="1"/>
    <n v="2226"/>
    <n v="6"/>
    <x v="2"/>
    <x v="8"/>
    <n v="3"/>
    <n v="1"/>
    <n v="2"/>
    <n v="0"/>
  </r>
  <r>
    <n v="1182"/>
    <x v="1"/>
    <x v="0"/>
    <x v="2"/>
    <x v="1"/>
    <s v="Life Sciences"/>
    <n v="1"/>
    <x v="1"/>
    <x v="2"/>
    <s v="Married"/>
    <s v="No"/>
    <x v="12"/>
    <n v="2"/>
    <s v="Master's Degree"/>
    <n v="2"/>
    <n v="1"/>
    <x v="2"/>
    <n v="3477"/>
    <n v="6"/>
    <x v="3"/>
    <x v="8"/>
    <n v="2"/>
    <n v="0"/>
    <n v="3"/>
    <n v="0"/>
  </r>
  <r>
    <n v="1183"/>
    <x v="1"/>
    <x v="0"/>
    <x v="2"/>
    <x v="1"/>
    <s v="Life Sciences"/>
    <n v="1"/>
    <x v="1"/>
    <x v="1"/>
    <s v="Married"/>
    <s v="No"/>
    <x v="7"/>
    <n v="16"/>
    <s v="High School"/>
    <n v="2"/>
    <n v="1"/>
    <x v="0"/>
    <n v="2862"/>
    <n v="10"/>
    <x v="2"/>
    <x v="1"/>
    <n v="0"/>
    <n v="0"/>
    <n v="8"/>
    <n v="0"/>
  </r>
  <r>
    <n v="1184"/>
    <x v="1"/>
    <x v="0"/>
    <x v="2"/>
    <x v="1"/>
    <s v="Life Sciences"/>
    <n v="1"/>
    <x v="1"/>
    <x v="1"/>
    <s v="Married"/>
    <s v="No"/>
    <x v="13"/>
    <n v="1"/>
    <s v="Master's Degree"/>
    <n v="2"/>
    <n v="2"/>
    <x v="0"/>
    <n v="5484"/>
    <n v="9"/>
    <x v="2"/>
    <x v="4"/>
    <n v="2"/>
    <n v="2"/>
    <n v="1"/>
    <n v="0"/>
  </r>
  <r>
    <n v="1185"/>
    <x v="1"/>
    <x v="0"/>
    <x v="0"/>
    <x v="1"/>
    <s v="Life Sciences"/>
    <n v="1"/>
    <x v="1"/>
    <x v="4"/>
    <s v="Married"/>
    <s v="No"/>
    <x v="20"/>
    <n v="1"/>
    <s v="Master's Degree"/>
    <n v="2"/>
    <n v="2"/>
    <x v="3"/>
    <n v="5033"/>
    <n v="10"/>
    <x v="1"/>
    <x v="4"/>
    <n v="0"/>
    <n v="2"/>
    <n v="2"/>
    <n v="0"/>
  </r>
  <r>
    <n v="1186"/>
    <x v="1"/>
    <x v="0"/>
    <x v="0"/>
    <x v="1"/>
    <s v="Medical"/>
    <n v="1"/>
    <x v="1"/>
    <x v="2"/>
    <s v="Married"/>
    <s v="No"/>
    <x v="19"/>
    <n v="2"/>
    <s v="Bachelor's Degree"/>
    <n v="3"/>
    <n v="1"/>
    <x v="1"/>
    <n v="4841"/>
    <n v="4"/>
    <x v="1"/>
    <x v="6"/>
    <n v="0"/>
    <n v="0"/>
    <n v="0"/>
    <n v="0"/>
  </r>
  <r>
    <n v="1187"/>
    <x v="1"/>
    <x v="0"/>
    <x v="0"/>
    <x v="1"/>
    <s v="Life Sciences"/>
    <n v="1"/>
    <x v="1"/>
    <x v="2"/>
    <s v="Married"/>
    <s v="No"/>
    <x v="10"/>
    <n v="7"/>
    <s v="Associates Degree"/>
    <n v="3"/>
    <n v="1"/>
    <x v="0"/>
    <n v="2690"/>
    <n v="1"/>
    <x v="2"/>
    <x v="6"/>
    <n v="0"/>
    <n v="0"/>
    <n v="1"/>
    <n v="0"/>
  </r>
  <r>
    <n v="1188"/>
    <x v="1"/>
    <x v="0"/>
    <x v="0"/>
    <x v="1"/>
    <s v="Medical"/>
    <n v="1"/>
    <x v="1"/>
    <x v="7"/>
    <s v="Married"/>
    <s v="No"/>
    <x v="19"/>
    <n v="6"/>
    <s v="Bachelor's Degree"/>
    <n v="3"/>
    <n v="3"/>
    <x v="3"/>
    <n v="13348"/>
    <n v="18"/>
    <x v="3"/>
    <x v="20"/>
    <n v="7"/>
    <n v="5"/>
    <n v="7"/>
    <n v="0"/>
  </r>
  <r>
    <n v="1189"/>
    <x v="1"/>
    <x v="0"/>
    <x v="2"/>
    <x v="1"/>
    <s v="Life Sciences"/>
    <n v="1"/>
    <x v="1"/>
    <x v="1"/>
    <s v="Married"/>
    <s v="No"/>
    <x v="14"/>
    <n v="1"/>
    <s v="Bachelor's Degree"/>
    <n v="3"/>
    <n v="1"/>
    <x v="0"/>
    <n v="2044"/>
    <n v="5"/>
    <x v="3"/>
    <x v="8"/>
    <n v="3"/>
    <n v="0"/>
    <n v="3"/>
    <n v="0"/>
  </r>
  <r>
    <n v="1190"/>
    <x v="1"/>
    <x v="0"/>
    <x v="2"/>
    <x v="1"/>
    <s v="Life Sciences"/>
    <n v="1"/>
    <x v="1"/>
    <x v="4"/>
    <s v="Married"/>
    <s v="No"/>
    <x v="7"/>
    <n v="16"/>
    <s v="Bachelor's Degree"/>
    <n v="3"/>
    <n v="2"/>
    <x v="2"/>
    <n v="5294"/>
    <n v="10"/>
    <x v="1"/>
    <x v="5"/>
    <n v="0"/>
    <n v="1"/>
    <n v="7"/>
    <n v="0"/>
  </r>
  <r>
    <n v="1191"/>
    <x v="1"/>
    <x v="0"/>
    <x v="4"/>
    <x v="1"/>
    <s v="Medical"/>
    <n v="1"/>
    <x v="1"/>
    <x v="1"/>
    <s v="Married"/>
    <s v="No"/>
    <x v="17"/>
    <n v="9"/>
    <s v="Bachelor's Degree"/>
    <n v="3"/>
    <n v="1"/>
    <x v="2"/>
    <n v="4401"/>
    <n v="5"/>
    <x v="1"/>
    <x v="8"/>
    <n v="3"/>
    <n v="0"/>
    <n v="4"/>
    <n v="0"/>
  </r>
  <r>
    <n v="1192"/>
    <x v="1"/>
    <x v="0"/>
    <x v="0"/>
    <x v="1"/>
    <s v="Medical"/>
    <n v="1"/>
    <x v="1"/>
    <x v="4"/>
    <s v="Married"/>
    <s v="No"/>
    <x v="22"/>
    <n v="6"/>
    <s v="High School"/>
    <n v="4"/>
    <n v="3"/>
    <x v="3"/>
    <n v="9991"/>
    <n v="9"/>
    <x v="1"/>
    <x v="5"/>
    <n v="7"/>
    <n v="1"/>
    <n v="7"/>
    <n v="0"/>
  </r>
  <r>
    <n v="1193"/>
    <x v="1"/>
    <x v="0"/>
    <x v="0"/>
    <x v="1"/>
    <s v="Life Sciences"/>
    <n v="1"/>
    <x v="1"/>
    <x v="7"/>
    <s v="Married"/>
    <s v="No"/>
    <x v="20"/>
    <n v="28"/>
    <s v="Bachelor's Degree"/>
    <n v="4"/>
    <n v="4"/>
    <x v="3"/>
    <n v="16328"/>
    <n v="24"/>
    <x v="3"/>
    <x v="23"/>
    <n v="6"/>
    <n v="14"/>
    <n v="17"/>
    <n v="0"/>
  </r>
  <r>
    <n v="1194"/>
    <x v="1"/>
    <x v="0"/>
    <x v="0"/>
    <x v="1"/>
    <s v="Life Sciences"/>
    <n v="1"/>
    <x v="1"/>
    <x v="3"/>
    <s v="Married"/>
    <s v="No"/>
    <x v="10"/>
    <n v="27"/>
    <s v="Master's Degree"/>
    <n v="4"/>
    <n v="2"/>
    <x v="2"/>
    <n v="6883"/>
    <n v="17"/>
    <x v="1"/>
    <x v="5"/>
    <n v="7"/>
    <n v="0"/>
    <n v="7"/>
    <n v="0"/>
  </r>
  <r>
    <n v="1195"/>
    <x v="1"/>
    <x v="0"/>
    <x v="2"/>
    <x v="1"/>
    <s v="Life Sciences"/>
    <n v="1"/>
    <x v="1"/>
    <x v="1"/>
    <s v="Married"/>
    <s v="No"/>
    <x v="3"/>
    <n v="8"/>
    <s v="Master's Degree"/>
    <n v="4"/>
    <n v="1"/>
    <x v="3"/>
    <n v="3143"/>
    <n v="14"/>
    <x v="1"/>
    <x v="1"/>
    <n v="8"/>
    <n v="7"/>
    <n v="6"/>
    <n v="0"/>
  </r>
  <r>
    <n v="1196"/>
    <x v="1"/>
    <x v="0"/>
    <x v="4"/>
    <x v="1"/>
    <s v="Technical Degree"/>
    <n v="1"/>
    <x v="1"/>
    <x v="1"/>
    <s v="Married"/>
    <s v="No"/>
    <x v="30"/>
    <n v="10"/>
    <s v="Bachelor's Degree"/>
    <n v="4"/>
    <n v="1"/>
    <x v="2"/>
    <n v="2073"/>
    <n v="4"/>
    <x v="1"/>
    <x v="4"/>
    <n v="2"/>
    <n v="2"/>
    <n v="2"/>
    <n v="0"/>
  </r>
  <r>
    <n v="1197"/>
    <x v="1"/>
    <x v="0"/>
    <x v="0"/>
    <x v="1"/>
    <s v="Life Sciences"/>
    <n v="1"/>
    <x v="1"/>
    <x v="4"/>
    <s v="Married"/>
    <s v="No"/>
    <x v="9"/>
    <n v="26"/>
    <s v="Master's Degree"/>
    <n v="1"/>
    <n v="2"/>
    <x v="2"/>
    <n v="5347"/>
    <n v="10"/>
    <x v="2"/>
    <x v="11"/>
    <n v="2"/>
    <n v="0"/>
    <n v="2"/>
    <n v="0"/>
  </r>
  <r>
    <n v="1198"/>
    <x v="1"/>
    <x v="0"/>
    <x v="0"/>
    <x v="1"/>
    <s v="Life Sciences"/>
    <n v="1"/>
    <x v="1"/>
    <x v="2"/>
    <s v="Married"/>
    <s v="No"/>
    <x v="32"/>
    <n v="1"/>
    <s v="Master's Degree"/>
    <n v="1"/>
    <n v="1"/>
    <x v="0"/>
    <n v="2406"/>
    <n v="8"/>
    <x v="2"/>
    <x v="6"/>
    <n v="0"/>
    <n v="0"/>
    <n v="0"/>
    <n v="0"/>
  </r>
  <r>
    <n v="1199"/>
    <x v="1"/>
    <x v="0"/>
    <x v="0"/>
    <x v="1"/>
    <s v="Medical"/>
    <n v="1"/>
    <x v="1"/>
    <x v="4"/>
    <s v="Married"/>
    <s v="No"/>
    <x v="19"/>
    <n v="13"/>
    <s v="Bachelor's Degree"/>
    <n v="2"/>
    <n v="2"/>
    <x v="3"/>
    <n v="5538"/>
    <n v="10"/>
    <x v="2"/>
    <x v="2"/>
    <n v="0"/>
    <n v="0"/>
    <n v="0"/>
    <n v="0"/>
  </r>
  <r>
    <n v="1200"/>
    <x v="1"/>
    <x v="0"/>
    <x v="0"/>
    <x v="1"/>
    <s v="Life Sciences"/>
    <n v="1"/>
    <x v="1"/>
    <x v="2"/>
    <s v="Married"/>
    <s v="No"/>
    <x v="10"/>
    <n v="28"/>
    <s v="Bachelor's Degree"/>
    <n v="2"/>
    <n v="2"/>
    <x v="2"/>
    <n v="3407"/>
    <n v="10"/>
    <x v="2"/>
    <x v="1"/>
    <n v="9"/>
    <n v="6"/>
    <n v="8"/>
    <n v="0"/>
  </r>
  <r>
    <n v="1201"/>
    <x v="1"/>
    <x v="0"/>
    <x v="2"/>
    <x v="1"/>
    <s v="Life Sciences"/>
    <n v="1"/>
    <x v="1"/>
    <x v="3"/>
    <s v="Married"/>
    <s v="No"/>
    <x v="14"/>
    <n v="29"/>
    <s v="High School"/>
    <n v="3"/>
    <n v="2"/>
    <x v="1"/>
    <n v="6549"/>
    <n v="8"/>
    <x v="2"/>
    <x v="3"/>
    <n v="6"/>
    <n v="1"/>
    <n v="7"/>
    <n v="0"/>
  </r>
  <r>
    <n v="1202"/>
    <x v="1"/>
    <x v="0"/>
    <x v="2"/>
    <x v="1"/>
    <s v="Life Sciences"/>
    <n v="1"/>
    <x v="1"/>
    <x v="1"/>
    <s v="Married"/>
    <s v="No"/>
    <x v="11"/>
    <n v="9"/>
    <s v="Bachelor's Degree"/>
    <n v="3"/>
    <n v="1"/>
    <x v="2"/>
    <n v="2451"/>
    <n v="5"/>
    <x v="2"/>
    <x v="6"/>
    <n v="0"/>
    <n v="0"/>
    <n v="0"/>
    <n v="0"/>
  </r>
  <r>
    <n v="1203"/>
    <x v="1"/>
    <x v="0"/>
    <x v="0"/>
    <x v="1"/>
    <s v="Medical"/>
    <n v="1"/>
    <x v="1"/>
    <x v="3"/>
    <s v="Married"/>
    <s v="No"/>
    <x v="22"/>
    <n v="10"/>
    <s v="Doctoral Degree"/>
    <n v="2"/>
    <n v="2"/>
    <x v="3"/>
    <n v="5377"/>
    <n v="10"/>
    <x v="1"/>
    <x v="5"/>
    <n v="7"/>
    <n v="7"/>
    <n v="7"/>
    <n v="0"/>
  </r>
  <r>
    <n v="1204"/>
    <x v="1"/>
    <x v="0"/>
    <x v="2"/>
    <x v="1"/>
    <s v="Medical"/>
    <n v="1"/>
    <x v="1"/>
    <x v="2"/>
    <s v="Married"/>
    <s v="No"/>
    <x v="3"/>
    <n v="21"/>
    <s v="Bachelor's Degree"/>
    <n v="2"/>
    <n v="1"/>
    <x v="1"/>
    <n v="2028"/>
    <n v="14"/>
    <x v="1"/>
    <x v="13"/>
    <n v="11"/>
    <n v="2"/>
    <n v="13"/>
    <n v="0"/>
  </r>
  <r>
    <n v="1205"/>
    <x v="1"/>
    <x v="0"/>
    <x v="3"/>
    <x v="1"/>
    <s v="Medical"/>
    <n v="1"/>
    <x v="1"/>
    <x v="7"/>
    <s v="Married"/>
    <s v="No"/>
    <x v="27"/>
    <n v="2"/>
    <s v="Bachelor's Degree"/>
    <n v="3"/>
    <n v="5"/>
    <x v="3"/>
    <n v="19038"/>
    <n v="34"/>
    <x v="1"/>
    <x v="6"/>
    <n v="0"/>
    <n v="0"/>
    <n v="0"/>
    <n v="0"/>
  </r>
  <r>
    <n v="1206"/>
    <x v="1"/>
    <x v="0"/>
    <x v="0"/>
    <x v="1"/>
    <s v="Life Sciences"/>
    <n v="1"/>
    <x v="1"/>
    <x v="3"/>
    <s v="Married"/>
    <s v="No"/>
    <x v="2"/>
    <n v="19"/>
    <s v="Bachelor's Degree"/>
    <n v="3"/>
    <n v="2"/>
    <x v="2"/>
    <n v="5768"/>
    <n v="9"/>
    <x v="2"/>
    <x v="9"/>
    <n v="3"/>
    <n v="0"/>
    <n v="2"/>
    <n v="0"/>
  </r>
  <r>
    <n v="1207"/>
    <x v="1"/>
    <x v="0"/>
    <x v="2"/>
    <x v="1"/>
    <s v="Medical"/>
    <n v="1"/>
    <x v="1"/>
    <x v="2"/>
    <s v="Married"/>
    <s v="No"/>
    <x v="25"/>
    <n v="17"/>
    <s v="Master's Degree"/>
    <n v="4"/>
    <n v="1"/>
    <x v="2"/>
    <n v="2305"/>
    <n v="3"/>
    <x v="3"/>
    <x v="11"/>
    <n v="2"/>
    <n v="0"/>
    <n v="2"/>
    <n v="0"/>
  </r>
  <r>
    <n v="1208"/>
    <x v="1"/>
    <x v="0"/>
    <x v="0"/>
    <x v="1"/>
    <s v="Life Sciences"/>
    <n v="1"/>
    <x v="1"/>
    <x v="2"/>
    <s v="Single"/>
    <s v="No"/>
    <x v="9"/>
    <n v="4"/>
    <s v="Master's Degree"/>
    <n v="1"/>
    <n v="2"/>
    <x v="0"/>
    <n v="5810"/>
    <n v="10"/>
    <x v="2"/>
    <x v="1"/>
    <n v="4"/>
    <n v="1"/>
    <n v="8"/>
    <n v="0"/>
  </r>
  <r>
    <n v="1209"/>
    <x v="1"/>
    <x v="0"/>
    <x v="0"/>
    <x v="1"/>
    <s v="Life Sciences"/>
    <n v="1"/>
    <x v="1"/>
    <x v="2"/>
    <s v="Single"/>
    <s v="No"/>
    <x v="9"/>
    <n v="7"/>
    <s v="Bachelor's Degree"/>
    <n v="1"/>
    <n v="1"/>
    <x v="1"/>
    <n v="2013"/>
    <n v="15"/>
    <x v="1"/>
    <x v="9"/>
    <n v="3"/>
    <n v="1"/>
    <n v="3"/>
    <n v="0"/>
  </r>
  <r>
    <n v="1210"/>
    <x v="1"/>
    <x v="0"/>
    <x v="4"/>
    <x v="1"/>
    <s v="Life Sciences"/>
    <n v="1"/>
    <x v="1"/>
    <x v="2"/>
    <s v="Single"/>
    <s v="No"/>
    <x v="30"/>
    <n v="20"/>
    <s v="High School"/>
    <n v="1"/>
    <n v="2"/>
    <x v="2"/>
    <n v="2272"/>
    <n v="5"/>
    <x v="1"/>
    <x v="9"/>
    <n v="3"/>
    <n v="1"/>
    <n v="2"/>
    <n v="0"/>
  </r>
  <r>
    <n v="1211"/>
    <x v="1"/>
    <x v="0"/>
    <x v="2"/>
    <x v="1"/>
    <s v="Medical"/>
    <n v="1"/>
    <x v="1"/>
    <x v="1"/>
    <s v="Single"/>
    <s v="No"/>
    <x v="13"/>
    <n v="7"/>
    <s v="Master's Degree"/>
    <n v="1"/>
    <n v="1"/>
    <x v="0"/>
    <n v="2972"/>
    <n v="1"/>
    <x v="0"/>
    <x v="6"/>
    <n v="0"/>
    <n v="0"/>
    <n v="0"/>
    <n v="0"/>
  </r>
  <r>
    <n v="1212"/>
    <x v="1"/>
    <x v="0"/>
    <x v="0"/>
    <x v="1"/>
    <s v="Life Sciences"/>
    <n v="1"/>
    <x v="1"/>
    <x v="1"/>
    <s v="Single"/>
    <s v="No"/>
    <x v="22"/>
    <n v="24"/>
    <s v="High School"/>
    <n v="1"/>
    <n v="2"/>
    <x v="0"/>
    <n v="4108"/>
    <n v="18"/>
    <x v="1"/>
    <x v="5"/>
    <n v="7"/>
    <n v="1"/>
    <n v="7"/>
    <n v="0"/>
  </r>
  <r>
    <n v="1213"/>
    <x v="1"/>
    <x v="0"/>
    <x v="4"/>
    <x v="1"/>
    <s v="Life Sciences"/>
    <n v="1"/>
    <x v="1"/>
    <x v="4"/>
    <s v="Single"/>
    <s v="No"/>
    <x v="17"/>
    <n v="1"/>
    <s v="Associates Degree"/>
    <n v="2"/>
    <n v="2"/>
    <x v="2"/>
    <n v="4617"/>
    <n v="4"/>
    <x v="2"/>
    <x v="9"/>
    <n v="3"/>
    <n v="1"/>
    <n v="2"/>
    <n v="0"/>
  </r>
  <r>
    <n v="1214"/>
    <x v="1"/>
    <x v="0"/>
    <x v="0"/>
    <x v="1"/>
    <s v="Medical"/>
    <n v="1"/>
    <x v="1"/>
    <x v="1"/>
    <s v="Single"/>
    <s v="No"/>
    <x v="10"/>
    <n v="9"/>
    <s v="Master's Degree"/>
    <n v="2"/>
    <n v="2"/>
    <x v="2"/>
    <n v="5098"/>
    <n v="10"/>
    <x v="1"/>
    <x v="1"/>
    <n v="7"/>
    <n v="0"/>
    <n v="8"/>
    <n v="0"/>
  </r>
  <r>
    <n v="1215"/>
    <x v="1"/>
    <x v="0"/>
    <x v="0"/>
    <x v="1"/>
    <s v="Life Sciences"/>
    <n v="1"/>
    <x v="1"/>
    <x v="4"/>
    <s v="Single"/>
    <s v="No"/>
    <x v="0"/>
    <n v="5"/>
    <s v="Bachelor's Degree"/>
    <n v="2"/>
    <n v="2"/>
    <x v="1"/>
    <n v="6870"/>
    <n v="11"/>
    <x v="0"/>
    <x v="11"/>
    <n v="2"/>
    <n v="1"/>
    <n v="2"/>
    <n v="0"/>
  </r>
  <r>
    <n v="1216"/>
    <x v="1"/>
    <x v="0"/>
    <x v="0"/>
    <x v="1"/>
    <s v="Life Sciences"/>
    <n v="1"/>
    <x v="1"/>
    <x v="1"/>
    <s v="Single"/>
    <s v="No"/>
    <x v="32"/>
    <n v="2"/>
    <s v="Master's Degree"/>
    <n v="3"/>
    <n v="1"/>
    <x v="2"/>
    <n v="2809"/>
    <n v="8"/>
    <x v="1"/>
    <x v="4"/>
    <n v="2"/>
    <n v="2"/>
    <n v="2"/>
    <n v="0"/>
  </r>
  <r>
    <n v="1217"/>
    <x v="1"/>
    <x v="0"/>
    <x v="2"/>
    <x v="1"/>
    <s v="Medical"/>
    <n v="1"/>
    <x v="1"/>
    <x v="2"/>
    <s v="Single"/>
    <s v="No"/>
    <x v="25"/>
    <n v="1"/>
    <s v="Bachelor's Degree"/>
    <n v="3"/>
    <n v="1"/>
    <x v="3"/>
    <n v="2867"/>
    <n v="8"/>
    <x v="2"/>
    <x v="5"/>
    <n v="7"/>
    <n v="7"/>
    <n v="6"/>
    <n v="0"/>
  </r>
  <r>
    <n v="1218"/>
    <x v="1"/>
    <x v="0"/>
    <x v="1"/>
    <x v="1"/>
    <s v="Life Sciences"/>
    <n v="1"/>
    <x v="1"/>
    <x v="4"/>
    <s v="Single"/>
    <s v="No"/>
    <x v="21"/>
    <n v="13"/>
    <s v="Master's Degree"/>
    <n v="3"/>
    <n v="2"/>
    <x v="1"/>
    <n v="5562"/>
    <n v="19"/>
    <x v="1"/>
    <x v="1"/>
    <n v="7"/>
    <n v="0"/>
    <n v="9"/>
    <n v="0"/>
  </r>
  <r>
    <n v="1219"/>
    <x v="1"/>
    <x v="0"/>
    <x v="1"/>
    <x v="1"/>
    <s v="Life Sciences"/>
    <n v="1"/>
    <x v="1"/>
    <x v="5"/>
    <s v="Single"/>
    <s v="No"/>
    <x v="1"/>
    <n v="1"/>
    <s v="Bachelor's Degree"/>
    <n v="3"/>
    <n v="4"/>
    <x v="2"/>
    <n v="15379"/>
    <n v="23"/>
    <x v="1"/>
    <x v="3"/>
    <n v="7"/>
    <n v="0"/>
    <n v="0"/>
    <n v="0"/>
  </r>
  <r>
    <n v="1220"/>
    <x v="1"/>
    <x v="0"/>
    <x v="4"/>
    <x v="1"/>
    <s v="Medical"/>
    <n v="1"/>
    <x v="1"/>
    <x v="1"/>
    <s v="Single"/>
    <s v="No"/>
    <x v="18"/>
    <n v="5"/>
    <s v="High School"/>
    <n v="3"/>
    <n v="1"/>
    <x v="0"/>
    <n v="3117"/>
    <n v="3"/>
    <x v="1"/>
    <x v="4"/>
    <n v="2"/>
    <n v="2"/>
    <n v="2"/>
    <n v="0"/>
  </r>
  <r>
    <n v="1221"/>
    <x v="1"/>
    <x v="0"/>
    <x v="2"/>
    <x v="1"/>
    <s v="Other"/>
    <n v="1"/>
    <x v="1"/>
    <x v="2"/>
    <s v="Single"/>
    <s v="No"/>
    <x v="25"/>
    <n v="7"/>
    <s v="Bachelor's Degree"/>
    <n v="3"/>
    <n v="1"/>
    <x v="3"/>
    <n v="3578"/>
    <n v="8"/>
    <x v="1"/>
    <x v="5"/>
    <n v="7"/>
    <n v="0"/>
    <n v="7"/>
    <n v="0"/>
  </r>
  <r>
    <n v="1222"/>
    <x v="1"/>
    <x v="0"/>
    <x v="0"/>
    <x v="1"/>
    <s v="Medical"/>
    <n v="1"/>
    <x v="1"/>
    <x v="2"/>
    <s v="Single"/>
    <s v="No"/>
    <x v="10"/>
    <n v="1"/>
    <s v="Bachelor's Degree"/>
    <n v="4"/>
    <n v="1"/>
    <x v="3"/>
    <n v="2450"/>
    <n v="3"/>
    <x v="1"/>
    <x v="11"/>
    <n v="0"/>
    <n v="1"/>
    <n v="2"/>
    <n v="0"/>
  </r>
  <r>
    <n v="1223"/>
    <x v="1"/>
    <x v="0"/>
    <x v="2"/>
    <x v="1"/>
    <s v="Life Sciences"/>
    <n v="1"/>
    <x v="1"/>
    <x v="3"/>
    <s v="Single"/>
    <s v="No"/>
    <x v="3"/>
    <n v="25"/>
    <s v="Bachelor's Degree"/>
    <n v="4"/>
    <n v="2"/>
    <x v="1"/>
    <n v="4320"/>
    <n v="5"/>
    <x v="1"/>
    <x v="8"/>
    <n v="3"/>
    <n v="0"/>
    <n v="2"/>
    <n v="0"/>
  </r>
  <r>
    <n v="1224"/>
    <x v="1"/>
    <x v="0"/>
    <x v="2"/>
    <x v="1"/>
    <s v="Life Sciences"/>
    <n v="1"/>
    <x v="1"/>
    <x v="2"/>
    <s v="Single"/>
    <s v="No"/>
    <x v="11"/>
    <n v="7"/>
    <s v="Bachelor's Degree"/>
    <n v="4"/>
    <n v="1"/>
    <x v="3"/>
    <n v="2062"/>
    <n v="11"/>
    <x v="1"/>
    <x v="11"/>
    <n v="2"/>
    <n v="1"/>
    <n v="2"/>
    <n v="0"/>
  </r>
  <r>
    <n v="1225"/>
    <x v="1"/>
    <x v="0"/>
    <x v="2"/>
    <x v="1"/>
    <s v="Technical Degree"/>
    <n v="1"/>
    <x v="1"/>
    <x v="1"/>
    <s v="Single"/>
    <s v="No"/>
    <x v="5"/>
    <n v="2"/>
    <s v="Bachelor's Degree"/>
    <n v="4"/>
    <n v="1"/>
    <x v="3"/>
    <n v="2439"/>
    <n v="4"/>
    <x v="1"/>
    <x v="9"/>
    <n v="2"/>
    <n v="1"/>
    <n v="2"/>
    <n v="0"/>
  </r>
  <r>
    <n v="1226"/>
    <x v="1"/>
    <x v="0"/>
    <x v="0"/>
    <x v="1"/>
    <s v="Life Sciences"/>
    <n v="1"/>
    <x v="1"/>
    <x v="1"/>
    <s v="Single"/>
    <s v="No"/>
    <x v="20"/>
    <n v="20"/>
    <s v="Bachelor's Degree"/>
    <n v="4"/>
    <n v="1"/>
    <x v="1"/>
    <n v="3420"/>
    <n v="6"/>
    <x v="2"/>
    <x v="8"/>
    <n v="2"/>
    <n v="1"/>
    <n v="3"/>
    <n v="0"/>
  </r>
  <r>
    <n v="1227"/>
    <x v="1"/>
    <x v="0"/>
    <x v="0"/>
    <x v="1"/>
    <s v="Life Sciences"/>
    <n v="1"/>
    <x v="1"/>
    <x v="2"/>
    <s v="Single"/>
    <s v="No"/>
    <x v="19"/>
    <n v="8"/>
    <s v="Bachelor's Degree"/>
    <n v="4"/>
    <n v="1"/>
    <x v="2"/>
    <n v="3968"/>
    <n v="8"/>
    <x v="1"/>
    <x v="2"/>
    <n v="0"/>
    <n v="0"/>
    <n v="0"/>
    <n v="0"/>
  </r>
  <r>
    <n v="1228"/>
    <x v="1"/>
    <x v="0"/>
    <x v="4"/>
    <x v="1"/>
    <s v="Life Sciences"/>
    <n v="1"/>
    <x v="1"/>
    <x v="1"/>
    <s v="Single"/>
    <s v="No"/>
    <x v="15"/>
    <n v="1"/>
    <s v="Associates Degree"/>
    <n v="4"/>
    <n v="1"/>
    <x v="2"/>
    <n v="3375"/>
    <n v="4"/>
    <x v="3"/>
    <x v="11"/>
    <n v="2"/>
    <n v="1"/>
    <n v="2"/>
    <n v="0"/>
  </r>
  <r>
    <n v="1229"/>
    <x v="1"/>
    <x v="0"/>
    <x v="4"/>
    <x v="1"/>
    <s v="Other"/>
    <n v="1"/>
    <x v="1"/>
    <x v="2"/>
    <s v="Single"/>
    <s v="No"/>
    <x v="30"/>
    <n v="12"/>
    <s v="Associates Degree"/>
    <n v="4"/>
    <n v="1"/>
    <x v="0"/>
    <n v="2647"/>
    <n v="5"/>
    <x v="3"/>
    <x v="8"/>
    <n v="2"/>
    <n v="1"/>
    <n v="4"/>
    <n v="0"/>
  </r>
  <r>
    <n v="1230"/>
    <x v="1"/>
    <x v="0"/>
    <x v="1"/>
    <x v="1"/>
    <s v="Medical"/>
    <n v="1"/>
    <x v="1"/>
    <x v="7"/>
    <s v="Single"/>
    <s v="No"/>
    <x v="16"/>
    <n v="2"/>
    <s v="Bachelor's Degree"/>
    <n v="4"/>
    <n v="4"/>
    <x v="1"/>
    <n v="16598"/>
    <n v="35"/>
    <x v="2"/>
    <x v="7"/>
    <n v="8"/>
    <n v="8"/>
    <n v="8"/>
    <n v="0"/>
  </r>
  <r>
    <n v="1231"/>
    <x v="1"/>
    <x v="0"/>
    <x v="2"/>
    <x v="0"/>
    <s v="Life Sciences"/>
    <n v="1"/>
    <x v="1"/>
    <x v="0"/>
    <s v="Divorced"/>
    <s v="No"/>
    <x v="12"/>
    <n v="8"/>
    <s v="Associates Degree"/>
    <n v="1"/>
    <n v="3"/>
    <x v="0"/>
    <n v="10793"/>
    <n v="13"/>
    <x v="1"/>
    <x v="20"/>
    <n v="7"/>
    <n v="9"/>
    <n v="9"/>
    <n v="0"/>
  </r>
  <r>
    <n v="1232"/>
    <x v="1"/>
    <x v="0"/>
    <x v="2"/>
    <x v="0"/>
    <s v="Marketing"/>
    <n v="1"/>
    <x v="1"/>
    <x v="0"/>
    <s v="Divorced"/>
    <s v="No"/>
    <x v="7"/>
    <n v="15"/>
    <s v="Associates Degree"/>
    <n v="3"/>
    <n v="3"/>
    <x v="3"/>
    <n v="7140"/>
    <n v="12"/>
    <x v="1"/>
    <x v="5"/>
    <n v="7"/>
    <n v="1"/>
    <n v="7"/>
    <n v="0"/>
  </r>
  <r>
    <n v="1233"/>
    <x v="1"/>
    <x v="0"/>
    <x v="0"/>
    <x v="0"/>
    <s v="Life Sciences"/>
    <n v="1"/>
    <x v="1"/>
    <x v="0"/>
    <s v="Divorced"/>
    <s v="No"/>
    <x v="0"/>
    <n v="3"/>
    <s v="Bachelor's Degree"/>
    <n v="3"/>
    <n v="2"/>
    <x v="1"/>
    <n v="8938"/>
    <n v="14"/>
    <x v="1"/>
    <x v="8"/>
    <n v="4"/>
    <n v="0"/>
    <n v="4"/>
    <n v="0"/>
  </r>
  <r>
    <n v="1234"/>
    <x v="1"/>
    <x v="0"/>
    <x v="2"/>
    <x v="0"/>
    <s v="Medical"/>
    <n v="1"/>
    <x v="1"/>
    <x v="0"/>
    <s v="Divorced"/>
    <s v="No"/>
    <x v="13"/>
    <n v="13"/>
    <s v="Master's Degree"/>
    <n v="4"/>
    <n v="3"/>
    <x v="2"/>
    <n v="8628"/>
    <n v="9"/>
    <x v="2"/>
    <x v="3"/>
    <n v="7"/>
    <n v="1"/>
    <n v="1"/>
    <n v="0"/>
  </r>
  <r>
    <n v="1235"/>
    <x v="1"/>
    <x v="0"/>
    <x v="2"/>
    <x v="0"/>
    <s v="Life Sciences"/>
    <n v="1"/>
    <x v="1"/>
    <x v="0"/>
    <s v="Divorced"/>
    <s v="No"/>
    <x v="11"/>
    <n v="19"/>
    <s v="Bachelor's Degree"/>
    <n v="3"/>
    <n v="2"/>
    <x v="2"/>
    <n v="8620"/>
    <n v="10"/>
    <x v="1"/>
    <x v="1"/>
    <n v="7"/>
    <n v="0"/>
    <n v="4"/>
    <n v="0"/>
  </r>
  <r>
    <n v="1236"/>
    <x v="1"/>
    <x v="0"/>
    <x v="2"/>
    <x v="0"/>
    <s v="Medical"/>
    <n v="1"/>
    <x v="1"/>
    <x v="0"/>
    <s v="Divorced"/>
    <s v="No"/>
    <x v="3"/>
    <n v="2"/>
    <s v="Master's Degree"/>
    <n v="4"/>
    <n v="2"/>
    <x v="0"/>
    <n v="5505"/>
    <n v="6"/>
    <x v="1"/>
    <x v="0"/>
    <n v="2"/>
    <n v="0"/>
    <n v="4"/>
    <n v="0"/>
  </r>
  <r>
    <n v="1237"/>
    <x v="1"/>
    <x v="0"/>
    <x v="1"/>
    <x v="0"/>
    <s v="Marketing"/>
    <n v="1"/>
    <x v="1"/>
    <x v="0"/>
    <s v="Divorced"/>
    <s v="No"/>
    <x v="26"/>
    <n v="7"/>
    <s v="Bachelor's Degree"/>
    <n v="3"/>
    <n v="2"/>
    <x v="3"/>
    <n v="5486"/>
    <n v="15"/>
    <x v="1"/>
    <x v="4"/>
    <n v="2"/>
    <n v="2"/>
    <n v="2"/>
    <n v="0"/>
  </r>
  <r>
    <n v="1238"/>
    <x v="1"/>
    <x v="0"/>
    <x v="0"/>
    <x v="0"/>
    <s v="Medical"/>
    <n v="1"/>
    <x v="1"/>
    <x v="0"/>
    <s v="Married"/>
    <s v="No"/>
    <x v="32"/>
    <n v="9"/>
    <s v="Associates Degree"/>
    <n v="1"/>
    <n v="2"/>
    <x v="3"/>
    <n v="5473"/>
    <n v="9"/>
    <x v="3"/>
    <x v="3"/>
    <n v="4"/>
    <n v="7"/>
    <n v="1"/>
    <n v="0"/>
  </r>
  <r>
    <n v="1239"/>
    <x v="1"/>
    <x v="0"/>
    <x v="2"/>
    <x v="0"/>
    <s v="Life Sciences"/>
    <n v="1"/>
    <x v="1"/>
    <x v="0"/>
    <s v="Married"/>
    <s v="No"/>
    <x v="3"/>
    <n v="8"/>
    <s v="Master's Degree"/>
    <n v="1"/>
    <n v="2"/>
    <x v="3"/>
    <n v="6392"/>
    <n v="8"/>
    <x v="0"/>
    <x v="4"/>
    <n v="2"/>
    <n v="2"/>
    <n v="2"/>
    <n v="0"/>
  </r>
  <r>
    <n v="1240"/>
    <x v="1"/>
    <x v="0"/>
    <x v="2"/>
    <x v="0"/>
    <s v="Life Sciences"/>
    <n v="1"/>
    <x v="1"/>
    <x v="6"/>
    <s v="Married"/>
    <s v="No"/>
    <x v="12"/>
    <n v="2"/>
    <s v="Associates Degree"/>
    <n v="1"/>
    <n v="1"/>
    <x v="2"/>
    <n v="3067"/>
    <n v="3"/>
    <x v="1"/>
    <x v="4"/>
    <n v="2"/>
    <n v="1"/>
    <n v="2"/>
    <n v="0"/>
  </r>
  <r>
    <n v="1241"/>
    <x v="1"/>
    <x v="0"/>
    <x v="2"/>
    <x v="0"/>
    <s v="Technical Degree"/>
    <n v="1"/>
    <x v="1"/>
    <x v="0"/>
    <s v="Married"/>
    <s v="No"/>
    <x v="12"/>
    <n v="5"/>
    <s v="Bachelor's Degree"/>
    <n v="1"/>
    <n v="2"/>
    <x v="2"/>
    <n v="8346"/>
    <n v="6"/>
    <x v="1"/>
    <x v="8"/>
    <n v="2"/>
    <n v="0"/>
    <n v="2"/>
    <n v="0"/>
  </r>
  <r>
    <n v="1242"/>
    <x v="1"/>
    <x v="0"/>
    <x v="2"/>
    <x v="0"/>
    <s v="Medical"/>
    <n v="1"/>
    <x v="1"/>
    <x v="6"/>
    <s v="Married"/>
    <s v="No"/>
    <x v="5"/>
    <n v="1"/>
    <s v="Master's Degree"/>
    <n v="2"/>
    <n v="1"/>
    <x v="1"/>
    <n v="2269"/>
    <n v="3"/>
    <x v="1"/>
    <x v="4"/>
    <n v="2"/>
    <n v="2"/>
    <n v="2"/>
    <n v="0"/>
  </r>
  <r>
    <n v="1243"/>
    <x v="1"/>
    <x v="0"/>
    <x v="0"/>
    <x v="0"/>
    <s v="Medical"/>
    <n v="1"/>
    <x v="1"/>
    <x v="0"/>
    <s v="Married"/>
    <s v="No"/>
    <x v="10"/>
    <n v="18"/>
    <s v="Master's Degree"/>
    <n v="2"/>
    <n v="2"/>
    <x v="3"/>
    <n v="5561"/>
    <n v="6"/>
    <x v="0"/>
    <x v="8"/>
    <n v="3"/>
    <n v="0"/>
    <n v="4"/>
    <n v="0"/>
  </r>
  <r>
    <n v="1244"/>
    <x v="1"/>
    <x v="0"/>
    <x v="2"/>
    <x v="0"/>
    <s v="Technical Degree"/>
    <n v="1"/>
    <x v="1"/>
    <x v="0"/>
    <s v="Married"/>
    <s v="No"/>
    <x v="7"/>
    <n v="29"/>
    <s v="Master's Degree"/>
    <n v="3"/>
    <n v="3"/>
    <x v="1"/>
    <n v="9250"/>
    <n v="9"/>
    <x v="1"/>
    <x v="9"/>
    <n v="2"/>
    <n v="1"/>
    <n v="3"/>
    <n v="0"/>
  </r>
  <r>
    <n v="1245"/>
    <x v="1"/>
    <x v="0"/>
    <x v="0"/>
    <x v="0"/>
    <s v="Life Sciences"/>
    <n v="1"/>
    <x v="1"/>
    <x v="0"/>
    <s v="Married"/>
    <s v="No"/>
    <x v="8"/>
    <n v="14"/>
    <s v="Bachelor's Degree"/>
    <n v="3"/>
    <n v="2"/>
    <x v="1"/>
    <n v="9924"/>
    <n v="10"/>
    <x v="1"/>
    <x v="7"/>
    <n v="8"/>
    <n v="7"/>
    <n v="7"/>
    <n v="0"/>
  </r>
  <r>
    <n v="1246"/>
    <x v="1"/>
    <x v="0"/>
    <x v="2"/>
    <x v="0"/>
    <s v="Life Sciences"/>
    <n v="1"/>
    <x v="1"/>
    <x v="0"/>
    <s v="Married"/>
    <s v="No"/>
    <x v="5"/>
    <n v="19"/>
    <s v="Bachelor's Degree"/>
    <n v="4"/>
    <n v="3"/>
    <x v="2"/>
    <n v="9610"/>
    <n v="10"/>
    <x v="0"/>
    <x v="9"/>
    <n v="3"/>
    <n v="0"/>
    <n v="2"/>
    <n v="0"/>
  </r>
  <r>
    <n v="1247"/>
    <x v="1"/>
    <x v="0"/>
    <x v="0"/>
    <x v="0"/>
    <s v="Life Sciences"/>
    <n v="1"/>
    <x v="1"/>
    <x v="6"/>
    <s v="Married"/>
    <s v="No"/>
    <x v="10"/>
    <n v="7"/>
    <s v="High School"/>
    <n v="4"/>
    <n v="1"/>
    <x v="2"/>
    <n v="2404"/>
    <n v="1"/>
    <x v="1"/>
    <x v="6"/>
    <n v="0"/>
    <n v="0"/>
    <n v="0"/>
    <n v="0"/>
  </r>
  <r>
    <n v="1248"/>
    <x v="1"/>
    <x v="0"/>
    <x v="2"/>
    <x v="0"/>
    <s v="Marketing"/>
    <n v="1"/>
    <x v="1"/>
    <x v="0"/>
    <s v="Married"/>
    <s v="No"/>
    <x v="5"/>
    <n v="7"/>
    <s v="Doctoral Degree"/>
    <n v="4"/>
    <n v="2"/>
    <x v="0"/>
    <n v="9204"/>
    <n v="7"/>
    <x v="2"/>
    <x v="9"/>
    <n v="3"/>
    <n v="0"/>
    <n v="3"/>
    <n v="0"/>
  </r>
  <r>
    <n v="1249"/>
    <x v="1"/>
    <x v="0"/>
    <x v="0"/>
    <x v="0"/>
    <s v="Medical"/>
    <n v="1"/>
    <x v="1"/>
    <x v="0"/>
    <s v="Married"/>
    <s v="No"/>
    <x v="22"/>
    <n v="6"/>
    <s v="Bachelor's Degree"/>
    <n v="4"/>
    <n v="3"/>
    <x v="2"/>
    <n v="8237"/>
    <n v="11"/>
    <x v="1"/>
    <x v="5"/>
    <n v="6"/>
    <n v="7"/>
    <n v="6"/>
    <n v="0"/>
  </r>
  <r>
    <n v="1250"/>
    <x v="1"/>
    <x v="0"/>
    <x v="0"/>
    <x v="0"/>
    <s v="Marketing"/>
    <n v="1"/>
    <x v="1"/>
    <x v="0"/>
    <s v="Married"/>
    <s v="No"/>
    <x v="2"/>
    <n v="9"/>
    <s v="Associates Degree"/>
    <n v="2"/>
    <n v="2"/>
    <x v="1"/>
    <n v="4189"/>
    <n v="5"/>
    <x v="1"/>
    <x v="8"/>
    <n v="2"/>
    <n v="0"/>
    <n v="3"/>
    <n v="0"/>
  </r>
  <r>
    <n v="1251"/>
    <x v="1"/>
    <x v="0"/>
    <x v="0"/>
    <x v="0"/>
    <s v="Marketing"/>
    <n v="1"/>
    <x v="1"/>
    <x v="0"/>
    <s v="Married"/>
    <s v="No"/>
    <x v="9"/>
    <n v="17"/>
    <s v="Associates Degree"/>
    <n v="3"/>
    <n v="2"/>
    <x v="1"/>
    <n v="5507"/>
    <n v="12"/>
    <x v="0"/>
    <x v="9"/>
    <n v="2"/>
    <n v="1"/>
    <n v="3"/>
    <n v="0"/>
  </r>
  <r>
    <n v="1252"/>
    <x v="1"/>
    <x v="0"/>
    <x v="0"/>
    <x v="0"/>
    <s v="Life Sciences"/>
    <n v="1"/>
    <x v="1"/>
    <x v="0"/>
    <s v="Married"/>
    <s v="No"/>
    <x v="8"/>
    <n v="1"/>
    <s v="Master's Degree"/>
    <n v="4"/>
    <n v="2"/>
    <x v="1"/>
    <n v="4440"/>
    <n v="16"/>
    <x v="1"/>
    <x v="15"/>
    <n v="13"/>
    <n v="5"/>
    <n v="8"/>
    <n v="0"/>
  </r>
  <r>
    <n v="1253"/>
    <x v="1"/>
    <x v="0"/>
    <x v="2"/>
    <x v="0"/>
    <s v="Life Sciences"/>
    <n v="1"/>
    <x v="1"/>
    <x v="0"/>
    <s v="Married"/>
    <s v="No"/>
    <x v="7"/>
    <n v="16"/>
    <s v="High School"/>
    <n v="4"/>
    <n v="2"/>
    <x v="2"/>
    <n v="5301"/>
    <n v="4"/>
    <x v="2"/>
    <x v="4"/>
    <n v="1"/>
    <n v="2"/>
    <n v="2"/>
    <n v="0"/>
  </r>
  <r>
    <n v="1254"/>
    <x v="1"/>
    <x v="0"/>
    <x v="0"/>
    <x v="0"/>
    <s v="Life Sciences"/>
    <n v="1"/>
    <x v="1"/>
    <x v="6"/>
    <s v="Single"/>
    <s v="No"/>
    <x v="8"/>
    <n v="1"/>
    <s v="Bachelor's Degree"/>
    <n v="1"/>
    <n v="1"/>
    <x v="3"/>
    <n v="2858"/>
    <n v="20"/>
    <x v="2"/>
    <x v="6"/>
    <n v="0"/>
    <n v="0"/>
    <n v="0"/>
    <n v="0"/>
  </r>
  <r>
    <n v="1255"/>
    <x v="1"/>
    <x v="0"/>
    <x v="0"/>
    <x v="0"/>
    <s v="Marketing"/>
    <n v="1"/>
    <x v="1"/>
    <x v="0"/>
    <s v="Single"/>
    <s v="No"/>
    <x v="22"/>
    <n v="15"/>
    <s v="Master's Degree"/>
    <n v="2"/>
    <n v="4"/>
    <x v="3"/>
    <n v="13341"/>
    <n v="21"/>
    <x v="1"/>
    <x v="23"/>
    <n v="8"/>
    <n v="11"/>
    <n v="10"/>
    <n v="0"/>
  </r>
  <r>
    <n v="1256"/>
    <x v="1"/>
    <x v="0"/>
    <x v="0"/>
    <x v="0"/>
    <s v="Medical"/>
    <n v="1"/>
    <x v="1"/>
    <x v="5"/>
    <s v="Single"/>
    <s v="No"/>
    <x v="32"/>
    <n v="7"/>
    <s v="Master's Degree"/>
    <n v="2"/>
    <n v="5"/>
    <x v="1"/>
    <n v="19833"/>
    <n v="21"/>
    <x v="2"/>
    <x v="17"/>
    <n v="8"/>
    <n v="12"/>
    <n v="8"/>
    <n v="0"/>
  </r>
  <r>
    <n v="1257"/>
    <x v="1"/>
    <x v="0"/>
    <x v="2"/>
    <x v="0"/>
    <s v="Marketing"/>
    <n v="1"/>
    <x v="1"/>
    <x v="0"/>
    <s v="Single"/>
    <s v="No"/>
    <x v="3"/>
    <n v="10"/>
    <s v="Master's Degree"/>
    <n v="2"/>
    <n v="2"/>
    <x v="2"/>
    <n v="5487"/>
    <n v="10"/>
    <x v="2"/>
    <x v="1"/>
    <n v="4"/>
    <n v="0"/>
    <n v="9"/>
    <n v="0"/>
  </r>
  <r>
    <n v="1258"/>
    <x v="1"/>
    <x v="0"/>
    <x v="2"/>
    <x v="0"/>
    <s v="Medical"/>
    <n v="1"/>
    <x v="1"/>
    <x v="0"/>
    <s v="Single"/>
    <s v="No"/>
    <x v="11"/>
    <n v="10"/>
    <s v="Bachelor's Degree"/>
    <n v="3"/>
    <n v="2"/>
    <x v="2"/>
    <n v="5869"/>
    <n v="8"/>
    <x v="1"/>
    <x v="8"/>
    <n v="2"/>
    <n v="1"/>
    <n v="4"/>
    <n v="0"/>
  </r>
  <r>
    <n v="1259"/>
    <x v="1"/>
    <x v="0"/>
    <x v="2"/>
    <x v="0"/>
    <s v="Medical"/>
    <n v="1"/>
    <x v="1"/>
    <x v="0"/>
    <s v="Single"/>
    <s v="No"/>
    <x v="25"/>
    <n v="10"/>
    <s v="Bachelor's Degree"/>
    <n v="3"/>
    <n v="2"/>
    <x v="0"/>
    <n v="4684"/>
    <n v="5"/>
    <x v="1"/>
    <x v="8"/>
    <n v="3"/>
    <n v="1"/>
    <n v="2"/>
    <n v="0"/>
  </r>
  <r>
    <n v="1260"/>
    <x v="1"/>
    <x v="0"/>
    <x v="2"/>
    <x v="0"/>
    <s v="Other"/>
    <n v="1"/>
    <x v="1"/>
    <x v="0"/>
    <s v="Single"/>
    <s v="No"/>
    <x v="13"/>
    <n v="3"/>
    <s v="Bachelor's Degree"/>
    <n v="4"/>
    <n v="2"/>
    <x v="3"/>
    <n v="4759"/>
    <n v="15"/>
    <x v="1"/>
    <x v="20"/>
    <n v="9"/>
    <n v="3"/>
    <n v="12"/>
    <n v="0"/>
  </r>
  <r>
    <n v="1261"/>
    <x v="1"/>
    <x v="0"/>
    <x v="4"/>
    <x v="0"/>
    <s v="Life Sciences"/>
    <n v="1"/>
    <x v="1"/>
    <x v="6"/>
    <s v="Single"/>
    <s v="No"/>
    <x v="35"/>
    <n v="9"/>
    <s v="High School"/>
    <n v="4"/>
    <n v="1"/>
    <x v="3"/>
    <n v="2728"/>
    <n v="2"/>
    <x v="1"/>
    <x v="4"/>
    <n v="2"/>
    <n v="0"/>
    <n v="2"/>
    <n v="0"/>
  </r>
  <r>
    <n v="1262"/>
    <x v="1"/>
    <x v="0"/>
    <x v="2"/>
    <x v="0"/>
    <s v="Medical"/>
    <n v="1"/>
    <x v="1"/>
    <x v="0"/>
    <s v="Single"/>
    <s v="No"/>
    <x v="14"/>
    <n v="5"/>
    <s v="Bachelor's Degree"/>
    <n v="4"/>
    <n v="2"/>
    <x v="3"/>
    <n v="8463"/>
    <n v="6"/>
    <x v="1"/>
    <x v="8"/>
    <n v="4"/>
    <n v="1"/>
    <n v="3"/>
    <n v="0"/>
  </r>
  <r>
    <n v="1263"/>
    <x v="1"/>
    <x v="0"/>
    <x v="0"/>
    <x v="0"/>
    <s v="Marketing"/>
    <n v="1"/>
    <x v="1"/>
    <x v="0"/>
    <s v="Single"/>
    <s v="No"/>
    <x v="0"/>
    <n v="6"/>
    <s v="Bachelor's Degree"/>
    <n v="4"/>
    <n v="3"/>
    <x v="2"/>
    <n v="9241"/>
    <n v="10"/>
    <x v="1"/>
    <x v="1"/>
    <n v="8"/>
    <n v="8"/>
    <n v="7"/>
    <n v="0"/>
  </r>
  <r>
    <n v="1264"/>
    <x v="1"/>
    <x v="0"/>
    <x v="2"/>
    <x v="0"/>
    <s v="Marketing"/>
    <n v="1"/>
    <x v="1"/>
    <x v="0"/>
    <s v="Single"/>
    <s v="No"/>
    <x v="4"/>
    <n v="9"/>
    <s v="Bachelor's Degree"/>
    <n v="4"/>
    <n v="2"/>
    <x v="0"/>
    <n v="4105"/>
    <n v="7"/>
    <x v="1"/>
    <x v="5"/>
    <n v="7"/>
    <n v="0"/>
    <n v="7"/>
    <n v="0"/>
  </r>
  <r>
    <n v="1265"/>
    <x v="1"/>
    <x v="0"/>
    <x v="1"/>
    <x v="0"/>
    <s v="Life Sciences"/>
    <n v="1"/>
    <x v="1"/>
    <x v="5"/>
    <s v="Single"/>
    <s v="No"/>
    <x v="21"/>
    <n v="1"/>
    <s v="Master's Degree"/>
    <n v="4"/>
    <n v="4"/>
    <x v="3"/>
    <n v="17567"/>
    <n v="27"/>
    <x v="0"/>
    <x v="34"/>
    <n v="0"/>
    <n v="0"/>
    <n v="12"/>
    <n v="0"/>
  </r>
  <r>
    <n v="1266"/>
    <x v="1"/>
    <x v="2"/>
    <x v="4"/>
    <x v="1"/>
    <s v="Other"/>
    <n v="1"/>
    <x v="0"/>
    <x v="1"/>
    <s v="Married"/>
    <s v="Yes"/>
    <x v="15"/>
    <n v="26"/>
    <s v="Associates Degree"/>
    <n v="2"/>
    <n v="1"/>
    <x v="2"/>
    <n v="2814"/>
    <n v="4"/>
    <x v="2"/>
    <x v="9"/>
    <n v="2"/>
    <n v="1"/>
    <n v="3"/>
    <n v="0"/>
  </r>
  <r>
    <n v="1267"/>
    <x v="1"/>
    <x v="1"/>
    <x v="0"/>
    <x v="1"/>
    <s v="Medical"/>
    <n v="1"/>
    <x v="0"/>
    <x v="1"/>
    <s v="Divorced"/>
    <s v="Yes"/>
    <x v="8"/>
    <n v="8"/>
    <s v="Bachelor's Degree"/>
    <n v="4"/>
    <n v="2"/>
    <x v="1"/>
    <n v="2133"/>
    <n v="20"/>
    <x v="1"/>
    <x v="23"/>
    <n v="11"/>
    <n v="0"/>
    <n v="7"/>
    <n v="0"/>
  </r>
  <r>
    <n v="1268"/>
    <x v="1"/>
    <x v="1"/>
    <x v="4"/>
    <x v="1"/>
    <s v="Technical Degree"/>
    <n v="1"/>
    <x v="0"/>
    <x v="1"/>
    <s v="Single"/>
    <s v="Yes"/>
    <x v="17"/>
    <n v="2"/>
    <s v="High School"/>
    <n v="1"/>
    <n v="1"/>
    <x v="0"/>
    <n v="3760"/>
    <n v="6"/>
    <x v="1"/>
    <x v="0"/>
    <n v="3"/>
    <n v="1"/>
    <n v="3"/>
    <n v="0"/>
  </r>
  <r>
    <n v="1269"/>
    <x v="1"/>
    <x v="1"/>
    <x v="2"/>
    <x v="1"/>
    <s v="Life Sciences"/>
    <n v="1"/>
    <x v="0"/>
    <x v="2"/>
    <s v="Single"/>
    <s v="Yes"/>
    <x v="4"/>
    <n v="5"/>
    <s v="Associates Degree"/>
    <n v="4"/>
    <n v="1"/>
    <x v="0"/>
    <n v="2379"/>
    <n v="6"/>
    <x v="2"/>
    <x v="8"/>
    <n v="4"/>
    <n v="0"/>
    <n v="2"/>
    <n v="0"/>
  </r>
  <r>
    <n v="1270"/>
    <x v="1"/>
    <x v="0"/>
    <x v="0"/>
    <x v="2"/>
    <s v="Life Sciences"/>
    <n v="1"/>
    <x v="0"/>
    <x v="8"/>
    <s v="Divorced"/>
    <s v="Yes"/>
    <x v="20"/>
    <n v="1"/>
    <s v="Bachelor's Degree"/>
    <n v="3"/>
    <n v="1"/>
    <x v="0"/>
    <n v="3195"/>
    <n v="8"/>
    <x v="1"/>
    <x v="4"/>
    <n v="2"/>
    <n v="2"/>
    <n v="2"/>
    <n v="0"/>
  </r>
  <r>
    <n v="1271"/>
    <x v="1"/>
    <x v="0"/>
    <x v="0"/>
    <x v="2"/>
    <s v="Life Sciences"/>
    <n v="1"/>
    <x v="0"/>
    <x v="8"/>
    <s v="Single"/>
    <s v="Yes"/>
    <x v="10"/>
    <n v="26"/>
    <s v="Master's Degree"/>
    <n v="3"/>
    <n v="3"/>
    <x v="0"/>
    <n v="8837"/>
    <n v="9"/>
    <x v="1"/>
    <x v="7"/>
    <n v="0"/>
    <n v="1"/>
    <n v="7"/>
    <n v="0"/>
  </r>
  <r>
    <n v="1272"/>
    <x v="1"/>
    <x v="0"/>
    <x v="0"/>
    <x v="1"/>
    <s v="Medical"/>
    <n v="1"/>
    <x v="0"/>
    <x v="7"/>
    <s v="Divorced"/>
    <s v="Yes"/>
    <x v="20"/>
    <n v="7"/>
    <s v="Bachelor's Degree"/>
    <n v="2"/>
    <n v="5"/>
    <x v="0"/>
    <n v="19049"/>
    <n v="23"/>
    <x v="2"/>
    <x v="14"/>
    <n v="7"/>
    <n v="1"/>
    <n v="10"/>
    <n v="0"/>
  </r>
  <r>
    <n v="1273"/>
    <x v="1"/>
    <x v="0"/>
    <x v="1"/>
    <x v="1"/>
    <s v="Life Sciences"/>
    <n v="1"/>
    <x v="0"/>
    <x v="3"/>
    <s v="Divorced"/>
    <s v="Yes"/>
    <x v="40"/>
    <n v="4"/>
    <s v="Bachelor's Degree"/>
    <n v="3"/>
    <n v="3"/>
    <x v="1"/>
    <n v="10333"/>
    <n v="28"/>
    <x v="1"/>
    <x v="14"/>
    <n v="11"/>
    <n v="14"/>
    <n v="10"/>
    <n v="0"/>
  </r>
  <r>
    <n v="1274"/>
    <x v="1"/>
    <x v="0"/>
    <x v="1"/>
    <x v="1"/>
    <s v="Medical"/>
    <n v="1"/>
    <x v="0"/>
    <x v="2"/>
    <s v="Divorced"/>
    <s v="Yes"/>
    <x v="1"/>
    <n v="16"/>
    <s v="Bachelor's Degree"/>
    <n v="4"/>
    <n v="1"/>
    <x v="3"/>
    <n v="2587"/>
    <n v="17"/>
    <x v="2"/>
    <x v="4"/>
    <n v="2"/>
    <n v="2"/>
    <n v="2"/>
    <n v="0"/>
  </r>
  <r>
    <n v="1275"/>
    <x v="1"/>
    <x v="0"/>
    <x v="2"/>
    <x v="1"/>
    <s v="Medical"/>
    <n v="1"/>
    <x v="0"/>
    <x v="2"/>
    <s v="Divorced"/>
    <s v="Yes"/>
    <x v="12"/>
    <n v="2"/>
    <s v="High School"/>
    <n v="4"/>
    <n v="1"/>
    <x v="0"/>
    <n v="1129"/>
    <n v="1"/>
    <x v="1"/>
    <x v="6"/>
    <n v="0"/>
    <n v="0"/>
    <n v="0"/>
    <n v="0"/>
  </r>
  <r>
    <n v="1276"/>
    <x v="1"/>
    <x v="0"/>
    <x v="0"/>
    <x v="1"/>
    <s v="Other"/>
    <n v="1"/>
    <x v="0"/>
    <x v="3"/>
    <s v="Married"/>
    <s v="Yes"/>
    <x v="10"/>
    <n v="16"/>
    <s v="Associates Degree"/>
    <n v="4"/>
    <n v="2"/>
    <x v="1"/>
    <n v="4788"/>
    <n v="4"/>
    <x v="1"/>
    <x v="11"/>
    <n v="2"/>
    <n v="0"/>
    <n v="2"/>
    <n v="0"/>
  </r>
  <r>
    <n v="1277"/>
    <x v="1"/>
    <x v="0"/>
    <x v="2"/>
    <x v="1"/>
    <s v="Life Sciences"/>
    <n v="1"/>
    <x v="0"/>
    <x v="1"/>
    <s v="Married"/>
    <s v="Yes"/>
    <x v="25"/>
    <n v="1"/>
    <s v="Associates Degree"/>
    <n v="2"/>
    <n v="1"/>
    <x v="2"/>
    <n v="2933"/>
    <n v="1"/>
    <x v="2"/>
    <x v="6"/>
    <n v="0"/>
    <n v="1"/>
    <n v="0"/>
    <n v="0"/>
  </r>
  <r>
    <n v="1278"/>
    <x v="1"/>
    <x v="0"/>
    <x v="0"/>
    <x v="1"/>
    <s v="Life Sciences"/>
    <n v="1"/>
    <x v="0"/>
    <x v="3"/>
    <s v="Married"/>
    <s v="Yes"/>
    <x v="32"/>
    <n v="8"/>
    <s v="Associates Degree"/>
    <n v="2"/>
    <n v="2"/>
    <x v="3"/>
    <n v="6516"/>
    <n v="18"/>
    <x v="1"/>
    <x v="6"/>
    <n v="0"/>
    <n v="0"/>
    <n v="0"/>
    <n v="0"/>
  </r>
  <r>
    <n v="1279"/>
    <x v="1"/>
    <x v="0"/>
    <x v="2"/>
    <x v="1"/>
    <s v="Medical"/>
    <n v="1"/>
    <x v="0"/>
    <x v="4"/>
    <s v="Married"/>
    <s v="Yes"/>
    <x v="3"/>
    <n v="15"/>
    <s v="Associates Degree"/>
    <n v="2"/>
    <n v="2"/>
    <x v="0"/>
    <n v="4878"/>
    <n v="10"/>
    <x v="1"/>
    <x v="7"/>
    <n v="7"/>
    <n v="8"/>
    <n v="1"/>
    <n v="0"/>
  </r>
  <r>
    <n v="1280"/>
    <x v="1"/>
    <x v="0"/>
    <x v="1"/>
    <x v="1"/>
    <s v="Life Sciences"/>
    <n v="1"/>
    <x v="0"/>
    <x v="4"/>
    <s v="Married"/>
    <s v="Yes"/>
    <x v="1"/>
    <n v="6"/>
    <s v="High School"/>
    <n v="3"/>
    <n v="4"/>
    <x v="2"/>
    <n v="13966"/>
    <n v="30"/>
    <x v="1"/>
    <x v="15"/>
    <n v="11"/>
    <n v="2"/>
    <n v="12"/>
    <n v="0"/>
  </r>
  <r>
    <n v="1281"/>
    <x v="1"/>
    <x v="0"/>
    <x v="0"/>
    <x v="1"/>
    <s v="Life Sciences"/>
    <n v="1"/>
    <x v="0"/>
    <x v="4"/>
    <s v="Married"/>
    <s v="Yes"/>
    <x v="20"/>
    <n v="2"/>
    <s v="Bachelor's Degree"/>
    <n v="3"/>
    <n v="3"/>
    <x v="0"/>
    <n v="7879"/>
    <n v="9"/>
    <x v="1"/>
    <x v="3"/>
    <n v="7"/>
    <n v="6"/>
    <n v="7"/>
    <n v="0"/>
  </r>
  <r>
    <n v="1282"/>
    <x v="1"/>
    <x v="0"/>
    <x v="0"/>
    <x v="1"/>
    <s v="Medical"/>
    <n v="1"/>
    <x v="0"/>
    <x v="3"/>
    <s v="Married"/>
    <s v="Yes"/>
    <x v="8"/>
    <n v="2"/>
    <s v="Associates Degree"/>
    <n v="4"/>
    <n v="3"/>
    <x v="2"/>
    <n v="7756"/>
    <n v="10"/>
    <x v="3"/>
    <x v="8"/>
    <n v="4"/>
    <n v="0"/>
    <n v="2"/>
    <n v="0"/>
  </r>
  <r>
    <n v="1283"/>
    <x v="1"/>
    <x v="0"/>
    <x v="0"/>
    <x v="1"/>
    <s v="Life Sciences"/>
    <n v="1"/>
    <x v="0"/>
    <x v="3"/>
    <s v="Married"/>
    <s v="Yes"/>
    <x v="9"/>
    <n v="12"/>
    <s v="Master's Degree"/>
    <n v="3"/>
    <n v="2"/>
    <x v="2"/>
    <n v="4663"/>
    <n v="7"/>
    <x v="1"/>
    <x v="11"/>
    <n v="2"/>
    <n v="1"/>
    <n v="1"/>
    <n v="0"/>
  </r>
  <r>
    <n v="1284"/>
    <x v="1"/>
    <x v="0"/>
    <x v="0"/>
    <x v="1"/>
    <s v="Medical"/>
    <n v="1"/>
    <x v="0"/>
    <x v="4"/>
    <s v="Single"/>
    <s v="Yes"/>
    <x v="10"/>
    <n v="10"/>
    <s v="Master's Degree"/>
    <n v="1"/>
    <n v="2"/>
    <x v="2"/>
    <n v="6142"/>
    <n v="10"/>
    <x v="1"/>
    <x v="8"/>
    <n v="2"/>
    <n v="0"/>
    <n v="4"/>
    <n v="0"/>
  </r>
  <r>
    <n v="1285"/>
    <x v="1"/>
    <x v="0"/>
    <x v="1"/>
    <x v="1"/>
    <s v="Medical"/>
    <n v="1"/>
    <x v="0"/>
    <x v="2"/>
    <s v="Single"/>
    <s v="Yes"/>
    <x v="28"/>
    <n v="5"/>
    <s v="Doctoral Degree"/>
    <n v="3"/>
    <n v="2"/>
    <x v="3"/>
    <n v="5769"/>
    <n v="10"/>
    <x v="1"/>
    <x v="1"/>
    <n v="7"/>
    <n v="1"/>
    <n v="4"/>
    <n v="0"/>
  </r>
  <r>
    <n v="1286"/>
    <x v="1"/>
    <x v="0"/>
    <x v="1"/>
    <x v="1"/>
    <s v="Medical"/>
    <n v="1"/>
    <x v="0"/>
    <x v="3"/>
    <s v="Single"/>
    <s v="Yes"/>
    <x v="33"/>
    <n v="10"/>
    <s v="Bachelor's Degree"/>
    <n v="3"/>
    <n v="2"/>
    <x v="3"/>
    <n v="4440"/>
    <n v="9"/>
    <x v="1"/>
    <x v="8"/>
    <n v="2"/>
    <n v="1"/>
    <n v="4"/>
    <n v="0"/>
  </r>
  <r>
    <n v="1287"/>
    <x v="1"/>
    <x v="0"/>
    <x v="0"/>
    <x v="1"/>
    <s v="Life Sciences"/>
    <n v="1"/>
    <x v="0"/>
    <x v="3"/>
    <s v="Single"/>
    <s v="Yes"/>
    <x v="32"/>
    <n v="16"/>
    <s v="Bachelor's Degree"/>
    <n v="3"/>
    <n v="3"/>
    <x v="0"/>
    <n v="7945"/>
    <n v="18"/>
    <x v="2"/>
    <x v="9"/>
    <n v="2"/>
    <n v="3"/>
    <n v="3"/>
    <n v="0"/>
  </r>
  <r>
    <n v="1288"/>
    <x v="1"/>
    <x v="0"/>
    <x v="0"/>
    <x v="0"/>
    <s v="Marketing"/>
    <n v="1"/>
    <x v="0"/>
    <x v="0"/>
    <s v="Divorced"/>
    <s v="Yes"/>
    <x v="0"/>
    <n v="4"/>
    <s v="High School"/>
    <n v="3"/>
    <n v="3"/>
    <x v="2"/>
    <n v="10447"/>
    <n v="23"/>
    <x v="3"/>
    <x v="14"/>
    <n v="14"/>
    <n v="13"/>
    <n v="5"/>
    <n v="0"/>
  </r>
  <r>
    <n v="1289"/>
    <x v="1"/>
    <x v="0"/>
    <x v="2"/>
    <x v="0"/>
    <s v="Medical"/>
    <n v="1"/>
    <x v="0"/>
    <x v="0"/>
    <s v="Divorced"/>
    <s v="Yes"/>
    <x v="12"/>
    <n v="10"/>
    <s v="Associates Degree"/>
    <n v="3"/>
    <n v="2"/>
    <x v="0"/>
    <n v="6583"/>
    <n v="8"/>
    <x v="1"/>
    <x v="8"/>
    <n v="2"/>
    <n v="1"/>
    <n v="4"/>
    <n v="0"/>
  </r>
  <r>
    <n v="1290"/>
    <x v="1"/>
    <x v="0"/>
    <x v="0"/>
    <x v="0"/>
    <s v="Life Sciences"/>
    <n v="1"/>
    <x v="0"/>
    <x v="0"/>
    <s v="Married"/>
    <s v="Yes"/>
    <x v="10"/>
    <n v="7"/>
    <s v="Master's Degree"/>
    <n v="3"/>
    <n v="2"/>
    <x v="0"/>
    <n v="5204"/>
    <n v="10"/>
    <x v="1"/>
    <x v="1"/>
    <n v="8"/>
    <n v="0"/>
    <n v="9"/>
    <n v="0"/>
  </r>
  <r>
    <n v="1291"/>
    <x v="1"/>
    <x v="0"/>
    <x v="2"/>
    <x v="0"/>
    <s v="Medical"/>
    <n v="1"/>
    <x v="0"/>
    <x v="0"/>
    <s v="Married"/>
    <s v="Yes"/>
    <x v="13"/>
    <n v="3"/>
    <s v="High School"/>
    <n v="4"/>
    <n v="2"/>
    <x v="0"/>
    <n v="8103"/>
    <n v="9"/>
    <x v="2"/>
    <x v="9"/>
    <n v="2"/>
    <n v="0"/>
    <n v="1"/>
    <n v="0"/>
  </r>
  <r>
    <n v="1292"/>
    <x v="1"/>
    <x v="0"/>
    <x v="0"/>
    <x v="0"/>
    <s v="Technical Degree"/>
    <n v="1"/>
    <x v="0"/>
    <x v="0"/>
    <s v="Married"/>
    <s v="Yes"/>
    <x v="9"/>
    <n v="10"/>
    <s v="Master's Degree"/>
    <n v="2"/>
    <n v="2"/>
    <x v="2"/>
    <n v="5673"/>
    <n v="10"/>
    <x v="1"/>
    <x v="1"/>
    <n v="9"/>
    <n v="1"/>
    <n v="7"/>
    <n v="0"/>
  </r>
  <r>
    <n v="1293"/>
    <x v="1"/>
    <x v="0"/>
    <x v="1"/>
    <x v="0"/>
    <s v="Medical"/>
    <n v="1"/>
    <x v="0"/>
    <x v="0"/>
    <s v="Married"/>
    <s v="Yes"/>
    <x v="40"/>
    <n v="14"/>
    <s v="Bachelor's Degree"/>
    <n v="3"/>
    <n v="2"/>
    <x v="2"/>
    <n v="4591"/>
    <n v="11"/>
    <x v="2"/>
    <x v="8"/>
    <n v="4"/>
    <n v="1"/>
    <n v="2"/>
    <n v="0"/>
  </r>
  <r>
    <n v="1294"/>
    <x v="1"/>
    <x v="0"/>
    <x v="3"/>
    <x v="0"/>
    <s v="Life Sciences"/>
    <n v="1"/>
    <x v="0"/>
    <x v="5"/>
    <s v="Married"/>
    <s v="Yes"/>
    <x v="34"/>
    <n v="21"/>
    <s v="Bachelor's Degree"/>
    <n v="4"/>
    <n v="4"/>
    <x v="0"/>
    <n v="17875"/>
    <n v="29"/>
    <x v="2"/>
    <x v="6"/>
    <n v="0"/>
    <n v="0"/>
    <n v="0"/>
    <n v="0"/>
  </r>
  <r>
    <n v="1295"/>
    <x v="1"/>
    <x v="0"/>
    <x v="4"/>
    <x v="0"/>
    <s v="Medical"/>
    <n v="1"/>
    <x v="0"/>
    <x v="0"/>
    <s v="Married"/>
    <s v="Yes"/>
    <x v="17"/>
    <n v="4"/>
    <s v="High School"/>
    <n v="4"/>
    <n v="2"/>
    <x v="2"/>
    <n v="4162"/>
    <n v="5"/>
    <x v="1"/>
    <x v="8"/>
    <n v="4"/>
    <n v="0"/>
    <n v="3"/>
    <n v="0"/>
  </r>
  <r>
    <n v="1296"/>
    <x v="1"/>
    <x v="0"/>
    <x v="0"/>
    <x v="0"/>
    <s v="Marketing"/>
    <n v="1"/>
    <x v="0"/>
    <x v="0"/>
    <s v="Single"/>
    <s v="Yes"/>
    <x v="9"/>
    <n v="3"/>
    <s v="Master's Degree"/>
    <n v="1"/>
    <n v="2"/>
    <x v="1"/>
    <n v="9278"/>
    <n v="15"/>
    <x v="1"/>
    <x v="8"/>
    <n v="4"/>
    <n v="0"/>
    <n v="1"/>
    <n v="0"/>
  </r>
  <r>
    <n v="1297"/>
    <x v="1"/>
    <x v="2"/>
    <x v="0"/>
    <x v="1"/>
    <s v="Life Sciences"/>
    <n v="1"/>
    <x v="1"/>
    <x v="4"/>
    <s v="Divorced"/>
    <s v="Yes"/>
    <x v="32"/>
    <n v="8"/>
    <s v="Associates Degree"/>
    <n v="4"/>
    <n v="2"/>
    <x v="0"/>
    <n v="4069"/>
    <n v="8"/>
    <x v="1"/>
    <x v="4"/>
    <n v="2"/>
    <n v="2"/>
    <n v="2"/>
    <n v="0"/>
  </r>
  <r>
    <n v="1298"/>
    <x v="1"/>
    <x v="2"/>
    <x v="2"/>
    <x v="1"/>
    <s v="Medical"/>
    <n v="1"/>
    <x v="1"/>
    <x v="1"/>
    <s v="Divorced"/>
    <s v="Yes"/>
    <x v="12"/>
    <n v="3"/>
    <s v="Associates Degree"/>
    <n v="3"/>
    <n v="1"/>
    <x v="3"/>
    <n v="3065"/>
    <n v="4"/>
    <x v="3"/>
    <x v="9"/>
    <n v="2"/>
    <n v="2"/>
    <n v="3"/>
    <n v="0"/>
  </r>
  <r>
    <n v="1299"/>
    <x v="1"/>
    <x v="2"/>
    <x v="0"/>
    <x v="1"/>
    <s v="Life Sciences"/>
    <n v="1"/>
    <x v="1"/>
    <x v="2"/>
    <s v="Married"/>
    <s v="Yes"/>
    <x v="22"/>
    <n v="1"/>
    <s v="Bachelor's Degree"/>
    <n v="4"/>
    <n v="2"/>
    <x v="0"/>
    <n v="6472"/>
    <n v="9"/>
    <x v="1"/>
    <x v="7"/>
    <n v="8"/>
    <n v="5"/>
    <n v="8"/>
    <n v="0"/>
  </r>
  <r>
    <n v="1300"/>
    <x v="1"/>
    <x v="2"/>
    <x v="2"/>
    <x v="0"/>
    <s v="Life Sciences"/>
    <n v="1"/>
    <x v="1"/>
    <x v="0"/>
    <s v="Divorced"/>
    <s v="Yes"/>
    <x v="13"/>
    <n v="10"/>
    <s v="Bachelor's Degree"/>
    <n v="4"/>
    <n v="2"/>
    <x v="2"/>
    <n v="4001"/>
    <n v="15"/>
    <x v="1"/>
    <x v="15"/>
    <n v="14"/>
    <n v="0"/>
    <n v="7"/>
    <n v="0"/>
  </r>
  <r>
    <n v="1301"/>
    <x v="1"/>
    <x v="1"/>
    <x v="0"/>
    <x v="2"/>
    <s v="Human Resources"/>
    <n v="1"/>
    <x v="1"/>
    <x v="8"/>
    <s v="Married"/>
    <s v="Yes"/>
    <x v="20"/>
    <n v="1"/>
    <s v="Doctoral Degree"/>
    <n v="1"/>
    <n v="2"/>
    <x v="0"/>
    <n v="5743"/>
    <n v="14"/>
    <x v="1"/>
    <x v="1"/>
    <n v="7"/>
    <n v="0"/>
    <n v="2"/>
    <n v="0"/>
  </r>
  <r>
    <n v="1302"/>
    <x v="1"/>
    <x v="1"/>
    <x v="0"/>
    <x v="2"/>
    <s v="Other"/>
    <n v="1"/>
    <x v="1"/>
    <x v="8"/>
    <s v="Married"/>
    <s v="Yes"/>
    <x v="8"/>
    <n v="1"/>
    <s v="Master's Degree"/>
    <n v="4"/>
    <n v="1"/>
    <x v="1"/>
    <n v="2991"/>
    <n v="7"/>
    <x v="1"/>
    <x v="0"/>
    <n v="2"/>
    <n v="1"/>
    <n v="2"/>
    <n v="0"/>
  </r>
  <r>
    <n v="1303"/>
    <x v="1"/>
    <x v="1"/>
    <x v="3"/>
    <x v="1"/>
    <s v="Life Sciences"/>
    <n v="1"/>
    <x v="1"/>
    <x v="7"/>
    <s v="Married"/>
    <s v="Yes"/>
    <x v="34"/>
    <n v="15"/>
    <s v="Master's Degree"/>
    <n v="1"/>
    <n v="4"/>
    <x v="2"/>
    <n v="15787"/>
    <n v="23"/>
    <x v="1"/>
    <x v="4"/>
    <n v="2"/>
    <n v="2"/>
    <n v="2"/>
    <n v="0"/>
  </r>
  <r>
    <n v="1304"/>
    <x v="1"/>
    <x v="1"/>
    <x v="2"/>
    <x v="1"/>
    <s v="Other"/>
    <n v="1"/>
    <x v="1"/>
    <x v="1"/>
    <s v="Married"/>
    <s v="Yes"/>
    <x v="13"/>
    <n v="22"/>
    <s v="Master's Degree"/>
    <n v="3"/>
    <n v="2"/>
    <x v="0"/>
    <n v="5747"/>
    <n v="16"/>
    <x v="1"/>
    <x v="15"/>
    <n v="10"/>
    <n v="6"/>
    <n v="11"/>
    <n v="0"/>
  </r>
  <r>
    <n v="1305"/>
    <x v="1"/>
    <x v="1"/>
    <x v="0"/>
    <x v="1"/>
    <s v="Life Sciences"/>
    <n v="1"/>
    <x v="1"/>
    <x v="2"/>
    <s v="Married"/>
    <s v="Yes"/>
    <x v="9"/>
    <n v="6"/>
    <s v="Master's Degree"/>
    <n v="1"/>
    <n v="2"/>
    <x v="3"/>
    <n v="5562"/>
    <n v="9"/>
    <x v="1"/>
    <x v="11"/>
    <n v="2"/>
    <n v="0"/>
    <n v="2"/>
    <n v="0"/>
  </r>
  <r>
    <n v="1306"/>
    <x v="1"/>
    <x v="1"/>
    <x v="1"/>
    <x v="1"/>
    <s v="Medical"/>
    <n v="1"/>
    <x v="1"/>
    <x v="4"/>
    <s v="Married"/>
    <s v="Yes"/>
    <x v="24"/>
    <n v="20"/>
    <s v="Doctoral Degree"/>
    <n v="2"/>
    <n v="4"/>
    <x v="2"/>
    <n v="11245"/>
    <n v="32"/>
    <x v="1"/>
    <x v="35"/>
    <n v="8"/>
    <n v="12"/>
    <n v="13"/>
    <n v="0"/>
  </r>
  <r>
    <n v="1307"/>
    <x v="1"/>
    <x v="1"/>
    <x v="0"/>
    <x v="1"/>
    <s v="Life Sciences"/>
    <n v="1"/>
    <x v="1"/>
    <x v="4"/>
    <s v="Married"/>
    <s v="Yes"/>
    <x v="19"/>
    <n v="2"/>
    <s v="Bachelor's Degree"/>
    <n v="4"/>
    <n v="3"/>
    <x v="0"/>
    <n v="10124"/>
    <n v="24"/>
    <x v="0"/>
    <x v="23"/>
    <n v="8"/>
    <n v="13"/>
    <n v="9"/>
    <n v="0"/>
  </r>
  <r>
    <n v="1308"/>
    <x v="1"/>
    <x v="1"/>
    <x v="0"/>
    <x v="1"/>
    <s v="Life Sciences"/>
    <n v="1"/>
    <x v="1"/>
    <x v="4"/>
    <s v="Married"/>
    <s v="Yes"/>
    <x v="10"/>
    <n v="18"/>
    <s v="Master's Degree"/>
    <n v="3"/>
    <n v="2"/>
    <x v="2"/>
    <n v="5689"/>
    <n v="10"/>
    <x v="3"/>
    <x v="1"/>
    <n v="2"/>
    <n v="0"/>
    <n v="2"/>
    <n v="0"/>
  </r>
  <r>
    <n v="1309"/>
    <x v="1"/>
    <x v="1"/>
    <x v="0"/>
    <x v="1"/>
    <s v="Medical"/>
    <n v="1"/>
    <x v="1"/>
    <x v="1"/>
    <s v="Single"/>
    <s v="Yes"/>
    <x v="10"/>
    <n v="2"/>
    <s v="Master's Degree"/>
    <n v="1"/>
    <n v="1"/>
    <x v="0"/>
    <n v="4930"/>
    <n v="6"/>
    <x v="3"/>
    <x v="8"/>
    <n v="4"/>
    <n v="1"/>
    <n v="4"/>
    <n v="0"/>
  </r>
  <r>
    <n v="1310"/>
    <x v="1"/>
    <x v="1"/>
    <x v="0"/>
    <x v="1"/>
    <s v="Medical"/>
    <n v="1"/>
    <x v="1"/>
    <x v="3"/>
    <s v="Single"/>
    <s v="Yes"/>
    <x v="20"/>
    <n v="2"/>
    <s v="High School"/>
    <n v="2"/>
    <n v="3"/>
    <x v="2"/>
    <n v="10209"/>
    <n v="16"/>
    <x v="2"/>
    <x v="4"/>
    <n v="2"/>
    <n v="2"/>
    <n v="2"/>
    <n v="0"/>
  </r>
  <r>
    <n v="1311"/>
    <x v="1"/>
    <x v="1"/>
    <x v="1"/>
    <x v="1"/>
    <s v="Medical"/>
    <n v="1"/>
    <x v="1"/>
    <x v="7"/>
    <s v="Single"/>
    <s v="Yes"/>
    <x v="24"/>
    <n v="22"/>
    <s v="Doctoral Degree"/>
    <n v="3"/>
    <n v="4"/>
    <x v="0"/>
    <n v="14411"/>
    <n v="32"/>
    <x v="1"/>
    <x v="32"/>
    <n v="6"/>
    <n v="13"/>
    <n v="9"/>
    <n v="0"/>
  </r>
  <r>
    <n v="1312"/>
    <x v="1"/>
    <x v="1"/>
    <x v="2"/>
    <x v="1"/>
    <s v="Life Sciences"/>
    <n v="1"/>
    <x v="1"/>
    <x v="4"/>
    <s v="Single"/>
    <s v="Yes"/>
    <x v="11"/>
    <n v="1"/>
    <s v="Bachelor's Degree"/>
    <n v="4"/>
    <n v="2"/>
    <x v="2"/>
    <n v="6294"/>
    <n v="10"/>
    <x v="3"/>
    <x v="11"/>
    <n v="2"/>
    <n v="0"/>
    <n v="2"/>
    <n v="0"/>
  </r>
  <r>
    <n v="1313"/>
    <x v="1"/>
    <x v="1"/>
    <x v="2"/>
    <x v="0"/>
    <s v="Life Sciences"/>
    <n v="1"/>
    <x v="1"/>
    <x v="0"/>
    <s v="Married"/>
    <s v="Yes"/>
    <x v="14"/>
    <n v="1"/>
    <s v="Associates Degree"/>
    <n v="3"/>
    <n v="2"/>
    <x v="0"/>
    <n v="6834"/>
    <n v="7"/>
    <x v="1"/>
    <x v="5"/>
    <n v="7"/>
    <n v="0"/>
    <n v="7"/>
    <n v="0"/>
  </r>
  <r>
    <n v="1314"/>
    <x v="1"/>
    <x v="0"/>
    <x v="3"/>
    <x v="2"/>
    <s v="Human Resources"/>
    <n v="1"/>
    <x v="1"/>
    <x v="5"/>
    <s v="Married"/>
    <s v="Yes"/>
    <x v="27"/>
    <n v="26"/>
    <s v="Master's Degree"/>
    <n v="3"/>
    <n v="5"/>
    <x v="1"/>
    <n v="19636"/>
    <n v="35"/>
    <x v="1"/>
    <x v="1"/>
    <n v="9"/>
    <n v="1"/>
    <n v="4"/>
    <n v="0"/>
  </r>
  <r>
    <n v="1315"/>
    <x v="1"/>
    <x v="0"/>
    <x v="1"/>
    <x v="1"/>
    <s v="Medical"/>
    <n v="1"/>
    <x v="1"/>
    <x v="4"/>
    <s v="Divorced"/>
    <s v="Yes"/>
    <x v="28"/>
    <n v="20"/>
    <s v="Bachelor's Degree"/>
    <n v="2"/>
    <n v="3"/>
    <x v="3"/>
    <n v="10851"/>
    <n v="24"/>
    <x v="1"/>
    <x v="5"/>
    <n v="7"/>
    <n v="0"/>
    <n v="7"/>
    <n v="0"/>
  </r>
  <r>
    <n v="1316"/>
    <x v="1"/>
    <x v="0"/>
    <x v="1"/>
    <x v="1"/>
    <s v="Medical"/>
    <n v="1"/>
    <x v="1"/>
    <x v="7"/>
    <s v="Divorced"/>
    <s v="Yes"/>
    <x v="21"/>
    <n v="2"/>
    <s v="Master's Degree"/>
    <n v="3"/>
    <n v="5"/>
    <x v="0"/>
    <n v="19328"/>
    <n v="24"/>
    <x v="1"/>
    <x v="4"/>
    <n v="1"/>
    <n v="2"/>
    <n v="2"/>
    <n v="0"/>
  </r>
  <r>
    <n v="1317"/>
    <x v="1"/>
    <x v="0"/>
    <x v="0"/>
    <x v="1"/>
    <s v="Life Sciences"/>
    <n v="1"/>
    <x v="1"/>
    <x v="1"/>
    <s v="Divorced"/>
    <s v="Yes"/>
    <x v="19"/>
    <n v="18"/>
    <s v="Master's Degree"/>
    <n v="4"/>
    <n v="2"/>
    <x v="3"/>
    <n v="5410"/>
    <n v="9"/>
    <x v="2"/>
    <x v="9"/>
    <n v="3"/>
    <n v="1"/>
    <n v="2"/>
    <n v="0"/>
  </r>
  <r>
    <n v="1318"/>
    <x v="1"/>
    <x v="0"/>
    <x v="2"/>
    <x v="1"/>
    <s v="Other"/>
    <n v="1"/>
    <x v="1"/>
    <x v="2"/>
    <s v="Divorced"/>
    <s v="Yes"/>
    <x v="36"/>
    <n v="2"/>
    <s v="High School"/>
    <n v="4"/>
    <n v="1"/>
    <x v="2"/>
    <n v="3977"/>
    <n v="7"/>
    <x v="2"/>
    <x v="4"/>
    <n v="2"/>
    <n v="0"/>
    <n v="2"/>
    <n v="0"/>
  </r>
  <r>
    <n v="1319"/>
    <x v="1"/>
    <x v="0"/>
    <x v="0"/>
    <x v="1"/>
    <s v="Medical"/>
    <n v="1"/>
    <x v="1"/>
    <x v="1"/>
    <s v="Married"/>
    <s v="Yes"/>
    <x v="0"/>
    <n v="5"/>
    <s v="Doctoral Degree"/>
    <n v="2"/>
    <n v="1"/>
    <x v="2"/>
    <n v="2127"/>
    <n v="7"/>
    <x v="2"/>
    <x v="9"/>
    <n v="2"/>
    <n v="0"/>
    <n v="3"/>
    <n v="0"/>
  </r>
  <r>
    <n v="1320"/>
    <x v="1"/>
    <x v="0"/>
    <x v="3"/>
    <x v="1"/>
    <s v="Life Sciences"/>
    <n v="1"/>
    <x v="1"/>
    <x v="4"/>
    <s v="Married"/>
    <s v="Yes"/>
    <x v="27"/>
    <n v="4"/>
    <s v="Master's Degree"/>
    <n v="4"/>
    <n v="2"/>
    <x v="2"/>
    <n v="4035"/>
    <n v="4"/>
    <x v="1"/>
    <x v="11"/>
    <n v="2"/>
    <n v="1"/>
    <n v="2"/>
    <n v="0"/>
  </r>
  <r>
    <n v="1321"/>
    <x v="1"/>
    <x v="0"/>
    <x v="0"/>
    <x v="1"/>
    <s v="Medical"/>
    <n v="1"/>
    <x v="1"/>
    <x v="4"/>
    <s v="Married"/>
    <s v="Yes"/>
    <x v="8"/>
    <n v="18"/>
    <s v="Bachelor's Degree"/>
    <n v="2"/>
    <n v="2"/>
    <x v="0"/>
    <n v="5811"/>
    <n v="15"/>
    <x v="1"/>
    <x v="6"/>
    <n v="0"/>
    <n v="1"/>
    <n v="0"/>
    <n v="0"/>
  </r>
  <r>
    <n v="1322"/>
    <x v="1"/>
    <x v="0"/>
    <x v="2"/>
    <x v="1"/>
    <s v="Life Sciences"/>
    <n v="1"/>
    <x v="1"/>
    <x v="2"/>
    <s v="Married"/>
    <s v="Yes"/>
    <x v="3"/>
    <n v="28"/>
    <s v="Master's Degree"/>
    <n v="2"/>
    <n v="2"/>
    <x v="2"/>
    <n v="5207"/>
    <n v="15"/>
    <x v="1"/>
    <x v="15"/>
    <n v="14"/>
    <n v="5"/>
    <n v="7"/>
    <n v="0"/>
  </r>
  <r>
    <n v="1323"/>
    <x v="1"/>
    <x v="0"/>
    <x v="2"/>
    <x v="1"/>
    <s v="Other"/>
    <n v="1"/>
    <x v="1"/>
    <x v="2"/>
    <s v="Married"/>
    <s v="Yes"/>
    <x v="11"/>
    <n v="13"/>
    <s v="Associates Degree"/>
    <n v="4"/>
    <n v="2"/>
    <x v="1"/>
    <n v="4025"/>
    <n v="10"/>
    <x v="1"/>
    <x v="9"/>
    <n v="3"/>
    <n v="0"/>
    <n v="3"/>
    <n v="0"/>
  </r>
  <r>
    <n v="1324"/>
    <x v="1"/>
    <x v="0"/>
    <x v="0"/>
    <x v="1"/>
    <s v="Life Sciences"/>
    <n v="1"/>
    <x v="1"/>
    <x v="4"/>
    <s v="Married"/>
    <s v="Yes"/>
    <x v="9"/>
    <n v="10"/>
    <s v="Bachelor's Degree"/>
    <n v="4"/>
    <n v="3"/>
    <x v="3"/>
    <n v="8321"/>
    <n v="15"/>
    <x v="1"/>
    <x v="12"/>
    <n v="8"/>
    <n v="5"/>
    <n v="7"/>
    <n v="0"/>
  </r>
  <r>
    <n v="1325"/>
    <x v="1"/>
    <x v="0"/>
    <x v="0"/>
    <x v="1"/>
    <s v="Medical"/>
    <n v="1"/>
    <x v="1"/>
    <x v="2"/>
    <s v="Married"/>
    <s v="Yes"/>
    <x v="10"/>
    <n v="11"/>
    <s v="Master's Degree"/>
    <n v="4"/>
    <n v="1"/>
    <x v="2"/>
    <n v="2660"/>
    <n v="5"/>
    <x v="1"/>
    <x v="4"/>
    <n v="2"/>
    <n v="2"/>
    <n v="2"/>
    <n v="0"/>
  </r>
  <r>
    <n v="1326"/>
    <x v="1"/>
    <x v="0"/>
    <x v="1"/>
    <x v="1"/>
    <s v="Technical Degree"/>
    <n v="1"/>
    <x v="1"/>
    <x v="3"/>
    <s v="Married"/>
    <s v="Yes"/>
    <x v="28"/>
    <n v="29"/>
    <s v="Bachelor's Degree"/>
    <n v="2"/>
    <n v="3"/>
    <x v="0"/>
    <n v="9380"/>
    <n v="10"/>
    <x v="3"/>
    <x v="11"/>
    <n v="1"/>
    <n v="1"/>
    <n v="2"/>
    <n v="0"/>
  </r>
  <r>
    <n v="1327"/>
    <x v="1"/>
    <x v="0"/>
    <x v="2"/>
    <x v="1"/>
    <s v="Medical"/>
    <n v="1"/>
    <x v="1"/>
    <x v="1"/>
    <s v="Married"/>
    <s v="Yes"/>
    <x v="13"/>
    <n v="2"/>
    <s v="Master's Degree"/>
    <n v="4"/>
    <n v="1"/>
    <x v="0"/>
    <n v="2932"/>
    <n v="6"/>
    <x v="1"/>
    <x v="8"/>
    <n v="0"/>
    <n v="1"/>
    <n v="2"/>
    <n v="0"/>
  </r>
  <r>
    <n v="1328"/>
    <x v="1"/>
    <x v="0"/>
    <x v="2"/>
    <x v="1"/>
    <s v="Medical"/>
    <n v="1"/>
    <x v="1"/>
    <x v="2"/>
    <s v="Single"/>
    <s v="Yes"/>
    <x v="11"/>
    <n v="3"/>
    <s v="High School"/>
    <n v="2"/>
    <n v="1"/>
    <x v="3"/>
    <n v="4723"/>
    <n v="10"/>
    <x v="1"/>
    <x v="1"/>
    <n v="9"/>
    <n v="1"/>
    <n v="5"/>
    <n v="0"/>
  </r>
  <r>
    <n v="1329"/>
    <x v="1"/>
    <x v="0"/>
    <x v="0"/>
    <x v="1"/>
    <s v="Medical"/>
    <n v="1"/>
    <x v="1"/>
    <x v="1"/>
    <s v="Single"/>
    <s v="Yes"/>
    <x v="20"/>
    <n v="1"/>
    <s v="Bachelor's Degree"/>
    <n v="2"/>
    <n v="1"/>
    <x v="0"/>
    <n v="2436"/>
    <n v="6"/>
    <x v="1"/>
    <x v="9"/>
    <n v="3"/>
    <n v="1"/>
    <n v="2"/>
    <n v="0"/>
  </r>
  <r>
    <n v="1330"/>
    <x v="1"/>
    <x v="0"/>
    <x v="2"/>
    <x v="1"/>
    <s v="Life Sciences"/>
    <n v="1"/>
    <x v="1"/>
    <x v="4"/>
    <s v="Single"/>
    <s v="Yes"/>
    <x v="3"/>
    <n v="8"/>
    <s v="Doctoral Degree"/>
    <n v="4"/>
    <n v="2"/>
    <x v="2"/>
    <n v="6388"/>
    <n v="14"/>
    <x v="1"/>
    <x v="2"/>
    <n v="0"/>
    <n v="0"/>
    <n v="0"/>
    <n v="0"/>
  </r>
  <r>
    <n v="1331"/>
    <x v="1"/>
    <x v="0"/>
    <x v="2"/>
    <x v="0"/>
    <s v="Medical"/>
    <n v="1"/>
    <x v="1"/>
    <x v="0"/>
    <s v="Divorced"/>
    <s v="Yes"/>
    <x v="11"/>
    <n v="5"/>
    <s v="Bachelor's Degree"/>
    <n v="1"/>
    <n v="2"/>
    <x v="1"/>
    <n v="4187"/>
    <n v="10"/>
    <x v="2"/>
    <x v="1"/>
    <n v="0"/>
    <n v="0"/>
    <n v="9"/>
    <n v="0"/>
  </r>
  <r>
    <n v="1332"/>
    <x v="1"/>
    <x v="0"/>
    <x v="1"/>
    <x v="0"/>
    <s v="Life Sciences"/>
    <n v="1"/>
    <x v="1"/>
    <x v="0"/>
    <s v="Divorced"/>
    <s v="Yes"/>
    <x v="21"/>
    <n v="2"/>
    <s v="Bachelor's Degree"/>
    <n v="3"/>
    <n v="3"/>
    <x v="0"/>
    <n v="10368"/>
    <n v="13"/>
    <x v="2"/>
    <x v="1"/>
    <n v="6"/>
    <n v="0"/>
    <n v="3"/>
    <n v="0"/>
  </r>
  <r>
    <n v="1333"/>
    <x v="1"/>
    <x v="0"/>
    <x v="0"/>
    <x v="0"/>
    <s v="Marketing"/>
    <n v="1"/>
    <x v="1"/>
    <x v="0"/>
    <s v="Divorced"/>
    <s v="Yes"/>
    <x v="19"/>
    <n v="12"/>
    <s v="Master's Degree"/>
    <n v="2"/>
    <n v="2"/>
    <x v="0"/>
    <n v="5087"/>
    <n v="14"/>
    <x v="1"/>
    <x v="2"/>
    <n v="0"/>
    <n v="0"/>
    <n v="0"/>
    <n v="0"/>
  </r>
  <r>
    <n v="1334"/>
    <x v="1"/>
    <x v="0"/>
    <x v="2"/>
    <x v="0"/>
    <s v="Technical Degree"/>
    <n v="1"/>
    <x v="1"/>
    <x v="0"/>
    <s v="Married"/>
    <s v="Yes"/>
    <x v="13"/>
    <n v="1"/>
    <s v="Bachelor's Degree"/>
    <n v="4"/>
    <n v="3"/>
    <x v="2"/>
    <n v="7083"/>
    <n v="10"/>
    <x v="1"/>
    <x v="1"/>
    <n v="9"/>
    <n v="8"/>
    <n v="6"/>
    <n v="0"/>
  </r>
  <r>
    <n v="1335"/>
    <x v="1"/>
    <x v="0"/>
    <x v="1"/>
    <x v="0"/>
    <s v="Marketing"/>
    <n v="1"/>
    <x v="1"/>
    <x v="5"/>
    <s v="Married"/>
    <s v="Yes"/>
    <x v="24"/>
    <n v="9"/>
    <s v="Bachelor's Degree"/>
    <n v="3"/>
    <n v="5"/>
    <x v="2"/>
    <n v="19331"/>
    <n v="27"/>
    <x v="1"/>
    <x v="6"/>
    <n v="0"/>
    <n v="0"/>
    <n v="0"/>
    <n v="0"/>
  </r>
  <r>
    <n v="1336"/>
    <x v="1"/>
    <x v="0"/>
    <x v="0"/>
    <x v="0"/>
    <s v="Medical"/>
    <n v="1"/>
    <x v="1"/>
    <x v="0"/>
    <s v="Married"/>
    <s v="Yes"/>
    <x v="23"/>
    <n v="2"/>
    <s v="Bachelor's Degree"/>
    <n v="4"/>
    <n v="2"/>
    <x v="0"/>
    <n v="7847"/>
    <n v="10"/>
    <x v="1"/>
    <x v="1"/>
    <n v="9"/>
    <n v="8"/>
    <n v="8"/>
    <n v="0"/>
  </r>
  <r>
    <n v="1337"/>
    <x v="1"/>
    <x v="0"/>
    <x v="2"/>
    <x v="0"/>
    <s v="Life Sciences"/>
    <n v="1"/>
    <x v="1"/>
    <x v="0"/>
    <s v="Married"/>
    <s v="Yes"/>
    <x v="13"/>
    <n v="4"/>
    <s v="Bachelor's Degree"/>
    <n v="3"/>
    <n v="3"/>
    <x v="0"/>
    <n v="9713"/>
    <n v="9"/>
    <x v="1"/>
    <x v="8"/>
    <n v="3"/>
    <n v="1"/>
    <n v="0"/>
    <n v="0"/>
  </r>
  <r>
    <n v="1338"/>
    <x v="1"/>
    <x v="0"/>
    <x v="4"/>
    <x v="0"/>
    <s v="Medical"/>
    <n v="1"/>
    <x v="1"/>
    <x v="6"/>
    <s v="Single"/>
    <s v="Yes"/>
    <x v="18"/>
    <n v="5"/>
    <s v="High School"/>
    <n v="3"/>
    <n v="1"/>
    <x v="3"/>
    <n v="2380"/>
    <n v="2"/>
    <x v="1"/>
    <x v="4"/>
    <n v="2"/>
    <n v="1"/>
    <n v="2"/>
    <n v="0"/>
  </r>
  <r>
    <n v="1339"/>
    <x v="1"/>
    <x v="0"/>
    <x v="0"/>
    <x v="0"/>
    <s v="Life Sciences"/>
    <n v="1"/>
    <x v="1"/>
    <x v="0"/>
    <s v="Single"/>
    <s v="Yes"/>
    <x v="0"/>
    <n v="23"/>
    <s v="Associates Degree"/>
    <n v="4"/>
    <n v="3"/>
    <x v="2"/>
    <n v="7082"/>
    <n v="21"/>
    <x v="1"/>
    <x v="4"/>
    <n v="0"/>
    <n v="0"/>
    <n v="2"/>
    <n v="0"/>
  </r>
  <r>
    <n v="1340"/>
    <x v="1"/>
    <x v="2"/>
    <x v="2"/>
    <x v="1"/>
    <s v="Medical"/>
    <n v="1"/>
    <x v="0"/>
    <x v="7"/>
    <s v="Married"/>
    <s v="No"/>
    <x v="12"/>
    <n v="10"/>
    <s v="Bachelor's Degree"/>
    <n v="3"/>
    <n v="3"/>
    <x v="2"/>
    <n v="11031"/>
    <n v="13"/>
    <x v="3"/>
    <x v="19"/>
    <n v="7"/>
    <n v="4"/>
    <n v="8"/>
    <n v="0"/>
  </r>
  <r>
    <n v="1341"/>
    <x v="1"/>
    <x v="2"/>
    <x v="1"/>
    <x v="0"/>
    <s v="Life Sciences"/>
    <n v="1"/>
    <x v="0"/>
    <x v="0"/>
    <s v="Married"/>
    <s v="No"/>
    <x v="28"/>
    <n v="2"/>
    <s v="Master's Degree"/>
    <n v="3"/>
    <n v="2"/>
    <x v="2"/>
    <n v="5154"/>
    <n v="10"/>
    <x v="3"/>
    <x v="3"/>
    <n v="7"/>
    <n v="5"/>
    <n v="7"/>
    <n v="0"/>
  </r>
  <r>
    <n v="1342"/>
    <x v="1"/>
    <x v="1"/>
    <x v="1"/>
    <x v="1"/>
    <s v="Medical"/>
    <n v="1"/>
    <x v="0"/>
    <x v="5"/>
    <s v="Divorced"/>
    <s v="No"/>
    <x v="33"/>
    <n v="11"/>
    <s v="Master's Degree"/>
    <n v="2"/>
    <n v="4"/>
    <x v="0"/>
    <n v="16032"/>
    <n v="26"/>
    <x v="1"/>
    <x v="13"/>
    <n v="9"/>
    <n v="1"/>
    <n v="12"/>
    <n v="0"/>
  </r>
  <r>
    <n v="1343"/>
    <x v="1"/>
    <x v="1"/>
    <x v="0"/>
    <x v="1"/>
    <s v="Medical"/>
    <n v="1"/>
    <x v="0"/>
    <x v="2"/>
    <s v="Single"/>
    <s v="No"/>
    <x v="8"/>
    <n v="2"/>
    <s v="Bachelor's Degree"/>
    <n v="4"/>
    <n v="1"/>
    <x v="1"/>
    <n v="2440"/>
    <n v="4"/>
    <x v="1"/>
    <x v="9"/>
    <n v="3"/>
    <n v="3"/>
    <n v="3"/>
    <n v="0"/>
  </r>
  <r>
    <n v="1344"/>
    <x v="1"/>
    <x v="1"/>
    <x v="2"/>
    <x v="1"/>
    <s v="Technical Degree"/>
    <n v="1"/>
    <x v="0"/>
    <x v="3"/>
    <s v="Single"/>
    <s v="No"/>
    <x v="12"/>
    <n v="24"/>
    <s v="High School"/>
    <n v="4"/>
    <n v="2"/>
    <x v="0"/>
    <n v="5238"/>
    <n v="9"/>
    <x v="2"/>
    <x v="8"/>
    <n v="4"/>
    <n v="1"/>
    <n v="4"/>
    <n v="0"/>
  </r>
  <r>
    <n v="1345"/>
    <x v="1"/>
    <x v="0"/>
    <x v="1"/>
    <x v="2"/>
    <s v="Life Sciences"/>
    <n v="1"/>
    <x v="0"/>
    <x v="8"/>
    <s v="Married"/>
    <s v="No"/>
    <x v="28"/>
    <n v="4"/>
    <s v="Bachelor's Degree"/>
    <n v="3"/>
    <n v="3"/>
    <x v="2"/>
    <n v="9756"/>
    <n v="9"/>
    <x v="3"/>
    <x v="8"/>
    <n v="0"/>
    <n v="0"/>
    <n v="3"/>
    <n v="0"/>
  </r>
  <r>
    <n v="1346"/>
    <x v="1"/>
    <x v="0"/>
    <x v="2"/>
    <x v="1"/>
    <s v="Medical"/>
    <n v="1"/>
    <x v="0"/>
    <x v="3"/>
    <s v="Divorced"/>
    <s v="No"/>
    <x v="14"/>
    <n v="27"/>
    <s v="Bachelor's Degree"/>
    <n v="2"/>
    <n v="2"/>
    <x v="3"/>
    <n v="4877"/>
    <n v="6"/>
    <x v="2"/>
    <x v="8"/>
    <n v="3"/>
    <n v="0"/>
    <n v="0"/>
    <n v="0"/>
  </r>
  <r>
    <n v="1347"/>
    <x v="1"/>
    <x v="0"/>
    <x v="2"/>
    <x v="1"/>
    <s v="Life Sciences"/>
    <n v="1"/>
    <x v="0"/>
    <x v="1"/>
    <s v="Married"/>
    <s v="No"/>
    <x v="25"/>
    <n v="3"/>
    <s v="Bachelor's Degree"/>
    <n v="1"/>
    <n v="1"/>
    <x v="0"/>
    <n v="2061"/>
    <n v="1"/>
    <x v="1"/>
    <x v="6"/>
    <n v="0"/>
    <n v="0"/>
    <n v="0"/>
    <n v="0"/>
  </r>
  <r>
    <n v="1348"/>
    <x v="1"/>
    <x v="0"/>
    <x v="0"/>
    <x v="1"/>
    <s v="Life Sciences"/>
    <n v="1"/>
    <x v="0"/>
    <x v="3"/>
    <s v="Married"/>
    <s v="No"/>
    <x v="0"/>
    <n v="28"/>
    <s v="Master's Degree"/>
    <n v="1"/>
    <n v="4"/>
    <x v="1"/>
    <n v="13570"/>
    <n v="21"/>
    <x v="1"/>
    <x v="23"/>
    <n v="7"/>
    <n v="0"/>
    <n v="10"/>
    <n v="0"/>
  </r>
  <r>
    <n v="1349"/>
    <x v="1"/>
    <x v="0"/>
    <x v="3"/>
    <x v="1"/>
    <s v="Life Sciences"/>
    <n v="1"/>
    <x v="0"/>
    <x v="1"/>
    <s v="Married"/>
    <s v="No"/>
    <x v="29"/>
    <n v="1"/>
    <s v="Associates Degree"/>
    <n v="1"/>
    <n v="1"/>
    <x v="3"/>
    <n v="2066"/>
    <n v="5"/>
    <x v="3"/>
    <x v="11"/>
    <n v="2"/>
    <n v="1"/>
    <n v="0"/>
    <n v="0"/>
  </r>
  <r>
    <n v="1350"/>
    <x v="1"/>
    <x v="0"/>
    <x v="1"/>
    <x v="1"/>
    <s v="Medical"/>
    <n v="1"/>
    <x v="0"/>
    <x v="5"/>
    <s v="Married"/>
    <s v="No"/>
    <x v="33"/>
    <n v="22"/>
    <s v="Doctoral Degree"/>
    <n v="2"/>
    <n v="4"/>
    <x v="2"/>
    <n v="17426"/>
    <n v="36"/>
    <x v="1"/>
    <x v="1"/>
    <n v="8"/>
    <n v="4"/>
    <n v="7"/>
    <n v="0"/>
  </r>
  <r>
    <n v="1351"/>
    <x v="1"/>
    <x v="0"/>
    <x v="1"/>
    <x v="1"/>
    <s v="Medical"/>
    <n v="1"/>
    <x v="0"/>
    <x v="2"/>
    <s v="Married"/>
    <s v="No"/>
    <x v="1"/>
    <n v="3"/>
    <s v="Associates Degree"/>
    <n v="3"/>
    <n v="2"/>
    <x v="3"/>
    <n v="4789"/>
    <n v="10"/>
    <x v="1"/>
    <x v="11"/>
    <n v="2"/>
    <n v="1"/>
    <n v="2"/>
    <n v="0"/>
  </r>
  <r>
    <n v="1352"/>
    <x v="1"/>
    <x v="0"/>
    <x v="2"/>
    <x v="1"/>
    <s v="Medical"/>
    <n v="1"/>
    <x v="0"/>
    <x v="1"/>
    <s v="Married"/>
    <s v="No"/>
    <x v="14"/>
    <n v="1"/>
    <s v="Bachelor's Degree"/>
    <n v="3"/>
    <n v="1"/>
    <x v="3"/>
    <n v="3591"/>
    <n v="3"/>
    <x v="1"/>
    <x v="11"/>
    <n v="2"/>
    <n v="1"/>
    <n v="2"/>
    <n v="0"/>
  </r>
  <r>
    <n v="1353"/>
    <x v="1"/>
    <x v="0"/>
    <x v="2"/>
    <x v="0"/>
    <s v="Medical"/>
    <n v="1"/>
    <x v="0"/>
    <x v="6"/>
    <s v="Married"/>
    <s v="No"/>
    <x v="4"/>
    <n v="23"/>
    <s v="High School"/>
    <n v="2"/>
    <n v="2"/>
    <x v="2"/>
    <n v="3540"/>
    <n v="9"/>
    <x v="1"/>
    <x v="7"/>
    <n v="8"/>
    <n v="5"/>
    <n v="8"/>
    <n v="0"/>
  </r>
  <r>
    <n v="1354"/>
    <x v="1"/>
    <x v="0"/>
    <x v="0"/>
    <x v="0"/>
    <s v="Marketing"/>
    <n v="1"/>
    <x v="0"/>
    <x v="0"/>
    <s v="Married"/>
    <s v="No"/>
    <x v="0"/>
    <n v="8"/>
    <s v="Bachelor's Degree"/>
    <n v="3"/>
    <n v="2"/>
    <x v="1"/>
    <n v="4393"/>
    <n v="14"/>
    <x v="1"/>
    <x v="8"/>
    <n v="4"/>
    <n v="1"/>
    <n v="4"/>
    <n v="0"/>
  </r>
  <r>
    <n v="1355"/>
    <x v="1"/>
    <x v="0"/>
    <x v="0"/>
    <x v="0"/>
    <s v="Life Sciences"/>
    <n v="1"/>
    <x v="0"/>
    <x v="6"/>
    <s v="Married"/>
    <s v="No"/>
    <x v="10"/>
    <n v="28"/>
    <s v="Master's Degree"/>
    <n v="2"/>
    <n v="1"/>
    <x v="2"/>
    <n v="2430"/>
    <n v="6"/>
    <x v="1"/>
    <x v="8"/>
    <n v="3"/>
    <n v="4"/>
    <n v="2"/>
    <n v="0"/>
  </r>
  <r>
    <n v="1356"/>
    <x v="1"/>
    <x v="0"/>
    <x v="2"/>
    <x v="0"/>
    <s v="Marketing"/>
    <n v="1"/>
    <x v="0"/>
    <x v="0"/>
    <s v="Married"/>
    <s v="No"/>
    <x v="13"/>
    <n v="28"/>
    <s v="Bachelor's Degree"/>
    <n v="4"/>
    <n v="2"/>
    <x v="2"/>
    <n v="6712"/>
    <n v="8"/>
    <x v="1"/>
    <x v="3"/>
    <n v="7"/>
    <n v="1"/>
    <n v="7"/>
    <n v="0"/>
  </r>
  <r>
    <n v="1357"/>
    <x v="1"/>
    <x v="2"/>
    <x v="3"/>
    <x v="1"/>
    <s v="Life Sciences"/>
    <n v="1"/>
    <x v="1"/>
    <x v="4"/>
    <s v="Divorced"/>
    <s v="No"/>
    <x v="29"/>
    <n v="1"/>
    <s v="Master's Degree"/>
    <n v="3"/>
    <n v="2"/>
    <x v="2"/>
    <n v="6306"/>
    <n v="13"/>
    <x v="2"/>
    <x v="20"/>
    <n v="12"/>
    <n v="1"/>
    <n v="9"/>
    <n v="0"/>
  </r>
  <r>
    <n v="1358"/>
    <x v="1"/>
    <x v="2"/>
    <x v="0"/>
    <x v="1"/>
    <s v="Life Sciences"/>
    <n v="1"/>
    <x v="1"/>
    <x v="2"/>
    <s v="Married"/>
    <s v="No"/>
    <x v="9"/>
    <n v="9"/>
    <s v="Master's Degree"/>
    <n v="1"/>
    <n v="1"/>
    <x v="1"/>
    <n v="2810"/>
    <n v="5"/>
    <x v="1"/>
    <x v="8"/>
    <n v="4"/>
    <n v="0"/>
    <n v="2"/>
    <n v="0"/>
  </r>
  <r>
    <n v="1359"/>
    <x v="1"/>
    <x v="2"/>
    <x v="1"/>
    <x v="1"/>
    <s v="Life Sciences"/>
    <n v="1"/>
    <x v="1"/>
    <x v="4"/>
    <s v="Married"/>
    <s v="No"/>
    <x v="28"/>
    <n v="1"/>
    <s v="High School"/>
    <n v="3"/>
    <n v="3"/>
    <x v="2"/>
    <n v="10748"/>
    <n v="25"/>
    <x v="2"/>
    <x v="36"/>
    <n v="15"/>
    <n v="14"/>
    <n v="4"/>
    <n v="0"/>
  </r>
  <r>
    <n v="1360"/>
    <x v="1"/>
    <x v="2"/>
    <x v="0"/>
    <x v="1"/>
    <s v="Technical Degree"/>
    <n v="1"/>
    <x v="1"/>
    <x v="1"/>
    <s v="Married"/>
    <s v="No"/>
    <x v="19"/>
    <n v="10"/>
    <s v="Master's Degree"/>
    <n v="3"/>
    <n v="1"/>
    <x v="2"/>
    <n v="2936"/>
    <n v="10"/>
    <x v="2"/>
    <x v="0"/>
    <n v="3"/>
    <n v="3"/>
    <n v="3"/>
    <n v="0"/>
  </r>
  <r>
    <n v="1361"/>
    <x v="1"/>
    <x v="2"/>
    <x v="2"/>
    <x v="1"/>
    <s v="Medical"/>
    <n v="1"/>
    <x v="1"/>
    <x v="2"/>
    <s v="Single"/>
    <s v="No"/>
    <x v="25"/>
    <n v="7"/>
    <s v="Bachelor's Degree"/>
    <n v="4"/>
    <n v="1"/>
    <x v="0"/>
    <n v="2570"/>
    <n v="7"/>
    <x v="1"/>
    <x v="5"/>
    <n v="7"/>
    <n v="5"/>
    <n v="7"/>
    <n v="0"/>
  </r>
  <r>
    <n v="1362"/>
    <x v="1"/>
    <x v="2"/>
    <x v="3"/>
    <x v="0"/>
    <s v="Medical"/>
    <n v="1"/>
    <x v="1"/>
    <x v="5"/>
    <s v="Divorced"/>
    <s v="No"/>
    <x v="34"/>
    <n v="2"/>
    <s v="Bachelor's Degree"/>
    <n v="2"/>
    <n v="4"/>
    <x v="1"/>
    <n v="16291"/>
    <n v="37"/>
    <x v="2"/>
    <x v="22"/>
    <n v="9"/>
    <n v="14"/>
    <n v="14"/>
    <n v="0"/>
  </r>
  <r>
    <n v="1363"/>
    <x v="1"/>
    <x v="2"/>
    <x v="0"/>
    <x v="0"/>
    <s v="Marketing"/>
    <n v="1"/>
    <x v="1"/>
    <x v="0"/>
    <s v="Divorced"/>
    <s v="No"/>
    <x v="9"/>
    <n v="15"/>
    <s v="Master's Degree"/>
    <n v="4"/>
    <n v="2"/>
    <x v="0"/>
    <n v="5406"/>
    <n v="15"/>
    <x v="2"/>
    <x v="15"/>
    <n v="12"/>
    <n v="11"/>
    <n v="11"/>
    <n v="0"/>
  </r>
  <r>
    <n v="1364"/>
    <x v="1"/>
    <x v="1"/>
    <x v="0"/>
    <x v="2"/>
    <s v="Human Resources"/>
    <n v="1"/>
    <x v="1"/>
    <x v="8"/>
    <s v="Single"/>
    <s v="No"/>
    <x v="9"/>
    <n v="2"/>
    <s v="High School"/>
    <n v="2"/>
    <n v="2"/>
    <x v="0"/>
    <n v="3886"/>
    <n v="10"/>
    <x v="2"/>
    <x v="1"/>
    <n v="1"/>
    <n v="0"/>
    <n v="8"/>
    <n v="0"/>
  </r>
  <r>
    <n v="1365"/>
    <x v="1"/>
    <x v="1"/>
    <x v="2"/>
    <x v="1"/>
    <s v="Life Sciences"/>
    <n v="1"/>
    <x v="1"/>
    <x v="4"/>
    <s v="Divorced"/>
    <s v="No"/>
    <x v="3"/>
    <n v="7"/>
    <s v="Associates Degree"/>
    <n v="4"/>
    <n v="2"/>
    <x v="2"/>
    <n v="5968"/>
    <n v="9"/>
    <x v="1"/>
    <x v="7"/>
    <n v="7"/>
    <n v="2"/>
    <n v="8"/>
    <n v="0"/>
  </r>
  <r>
    <n v="1366"/>
    <x v="1"/>
    <x v="1"/>
    <x v="2"/>
    <x v="1"/>
    <s v="Life Sciences"/>
    <n v="1"/>
    <x v="1"/>
    <x v="1"/>
    <s v="Married"/>
    <s v="No"/>
    <x v="12"/>
    <n v="1"/>
    <s v="Bachelor's Degree"/>
    <n v="4"/>
    <n v="2"/>
    <x v="3"/>
    <n v="5003"/>
    <n v="10"/>
    <x v="1"/>
    <x v="1"/>
    <n v="8"/>
    <n v="8"/>
    <n v="7"/>
    <n v="0"/>
  </r>
  <r>
    <n v="1367"/>
    <x v="1"/>
    <x v="1"/>
    <x v="1"/>
    <x v="1"/>
    <s v="Medical"/>
    <n v="1"/>
    <x v="1"/>
    <x v="5"/>
    <s v="Married"/>
    <s v="No"/>
    <x v="26"/>
    <n v="4"/>
    <s v="Doctoral Degree"/>
    <n v="3"/>
    <n v="4"/>
    <x v="0"/>
    <n v="15202"/>
    <n v="23"/>
    <x v="1"/>
    <x v="4"/>
    <n v="2"/>
    <n v="2"/>
    <n v="2"/>
    <n v="0"/>
  </r>
  <r>
    <n v="1368"/>
    <x v="1"/>
    <x v="1"/>
    <x v="0"/>
    <x v="0"/>
    <s v="Life Sciences"/>
    <n v="1"/>
    <x v="1"/>
    <x v="0"/>
    <s v="Married"/>
    <s v="No"/>
    <x v="23"/>
    <n v="2"/>
    <s v="Master's Degree"/>
    <n v="1"/>
    <n v="2"/>
    <x v="0"/>
    <n v="5675"/>
    <n v="7"/>
    <x v="1"/>
    <x v="5"/>
    <n v="7"/>
    <n v="7"/>
    <n v="7"/>
    <n v="0"/>
  </r>
  <r>
    <n v="1369"/>
    <x v="1"/>
    <x v="0"/>
    <x v="2"/>
    <x v="2"/>
    <s v="Life Sciences"/>
    <n v="1"/>
    <x v="1"/>
    <x v="8"/>
    <s v="Divorced"/>
    <s v="No"/>
    <x v="7"/>
    <n v="1"/>
    <s v="Bachelor's Degree"/>
    <n v="3"/>
    <n v="1"/>
    <x v="2"/>
    <n v="2064"/>
    <n v="6"/>
    <x v="3"/>
    <x v="8"/>
    <n v="3"/>
    <n v="1"/>
    <n v="3"/>
    <n v="0"/>
  </r>
  <r>
    <n v="1370"/>
    <x v="1"/>
    <x v="0"/>
    <x v="3"/>
    <x v="1"/>
    <s v="Medical"/>
    <n v="1"/>
    <x v="1"/>
    <x v="4"/>
    <s v="Divorced"/>
    <s v="No"/>
    <x v="42"/>
    <n v="1"/>
    <s v="Master's Degree"/>
    <n v="3"/>
    <n v="3"/>
    <x v="0"/>
    <n v="10883"/>
    <n v="19"/>
    <x v="3"/>
    <x v="6"/>
    <n v="0"/>
    <n v="0"/>
    <n v="0"/>
    <n v="0"/>
  </r>
  <r>
    <n v="1371"/>
    <x v="1"/>
    <x v="0"/>
    <x v="0"/>
    <x v="1"/>
    <s v="Life Sciences"/>
    <n v="1"/>
    <x v="1"/>
    <x v="4"/>
    <s v="Divorced"/>
    <s v="No"/>
    <x v="9"/>
    <n v="3"/>
    <s v="Associates Degree"/>
    <n v="4"/>
    <n v="2"/>
    <x v="3"/>
    <n v="6842"/>
    <n v="13"/>
    <x v="1"/>
    <x v="8"/>
    <n v="4"/>
    <n v="0"/>
    <n v="4"/>
    <n v="0"/>
  </r>
  <r>
    <n v="1372"/>
    <x v="1"/>
    <x v="0"/>
    <x v="0"/>
    <x v="1"/>
    <s v="Life Sciences"/>
    <n v="1"/>
    <x v="1"/>
    <x v="2"/>
    <s v="Divorced"/>
    <s v="No"/>
    <x v="0"/>
    <n v="9"/>
    <s v="Master's Degree"/>
    <n v="3"/>
    <n v="1"/>
    <x v="3"/>
    <n v="2289"/>
    <n v="5"/>
    <x v="1"/>
    <x v="8"/>
    <n v="3"/>
    <n v="0"/>
    <n v="4"/>
    <n v="0"/>
  </r>
  <r>
    <n v="1373"/>
    <x v="1"/>
    <x v="0"/>
    <x v="0"/>
    <x v="1"/>
    <s v="Medical"/>
    <n v="1"/>
    <x v="1"/>
    <x v="2"/>
    <s v="Divorced"/>
    <s v="No"/>
    <x v="19"/>
    <n v="12"/>
    <s v="Bachelor's Degree"/>
    <n v="2"/>
    <n v="1"/>
    <x v="1"/>
    <n v="2766"/>
    <n v="7"/>
    <x v="2"/>
    <x v="8"/>
    <n v="3"/>
    <n v="0"/>
    <n v="4"/>
    <n v="0"/>
  </r>
  <r>
    <n v="1374"/>
    <x v="1"/>
    <x v="0"/>
    <x v="0"/>
    <x v="1"/>
    <s v="Medical"/>
    <n v="1"/>
    <x v="1"/>
    <x v="3"/>
    <s v="Married"/>
    <s v="No"/>
    <x v="22"/>
    <n v="12"/>
    <s v="Bachelor's Degree"/>
    <n v="4"/>
    <n v="2"/>
    <x v="1"/>
    <n v="5295"/>
    <n v="7"/>
    <x v="1"/>
    <x v="8"/>
    <n v="4"/>
    <n v="1"/>
    <n v="0"/>
    <n v="0"/>
  </r>
  <r>
    <n v="1375"/>
    <x v="1"/>
    <x v="0"/>
    <x v="0"/>
    <x v="1"/>
    <s v="Medical"/>
    <n v="1"/>
    <x v="1"/>
    <x v="3"/>
    <s v="Married"/>
    <s v="No"/>
    <x v="22"/>
    <n v="9"/>
    <s v="Associates Degree"/>
    <n v="1"/>
    <n v="2"/>
    <x v="3"/>
    <n v="5151"/>
    <n v="10"/>
    <x v="1"/>
    <x v="1"/>
    <n v="0"/>
    <n v="7"/>
    <n v="9"/>
    <n v="0"/>
  </r>
  <r>
    <n v="1376"/>
    <x v="1"/>
    <x v="0"/>
    <x v="3"/>
    <x v="1"/>
    <s v="Technical Degree"/>
    <n v="1"/>
    <x v="1"/>
    <x v="1"/>
    <s v="Married"/>
    <s v="No"/>
    <x v="27"/>
    <n v="2"/>
    <s v="Master's Degree"/>
    <n v="2"/>
    <n v="1"/>
    <x v="0"/>
    <n v="2662"/>
    <n v="19"/>
    <x v="3"/>
    <x v="8"/>
    <n v="2"/>
    <n v="0"/>
    <n v="4"/>
    <n v="0"/>
  </r>
  <r>
    <n v="1377"/>
    <x v="1"/>
    <x v="0"/>
    <x v="3"/>
    <x v="1"/>
    <s v="Life Sciences"/>
    <n v="1"/>
    <x v="1"/>
    <x v="1"/>
    <s v="Married"/>
    <s v="No"/>
    <x v="38"/>
    <n v="1"/>
    <s v="Associates Degree"/>
    <n v="2"/>
    <n v="2"/>
    <x v="2"/>
    <n v="4900"/>
    <n v="13"/>
    <x v="2"/>
    <x v="12"/>
    <n v="9"/>
    <n v="2"/>
    <n v="8"/>
    <n v="0"/>
  </r>
  <r>
    <n v="1378"/>
    <x v="1"/>
    <x v="0"/>
    <x v="0"/>
    <x v="1"/>
    <s v="Life Sciences"/>
    <n v="1"/>
    <x v="1"/>
    <x v="7"/>
    <s v="Married"/>
    <s v="No"/>
    <x v="23"/>
    <n v="15"/>
    <s v="Associates Degree"/>
    <n v="3"/>
    <n v="4"/>
    <x v="2"/>
    <n v="17603"/>
    <n v="14"/>
    <x v="1"/>
    <x v="13"/>
    <n v="10"/>
    <n v="6"/>
    <n v="11"/>
    <n v="0"/>
  </r>
  <r>
    <n v="1379"/>
    <x v="1"/>
    <x v="0"/>
    <x v="0"/>
    <x v="1"/>
    <s v="Life Sciences"/>
    <n v="1"/>
    <x v="1"/>
    <x v="1"/>
    <s v="Married"/>
    <s v="No"/>
    <x v="0"/>
    <n v="1"/>
    <s v="Bachelor's Degree"/>
    <n v="4"/>
    <n v="1"/>
    <x v="0"/>
    <n v="2782"/>
    <n v="12"/>
    <x v="1"/>
    <x v="8"/>
    <n v="3"/>
    <n v="1"/>
    <n v="0"/>
    <n v="0"/>
  </r>
  <r>
    <n v="1380"/>
    <x v="1"/>
    <x v="0"/>
    <x v="1"/>
    <x v="1"/>
    <s v="Technical Degree"/>
    <n v="1"/>
    <x v="1"/>
    <x v="1"/>
    <s v="Married"/>
    <s v="No"/>
    <x v="28"/>
    <n v="28"/>
    <s v="Bachelor's Degree"/>
    <n v="4"/>
    <n v="1"/>
    <x v="0"/>
    <n v="2132"/>
    <n v="8"/>
    <x v="1"/>
    <x v="8"/>
    <n v="4"/>
    <n v="0"/>
    <n v="3"/>
    <n v="0"/>
  </r>
  <r>
    <n v="1381"/>
    <x v="1"/>
    <x v="0"/>
    <x v="1"/>
    <x v="1"/>
    <s v="Medical"/>
    <n v="1"/>
    <x v="1"/>
    <x v="4"/>
    <s v="Single"/>
    <s v="No"/>
    <x v="40"/>
    <n v="25"/>
    <s v="Bachelor's Degree"/>
    <n v="1"/>
    <n v="3"/>
    <x v="2"/>
    <n v="8633"/>
    <n v="25"/>
    <x v="1"/>
    <x v="18"/>
    <n v="14"/>
    <n v="12"/>
    <n v="11"/>
    <n v="0"/>
  </r>
  <r>
    <n v="1382"/>
    <x v="1"/>
    <x v="0"/>
    <x v="0"/>
    <x v="1"/>
    <s v="Medical"/>
    <n v="1"/>
    <x v="1"/>
    <x v="7"/>
    <s v="Single"/>
    <s v="No"/>
    <x v="22"/>
    <n v="10"/>
    <s v="High School"/>
    <n v="3"/>
    <n v="3"/>
    <x v="2"/>
    <n v="13464"/>
    <n v="9"/>
    <x v="1"/>
    <x v="9"/>
    <n v="3"/>
    <n v="2"/>
    <n v="2"/>
    <n v="0"/>
  </r>
  <r>
    <n v="1383"/>
    <x v="1"/>
    <x v="0"/>
    <x v="2"/>
    <x v="1"/>
    <s v="Medical"/>
    <n v="1"/>
    <x v="1"/>
    <x v="5"/>
    <s v="Single"/>
    <s v="No"/>
    <x v="5"/>
    <n v="10"/>
    <s v="Bachelor's Degree"/>
    <n v="3"/>
    <n v="3"/>
    <x v="0"/>
    <n v="11244"/>
    <n v="10"/>
    <x v="3"/>
    <x v="8"/>
    <n v="2"/>
    <n v="0"/>
    <n v="0"/>
    <n v="0"/>
  </r>
  <r>
    <n v="1384"/>
    <x v="1"/>
    <x v="0"/>
    <x v="2"/>
    <x v="1"/>
    <s v="Life Sciences"/>
    <n v="1"/>
    <x v="1"/>
    <x v="3"/>
    <s v="Single"/>
    <s v="No"/>
    <x v="5"/>
    <n v="5"/>
    <s v="Master's Degree"/>
    <n v="4"/>
    <n v="2"/>
    <x v="0"/>
    <n v="9679"/>
    <n v="8"/>
    <x v="1"/>
    <x v="6"/>
    <n v="0"/>
    <n v="0"/>
    <n v="0"/>
    <n v="0"/>
  </r>
  <r>
    <n v="1385"/>
    <x v="1"/>
    <x v="0"/>
    <x v="0"/>
    <x v="1"/>
    <s v="Other"/>
    <n v="1"/>
    <x v="1"/>
    <x v="5"/>
    <s v="Single"/>
    <s v="No"/>
    <x v="19"/>
    <n v="9"/>
    <s v="Associates Degree"/>
    <n v="4"/>
    <n v="5"/>
    <x v="0"/>
    <n v="19613"/>
    <n v="24"/>
    <x v="1"/>
    <x v="6"/>
    <n v="0"/>
    <n v="0"/>
    <n v="1"/>
    <n v="0"/>
  </r>
  <r>
    <n v="1386"/>
    <x v="1"/>
    <x v="0"/>
    <x v="3"/>
    <x v="0"/>
    <s v="Marketing"/>
    <n v="1"/>
    <x v="1"/>
    <x v="5"/>
    <s v="Married"/>
    <s v="No"/>
    <x v="27"/>
    <n v="26"/>
    <s v="Doctoral Degree"/>
    <n v="3"/>
    <n v="5"/>
    <x v="0"/>
    <n v="19586"/>
    <n v="36"/>
    <x v="1"/>
    <x v="28"/>
    <n v="6"/>
    <n v="2"/>
    <n v="13"/>
    <n v="0"/>
  </r>
  <r>
    <n v="1387"/>
    <x v="1"/>
    <x v="0"/>
    <x v="2"/>
    <x v="0"/>
    <s v="Technical Degree"/>
    <n v="1"/>
    <x v="1"/>
    <x v="0"/>
    <s v="Married"/>
    <s v="No"/>
    <x v="13"/>
    <n v="8"/>
    <s v="Associates Degree"/>
    <n v="2"/>
    <n v="2"/>
    <x v="2"/>
    <n v="6799"/>
    <n v="10"/>
    <x v="1"/>
    <x v="1"/>
    <n v="8"/>
    <n v="4"/>
    <n v="8"/>
    <n v="0"/>
  </r>
  <r>
    <n v="1388"/>
    <x v="1"/>
    <x v="0"/>
    <x v="2"/>
    <x v="0"/>
    <s v="Marketing"/>
    <n v="1"/>
    <x v="1"/>
    <x v="0"/>
    <s v="Single"/>
    <s v="No"/>
    <x v="13"/>
    <n v="1"/>
    <s v="Bachelor's Degree"/>
    <n v="1"/>
    <n v="3"/>
    <x v="0"/>
    <n v="9888"/>
    <n v="14"/>
    <x v="2"/>
    <x v="13"/>
    <n v="8"/>
    <n v="2"/>
    <n v="1"/>
    <n v="0"/>
  </r>
  <r>
    <n v="1389"/>
    <x v="1"/>
    <x v="2"/>
    <x v="1"/>
    <x v="1"/>
    <s v="Medical"/>
    <n v="1"/>
    <x v="0"/>
    <x v="3"/>
    <s v="Married"/>
    <s v="Yes"/>
    <x v="16"/>
    <n v="1"/>
    <s v="Master's Degree"/>
    <n v="1"/>
    <n v="4"/>
    <x v="2"/>
    <n v="12965"/>
    <n v="27"/>
    <x v="2"/>
    <x v="11"/>
    <n v="2"/>
    <n v="0"/>
    <n v="2"/>
    <n v="0"/>
  </r>
  <r>
    <n v="1390"/>
    <x v="1"/>
    <x v="2"/>
    <x v="2"/>
    <x v="0"/>
    <s v="Life Sciences"/>
    <n v="1"/>
    <x v="0"/>
    <x v="0"/>
    <s v="Divorced"/>
    <s v="Yes"/>
    <x v="3"/>
    <n v="16"/>
    <s v="Bachelor's Degree"/>
    <n v="3"/>
    <n v="2"/>
    <x v="0"/>
    <n v="5368"/>
    <n v="7"/>
    <x v="1"/>
    <x v="0"/>
    <n v="5"/>
    <n v="1"/>
    <n v="2"/>
    <n v="0"/>
  </r>
  <r>
    <n v="1391"/>
    <x v="1"/>
    <x v="0"/>
    <x v="0"/>
    <x v="1"/>
    <s v="Life Sciences"/>
    <n v="1"/>
    <x v="0"/>
    <x v="7"/>
    <s v="Married"/>
    <s v="Yes"/>
    <x v="2"/>
    <n v="10"/>
    <s v="Bachelor's Degree"/>
    <n v="3"/>
    <n v="3"/>
    <x v="0"/>
    <n v="13744"/>
    <n v="16"/>
    <x v="1"/>
    <x v="22"/>
    <n v="11"/>
    <n v="6"/>
    <n v="8"/>
    <n v="0"/>
  </r>
  <r>
    <n v="1392"/>
    <x v="1"/>
    <x v="0"/>
    <x v="3"/>
    <x v="1"/>
    <s v="Medical"/>
    <n v="1"/>
    <x v="0"/>
    <x v="7"/>
    <s v="Married"/>
    <s v="Yes"/>
    <x v="34"/>
    <n v="1"/>
    <s v="Bachelor's Degree"/>
    <n v="4"/>
    <n v="5"/>
    <x v="3"/>
    <n v="19701"/>
    <n v="32"/>
    <x v="1"/>
    <x v="7"/>
    <n v="8"/>
    <n v="1"/>
    <n v="5"/>
    <n v="0"/>
  </r>
  <r>
    <n v="1393"/>
    <x v="1"/>
    <x v="0"/>
    <x v="0"/>
    <x v="1"/>
    <s v="Other"/>
    <n v="1"/>
    <x v="0"/>
    <x v="1"/>
    <s v="Married"/>
    <s v="Yes"/>
    <x v="9"/>
    <n v="2"/>
    <s v="Master's Degree"/>
    <n v="4"/>
    <n v="2"/>
    <x v="1"/>
    <n v="6962"/>
    <n v="15"/>
    <x v="1"/>
    <x v="6"/>
    <n v="0"/>
    <n v="0"/>
    <n v="0"/>
    <n v="0"/>
  </r>
  <r>
    <n v="1394"/>
    <x v="1"/>
    <x v="0"/>
    <x v="2"/>
    <x v="0"/>
    <s v="Other"/>
    <n v="1"/>
    <x v="0"/>
    <x v="0"/>
    <s v="Divorced"/>
    <s v="Yes"/>
    <x v="36"/>
    <n v="8"/>
    <s v="Associates Degree"/>
    <n v="1"/>
    <n v="2"/>
    <x v="2"/>
    <n v="4907"/>
    <n v="6"/>
    <x v="2"/>
    <x v="8"/>
    <n v="3"/>
    <n v="0"/>
    <n v="4"/>
    <n v="0"/>
  </r>
  <r>
    <n v="1395"/>
    <x v="1"/>
    <x v="0"/>
    <x v="0"/>
    <x v="0"/>
    <s v="Marketing"/>
    <n v="1"/>
    <x v="0"/>
    <x v="6"/>
    <s v="Married"/>
    <s v="Yes"/>
    <x v="8"/>
    <n v="2"/>
    <s v="Master's Degree"/>
    <n v="2"/>
    <n v="2"/>
    <x v="0"/>
    <n v="5405"/>
    <n v="20"/>
    <x v="2"/>
    <x v="9"/>
    <n v="2"/>
    <n v="0"/>
    <n v="3"/>
    <n v="0"/>
  </r>
  <r>
    <n v="1396"/>
    <x v="1"/>
    <x v="0"/>
    <x v="0"/>
    <x v="2"/>
    <s v="Medical"/>
    <n v="1"/>
    <x v="1"/>
    <x v="5"/>
    <s v="Single"/>
    <s v="Yes"/>
    <x v="32"/>
    <n v="6"/>
    <s v="Associates Degree"/>
    <n v="3"/>
    <n v="4"/>
    <x v="0"/>
    <n v="16437"/>
    <n v="21"/>
    <x v="1"/>
    <x v="17"/>
    <n v="7"/>
    <n v="7"/>
    <n v="7"/>
    <n v="0"/>
  </r>
  <r>
    <n v="1397"/>
    <x v="1"/>
    <x v="0"/>
    <x v="2"/>
    <x v="1"/>
    <s v="Life Sciences"/>
    <n v="1"/>
    <x v="1"/>
    <x v="3"/>
    <s v="Married"/>
    <s v="Yes"/>
    <x v="4"/>
    <n v="4"/>
    <s v="Bachelor's Degree"/>
    <n v="2"/>
    <n v="2"/>
    <x v="1"/>
    <n v="6142"/>
    <n v="6"/>
    <x v="1"/>
    <x v="0"/>
    <n v="2"/>
    <n v="0"/>
    <n v="3"/>
    <n v="0"/>
  </r>
  <r>
    <n v="1398"/>
    <x v="1"/>
    <x v="0"/>
    <x v="0"/>
    <x v="1"/>
    <s v="Medical"/>
    <n v="1"/>
    <x v="1"/>
    <x v="1"/>
    <s v="Married"/>
    <s v="Yes"/>
    <x v="2"/>
    <n v="7"/>
    <s v="Master's Degree"/>
    <n v="4"/>
    <n v="2"/>
    <x v="3"/>
    <n v="4284"/>
    <n v="16"/>
    <x v="1"/>
    <x v="8"/>
    <n v="3"/>
    <n v="0"/>
    <n v="4"/>
    <n v="0"/>
  </r>
  <r>
    <n v="1399"/>
    <x v="1"/>
    <x v="0"/>
    <x v="2"/>
    <x v="0"/>
    <s v="Technical Degree"/>
    <n v="1"/>
    <x v="1"/>
    <x v="6"/>
    <s v="Married"/>
    <s v="Yes"/>
    <x v="13"/>
    <n v="7"/>
    <s v="Associates Degree"/>
    <n v="2"/>
    <n v="1"/>
    <x v="2"/>
    <n v="2308"/>
    <n v="12"/>
    <x v="1"/>
    <x v="19"/>
    <n v="10"/>
    <n v="5"/>
    <n v="7"/>
    <n v="0"/>
  </r>
  <r>
    <n v="1400"/>
    <x v="1"/>
    <x v="0"/>
    <x v="0"/>
    <x v="0"/>
    <s v="Life Sciences"/>
    <n v="1"/>
    <x v="1"/>
    <x v="6"/>
    <s v="Single"/>
    <s v="Yes"/>
    <x v="9"/>
    <n v="2"/>
    <s v="Master's Degree"/>
    <n v="3"/>
    <n v="1"/>
    <x v="0"/>
    <n v="2644"/>
    <n v="7"/>
    <x v="2"/>
    <x v="11"/>
    <n v="2"/>
    <n v="1"/>
    <n v="2"/>
    <n v="0"/>
  </r>
  <r>
    <n v="1401"/>
    <x v="0"/>
    <x v="1"/>
    <x v="2"/>
    <x v="2"/>
    <s v="Human Resources"/>
    <n v="1"/>
    <x v="0"/>
    <x v="8"/>
    <s v="Divorced"/>
    <s v="No"/>
    <x v="7"/>
    <n v="8"/>
    <s v="Bachelor's Degree"/>
    <n v="3"/>
    <n v="1"/>
    <x v="0"/>
    <n v="2180"/>
    <n v="6"/>
    <x v="2"/>
    <x v="9"/>
    <n v="2"/>
    <n v="1"/>
    <n v="2"/>
    <n v="1"/>
  </r>
  <r>
    <n v="1402"/>
    <x v="0"/>
    <x v="1"/>
    <x v="2"/>
    <x v="2"/>
    <s v="Human Resources"/>
    <n v="1"/>
    <x v="0"/>
    <x v="8"/>
    <s v="Married"/>
    <s v="No"/>
    <x v="4"/>
    <n v="22"/>
    <s v="Bachelor's Degree"/>
    <n v="1"/>
    <n v="1"/>
    <x v="1"/>
    <n v="2863"/>
    <n v="1"/>
    <x v="1"/>
    <x v="6"/>
    <n v="0"/>
    <n v="0"/>
    <n v="0"/>
    <n v="1"/>
  </r>
  <r>
    <n v="1403"/>
    <x v="0"/>
    <x v="1"/>
    <x v="2"/>
    <x v="1"/>
    <s v="Life Sciences"/>
    <n v="1"/>
    <x v="0"/>
    <x v="3"/>
    <s v="Single"/>
    <s v="No"/>
    <x v="12"/>
    <n v="1"/>
    <s v="Doctoral Degree"/>
    <n v="3"/>
    <n v="3"/>
    <x v="1"/>
    <n v="7446"/>
    <n v="10"/>
    <x v="1"/>
    <x v="1"/>
    <n v="8"/>
    <n v="4"/>
    <n v="7"/>
    <n v="1"/>
  </r>
  <r>
    <n v="1404"/>
    <x v="0"/>
    <x v="1"/>
    <x v="2"/>
    <x v="1"/>
    <s v="Life Sciences"/>
    <n v="1"/>
    <x v="0"/>
    <x v="1"/>
    <s v="Single"/>
    <s v="No"/>
    <x v="12"/>
    <n v="3"/>
    <s v="Bachelor's Degree"/>
    <n v="4"/>
    <n v="1"/>
    <x v="2"/>
    <n v="4084"/>
    <n v="7"/>
    <x v="0"/>
    <x v="5"/>
    <n v="2"/>
    <n v="7"/>
    <n v="7"/>
    <n v="1"/>
  </r>
  <r>
    <n v="1405"/>
    <x v="0"/>
    <x v="1"/>
    <x v="2"/>
    <x v="0"/>
    <s v="Technical Degree"/>
    <n v="1"/>
    <x v="0"/>
    <x v="0"/>
    <s v="Single"/>
    <s v="No"/>
    <x v="11"/>
    <n v="13"/>
    <s v="Bachelor's Degree"/>
    <n v="1"/>
    <n v="2"/>
    <x v="1"/>
    <n v="5765"/>
    <n v="7"/>
    <x v="0"/>
    <x v="8"/>
    <n v="3"/>
    <n v="0"/>
    <n v="0"/>
    <n v="1"/>
  </r>
  <r>
    <n v="1406"/>
    <x v="0"/>
    <x v="1"/>
    <x v="2"/>
    <x v="0"/>
    <s v="Life Sciences"/>
    <n v="1"/>
    <x v="0"/>
    <x v="6"/>
    <s v="Single"/>
    <s v="No"/>
    <x v="12"/>
    <n v="1"/>
    <s v="Master's Degree"/>
    <n v="2"/>
    <n v="1"/>
    <x v="2"/>
    <n v="1359"/>
    <n v="1"/>
    <x v="1"/>
    <x v="6"/>
    <n v="0"/>
    <n v="0"/>
    <n v="0"/>
    <n v="1"/>
  </r>
  <r>
    <n v="1407"/>
    <x v="0"/>
    <x v="0"/>
    <x v="2"/>
    <x v="2"/>
    <s v="Technical Degree"/>
    <n v="1"/>
    <x v="0"/>
    <x v="8"/>
    <s v="Married"/>
    <s v="No"/>
    <x v="13"/>
    <n v="9"/>
    <s v="Master's Degree"/>
    <n v="1"/>
    <n v="1"/>
    <x v="2"/>
    <n v="2742"/>
    <n v="2"/>
    <x v="1"/>
    <x v="4"/>
    <n v="2"/>
    <n v="2"/>
    <n v="2"/>
    <n v="1"/>
  </r>
  <r>
    <n v="1408"/>
    <x v="0"/>
    <x v="0"/>
    <x v="1"/>
    <x v="1"/>
    <s v="Technical Degree"/>
    <n v="1"/>
    <x v="0"/>
    <x v="3"/>
    <s v="Married"/>
    <s v="No"/>
    <x v="16"/>
    <n v="2"/>
    <s v="Doctoral Degree"/>
    <n v="3"/>
    <n v="3"/>
    <x v="0"/>
    <n v="10169"/>
    <n v="34"/>
    <x v="1"/>
    <x v="26"/>
    <n v="7"/>
    <n v="1"/>
    <n v="9"/>
    <n v="1"/>
  </r>
  <r>
    <n v="1409"/>
    <x v="0"/>
    <x v="0"/>
    <x v="2"/>
    <x v="1"/>
    <s v="Life Sciences"/>
    <n v="1"/>
    <x v="0"/>
    <x v="1"/>
    <s v="Single"/>
    <s v="No"/>
    <x v="12"/>
    <n v="8"/>
    <s v="Bachelor's Degree"/>
    <n v="1"/>
    <n v="1"/>
    <x v="1"/>
    <n v="1261"/>
    <n v="1"/>
    <x v="3"/>
    <x v="6"/>
    <n v="0"/>
    <n v="0"/>
    <n v="0"/>
    <n v="1"/>
  </r>
  <r>
    <n v="1410"/>
    <x v="0"/>
    <x v="0"/>
    <x v="2"/>
    <x v="0"/>
    <s v="Marketing"/>
    <n v="1"/>
    <x v="0"/>
    <x v="6"/>
    <s v="Single"/>
    <s v="No"/>
    <x v="11"/>
    <n v="9"/>
    <s v="Bachelor's Degree"/>
    <n v="2"/>
    <n v="1"/>
    <x v="1"/>
    <n v="2760"/>
    <n v="2"/>
    <x v="1"/>
    <x v="4"/>
    <n v="2"/>
    <n v="2"/>
    <n v="2"/>
    <n v="1"/>
  </r>
  <r>
    <n v="1411"/>
    <x v="0"/>
    <x v="1"/>
    <x v="2"/>
    <x v="1"/>
    <s v="Life Sciences"/>
    <n v="1"/>
    <x v="1"/>
    <x v="2"/>
    <s v="Married"/>
    <s v="No"/>
    <x v="13"/>
    <n v="9"/>
    <s v="Master's Degree"/>
    <n v="4"/>
    <n v="2"/>
    <x v="3"/>
    <n v="5346"/>
    <n v="11"/>
    <x v="2"/>
    <x v="5"/>
    <n v="1"/>
    <n v="0"/>
    <n v="7"/>
    <n v="1"/>
  </r>
  <r>
    <n v="1412"/>
    <x v="0"/>
    <x v="1"/>
    <x v="2"/>
    <x v="1"/>
    <s v="Medical"/>
    <n v="1"/>
    <x v="1"/>
    <x v="2"/>
    <s v="Single"/>
    <s v="No"/>
    <x v="14"/>
    <n v="2"/>
    <s v="Associates Degree"/>
    <n v="3"/>
    <n v="1"/>
    <x v="3"/>
    <n v="2561"/>
    <n v="8"/>
    <x v="2"/>
    <x v="2"/>
    <n v="0"/>
    <n v="0"/>
    <n v="0"/>
    <n v="1"/>
  </r>
  <r>
    <n v="1413"/>
    <x v="0"/>
    <x v="1"/>
    <x v="1"/>
    <x v="0"/>
    <s v="Life Sciences"/>
    <n v="1"/>
    <x v="1"/>
    <x v="0"/>
    <s v="Divorced"/>
    <s v="No"/>
    <x v="24"/>
    <n v="1"/>
    <s v="Master's Degree"/>
    <n v="2"/>
    <n v="2"/>
    <x v="2"/>
    <n v="6728"/>
    <n v="12"/>
    <x v="1"/>
    <x v="0"/>
    <n v="3"/>
    <n v="0"/>
    <n v="1"/>
    <n v="1"/>
  </r>
  <r>
    <n v="1414"/>
    <x v="0"/>
    <x v="1"/>
    <x v="1"/>
    <x v="0"/>
    <s v="Life Sciences"/>
    <n v="1"/>
    <x v="1"/>
    <x v="0"/>
    <s v="Married"/>
    <s v="No"/>
    <x v="40"/>
    <n v="9"/>
    <s v="Bachelor's Degree"/>
    <n v="3"/>
    <n v="4"/>
    <x v="2"/>
    <n v="12936"/>
    <n v="25"/>
    <x v="0"/>
    <x v="36"/>
    <n v="5"/>
    <n v="14"/>
    <n v="10"/>
    <n v="1"/>
  </r>
  <r>
    <n v="1415"/>
    <x v="0"/>
    <x v="1"/>
    <x v="2"/>
    <x v="0"/>
    <s v="Technical Degree"/>
    <n v="1"/>
    <x v="1"/>
    <x v="6"/>
    <s v="Married"/>
    <s v="No"/>
    <x v="14"/>
    <n v="1"/>
    <s v="Bachelor's Degree"/>
    <n v="1"/>
    <n v="1"/>
    <x v="2"/>
    <n v="2909"/>
    <n v="5"/>
    <x v="3"/>
    <x v="11"/>
    <n v="2"/>
    <n v="1"/>
    <n v="2"/>
    <n v="1"/>
  </r>
  <r>
    <n v="1416"/>
    <x v="0"/>
    <x v="1"/>
    <x v="4"/>
    <x v="0"/>
    <s v="Marketing"/>
    <n v="1"/>
    <x v="1"/>
    <x v="6"/>
    <s v="Married"/>
    <s v="No"/>
    <x v="30"/>
    <n v="9"/>
    <s v="Bachelor's Degree"/>
    <n v="4"/>
    <n v="1"/>
    <x v="3"/>
    <n v="1790"/>
    <n v="1"/>
    <x v="2"/>
    <x v="6"/>
    <n v="0"/>
    <n v="1"/>
    <n v="0"/>
    <n v="1"/>
  </r>
  <r>
    <n v="1417"/>
    <x v="0"/>
    <x v="1"/>
    <x v="2"/>
    <x v="0"/>
    <s v="Technical Degree"/>
    <n v="1"/>
    <x v="1"/>
    <x v="6"/>
    <s v="Single"/>
    <s v="No"/>
    <x v="11"/>
    <n v="24"/>
    <s v="Bachelor's Degree"/>
    <n v="3"/>
    <n v="1"/>
    <x v="3"/>
    <n v="1091"/>
    <n v="1"/>
    <x v="1"/>
    <x v="6"/>
    <n v="0"/>
    <n v="0"/>
    <n v="0"/>
    <n v="1"/>
  </r>
  <r>
    <n v="1418"/>
    <x v="0"/>
    <x v="0"/>
    <x v="2"/>
    <x v="2"/>
    <s v="Human Resources"/>
    <n v="1"/>
    <x v="1"/>
    <x v="8"/>
    <s v="Married"/>
    <s v="No"/>
    <x v="12"/>
    <n v="18"/>
    <s v="Doctoral Degree"/>
    <n v="4"/>
    <n v="1"/>
    <x v="3"/>
    <n v="2956"/>
    <n v="2"/>
    <x v="1"/>
    <x v="6"/>
    <n v="0"/>
    <n v="0"/>
    <n v="0"/>
    <n v="1"/>
  </r>
  <r>
    <n v="1419"/>
    <x v="0"/>
    <x v="0"/>
    <x v="4"/>
    <x v="2"/>
    <s v="Human Resources"/>
    <n v="1"/>
    <x v="1"/>
    <x v="8"/>
    <s v="Married"/>
    <s v="No"/>
    <x v="17"/>
    <n v="22"/>
    <s v="High School"/>
    <n v="4"/>
    <n v="1"/>
    <x v="2"/>
    <n v="1555"/>
    <n v="1"/>
    <x v="1"/>
    <x v="6"/>
    <n v="0"/>
    <n v="0"/>
    <n v="0"/>
    <n v="1"/>
  </r>
  <r>
    <n v="1420"/>
    <x v="0"/>
    <x v="0"/>
    <x v="2"/>
    <x v="1"/>
    <s v="Technical Degree"/>
    <n v="1"/>
    <x v="1"/>
    <x v="2"/>
    <s v="Divorced"/>
    <s v="No"/>
    <x v="14"/>
    <n v="17"/>
    <s v="Bachelor's Degree"/>
    <n v="3"/>
    <n v="1"/>
    <x v="0"/>
    <n v="2367"/>
    <n v="6"/>
    <x v="2"/>
    <x v="9"/>
    <n v="1"/>
    <n v="0"/>
    <n v="3"/>
    <n v="1"/>
  </r>
  <r>
    <n v="1421"/>
    <x v="0"/>
    <x v="0"/>
    <x v="3"/>
    <x v="1"/>
    <s v="Technical Degree"/>
    <n v="1"/>
    <x v="1"/>
    <x v="2"/>
    <s v="Married"/>
    <s v="No"/>
    <x v="29"/>
    <n v="7"/>
    <s v="Associates Degree"/>
    <n v="4"/>
    <n v="1"/>
    <x v="2"/>
    <n v="2339"/>
    <n v="14"/>
    <x v="0"/>
    <x v="1"/>
    <n v="9"/>
    <n v="9"/>
    <n v="8"/>
    <n v="1"/>
  </r>
  <r>
    <n v="1422"/>
    <x v="0"/>
    <x v="0"/>
    <x v="0"/>
    <x v="1"/>
    <s v="Medical"/>
    <n v="1"/>
    <x v="1"/>
    <x v="3"/>
    <s v="Married"/>
    <s v="No"/>
    <x v="8"/>
    <n v="2"/>
    <s v="Bachelor's Degree"/>
    <n v="3"/>
    <n v="2"/>
    <x v="1"/>
    <n v="4855"/>
    <n v="7"/>
    <x v="1"/>
    <x v="8"/>
    <n v="2"/>
    <n v="1"/>
    <n v="4"/>
    <n v="1"/>
  </r>
  <r>
    <n v="1423"/>
    <x v="0"/>
    <x v="0"/>
    <x v="2"/>
    <x v="1"/>
    <s v="Technical Degree"/>
    <n v="1"/>
    <x v="1"/>
    <x v="1"/>
    <s v="Single"/>
    <s v="No"/>
    <x v="11"/>
    <n v="1"/>
    <s v="Master's Degree"/>
    <n v="1"/>
    <n v="1"/>
    <x v="3"/>
    <n v="2362"/>
    <n v="11"/>
    <x v="0"/>
    <x v="7"/>
    <n v="7"/>
    <n v="0"/>
    <n v="7"/>
    <n v="1"/>
  </r>
  <r>
    <n v="1424"/>
    <x v="0"/>
    <x v="0"/>
    <x v="3"/>
    <x v="1"/>
    <s v="Life Sciences"/>
    <n v="1"/>
    <x v="1"/>
    <x v="2"/>
    <s v="Single"/>
    <s v="No"/>
    <x v="29"/>
    <n v="24"/>
    <s v="Associates Degree"/>
    <n v="1"/>
    <n v="1"/>
    <x v="0"/>
    <n v="2587"/>
    <n v="5"/>
    <x v="1"/>
    <x v="9"/>
    <n v="2"/>
    <n v="1"/>
    <n v="0"/>
    <n v="1"/>
  </r>
  <r>
    <n v="1425"/>
    <x v="0"/>
    <x v="0"/>
    <x v="0"/>
    <x v="1"/>
    <s v="Life Sciences"/>
    <n v="1"/>
    <x v="1"/>
    <x v="2"/>
    <s v="Single"/>
    <s v="No"/>
    <x v="32"/>
    <n v="9"/>
    <s v="Master's Degree"/>
    <n v="4"/>
    <n v="1"/>
    <x v="3"/>
    <n v="2018"/>
    <n v="15"/>
    <x v="0"/>
    <x v="8"/>
    <n v="4"/>
    <n v="1"/>
    <n v="0"/>
    <n v="1"/>
  </r>
  <r>
    <n v="1426"/>
    <x v="0"/>
    <x v="0"/>
    <x v="0"/>
    <x v="1"/>
    <s v="Medical"/>
    <n v="1"/>
    <x v="1"/>
    <x v="3"/>
    <s v="Single"/>
    <s v="No"/>
    <x v="2"/>
    <n v="10"/>
    <s v="Master's Degree"/>
    <n v="4"/>
    <n v="2"/>
    <x v="3"/>
    <n v="4213"/>
    <n v="10"/>
    <x v="0"/>
    <x v="1"/>
    <n v="3"/>
    <n v="0"/>
    <n v="8"/>
    <n v="1"/>
  </r>
  <r>
    <n v="1427"/>
    <x v="0"/>
    <x v="0"/>
    <x v="2"/>
    <x v="1"/>
    <s v="Life Sciences"/>
    <n v="1"/>
    <x v="1"/>
    <x v="2"/>
    <s v="Single"/>
    <s v="No"/>
    <x v="5"/>
    <n v="2"/>
    <s v="Master's Degree"/>
    <n v="4"/>
    <n v="1"/>
    <x v="1"/>
    <n v="1393"/>
    <n v="1"/>
    <x v="1"/>
    <x v="6"/>
    <n v="0"/>
    <n v="0"/>
    <n v="0"/>
    <n v="1"/>
  </r>
  <r>
    <n v="1428"/>
    <x v="0"/>
    <x v="0"/>
    <x v="1"/>
    <x v="0"/>
    <s v="Marketing"/>
    <n v="1"/>
    <x v="1"/>
    <x v="0"/>
    <s v="Divorced"/>
    <s v="No"/>
    <x v="21"/>
    <n v="9"/>
    <s v="Bachelor's Degree"/>
    <n v="1"/>
    <n v="3"/>
    <x v="0"/>
    <n v="10096"/>
    <n v="28"/>
    <x v="3"/>
    <x v="5"/>
    <n v="7"/>
    <n v="4"/>
    <n v="3"/>
    <n v="1"/>
  </r>
  <r>
    <n v="1429"/>
    <x v="0"/>
    <x v="0"/>
    <x v="2"/>
    <x v="0"/>
    <s v="Life Sciences"/>
    <n v="1"/>
    <x v="1"/>
    <x v="6"/>
    <s v="Married"/>
    <s v="No"/>
    <x v="36"/>
    <n v="9"/>
    <s v="Associates Degree"/>
    <n v="1"/>
    <n v="1"/>
    <x v="3"/>
    <n v="4400"/>
    <n v="6"/>
    <x v="1"/>
    <x v="11"/>
    <n v="2"/>
    <n v="2"/>
    <n v="2"/>
    <n v="1"/>
  </r>
  <r>
    <n v="1430"/>
    <x v="0"/>
    <x v="0"/>
    <x v="0"/>
    <x v="0"/>
    <s v="Medical"/>
    <n v="1"/>
    <x v="1"/>
    <x v="0"/>
    <s v="Married"/>
    <s v="No"/>
    <x v="10"/>
    <n v="10"/>
    <s v="Bachelor's Degree"/>
    <n v="4"/>
    <n v="3"/>
    <x v="3"/>
    <n v="10306"/>
    <n v="15"/>
    <x v="1"/>
    <x v="20"/>
    <n v="12"/>
    <n v="6"/>
    <n v="0"/>
    <n v="1"/>
  </r>
  <r>
    <n v="1431"/>
    <x v="0"/>
    <x v="0"/>
    <x v="2"/>
    <x v="0"/>
    <s v="Life Sciences"/>
    <n v="1"/>
    <x v="1"/>
    <x v="0"/>
    <s v="Married"/>
    <s v="No"/>
    <x v="7"/>
    <n v="1"/>
    <s v="Bachelor's Degree"/>
    <n v="2"/>
    <n v="2"/>
    <x v="3"/>
    <n v="9714"/>
    <n v="10"/>
    <x v="1"/>
    <x v="1"/>
    <n v="8"/>
    <n v="6"/>
    <n v="7"/>
    <n v="1"/>
  </r>
  <r>
    <n v="1432"/>
    <x v="0"/>
    <x v="0"/>
    <x v="2"/>
    <x v="0"/>
    <s v="Marketing"/>
    <n v="1"/>
    <x v="1"/>
    <x v="0"/>
    <s v="Married"/>
    <s v="No"/>
    <x v="12"/>
    <n v="16"/>
    <s v="Master's Degree"/>
    <n v="1"/>
    <n v="3"/>
    <x v="2"/>
    <n v="8161"/>
    <n v="10"/>
    <x v="1"/>
    <x v="6"/>
    <n v="0"/>
    <n v="0"/>
    <n v="0"/>
    <n v="1"/>
  </r>
  <r>
    <n v="1433"/>
    <x v="0"/>
    <x v="0"/>
    <x v="2"/>
    <x v="0"/>
    <s v="Life Sciences"/>
    <n v="1"/>
    <x v="1"/>
    <x v="0"/>
    <s v="Single"/>
    <s v="No"/>
    <x v="5"/>
    <n v="1"/>
    <s v="Associates Degree"/>
    <n v="1"/>
    <n v="2"/>
    <x v="1"/>
    <n v="6735"/>
    <n v="10"/>
    <x v="1"/>
    <x v="2"/>
    <n v="0"/>
    <n v="0"/>
    <n v="0"/>
    <n v="1"/>
  </r>
  <r>
    <n v="1434"/>
    <x v="0"/>
    <x v="0"/>
    <x v="4"/>
    <x v="0"/>
    <s v="Marketing"/>
    <n v="1"/>
    <x v="1"/>
    <x v="6"/>
    <s v="Single"/>
    <s v="No"/>
    <x v="18"/>
    <n v="7"/>
    <s v="High School"/>
    <n v="2"/>
    <n v="1"/>
    <x v="1"/>
    <n v="2679"/>
    <n v="1"/>
    <x v="1"/>
    <x v="6"/>
    <n v="0"/>
    <n v="1"/>
    <n v="0"/>
    <n v="1"/>
  </r>
  <r>
    <n v="1435"/>
    <x v="0"/>
    <x v="0"/>
    <x v="2"/>
    <x v="0"/>
    <s v="Medical"/>
    <n v="1"/>
    <x v="1"/>
    <x v="6"/>
    <s v="Single"/>
    <s v="No"/>
    <x v="7"/>
    <n v="9"/>
    <s v="Bachelor's Degree"/>
    <n v="2"/>
    <n v="1"/>
    <x v="0"/>
    <n v="1081"/>
    <n v="1"/>
    <x v="2"/>
    <x v="6"/>
    <n v="0"/>
    <n v="0"/>
    <n v="0"/>
    <n v="1"/>
  </r>
  <r>
    <n v="1436"/>
    <x v="0"/>
    <x v="1"/>
    <x v="2"/>
    <x v="1"/>
    <s v="Life Sciences"/>
    <n v="1"/>
    <x v="0"/>
    <x v="1"/>
    <s v="Single"/>
    <s v="Yes"/>
    <x v="5"/>
    <n v="5"/>
    <s v="Associates Degree"/>
    <n v="1"/>
    <n v="1"/>
    <x v="2"/>
    <n v="2432"/>
    <n v="8"/>
    <x v="1"/>
    <x v="9"/>
    <n v="1"/>
    <n v="0"/>
    <n v="3"/>
    <n v="1"/>
  </r>
  <r>
    <n v="1437"/>
    <x v="0"/>
    <x v="1"/>
    <x v="2"/>
    <x v="1"/>
    <s v="Other"/>
    <n v="1"/>
    <x v="0"/>
    <x v="4"/>
    <s v="Single"/>
    <s v="Yes"/>
    <x v="11"/>
    <n v="14"/>
    <s v="High School"/>
    <n v="3"/>
    <n v="3"/>
    <x v="0"/>
    <n v="7553"/>
    <n v="9"/>
    <x v="1"/>
    <x v="3"/>
    <n v="7"/>
    <n v="7"/>
    <n v="7"/>
    <n v="1"/>
  </r>
  <r>
    <n v="1438"/>
    <x v="0"/>
    <x v="1"/>
    <x v="1"/>
    <x v="0"/>
    <s v="Medical"/>
    <n v="1"/>
    <x v="0"/>
    <x v="6"/>
    <s v="Married"/>
    <s v="Yes"/>
    <x v="26"/>
    <n v="7"/>
    <s v="Associates Degree"/>
    <n v="4"/>
    <n v="1"/>
    <x v="2"/>
    <n v="2655"/>
    <n v="19"/>
    <x v="1"/>
    <x v="7"/>
    <n v="7"/>
    <n v="7"/>
    <n v="7"/>
    <n v="1"/>
  </r>
  <r>
    <n v="1439"/>
    <x v="0"/>
    <x v="1"/>
    <x v="4"/>
    <x v="0"/>
    <s v="Medical"/>
    <n v="1"/>
    <x v="0"/>
    <x v="6"/>
    <s v="Single"/>
    <s v="Yes"/>
    <x v="41"/>
    <n v="3"/>
    <s v="Associates Degree"/>
    <n v="2"/>
    <n v="1"/>
    <x v="0"/>
    <n v="1569"/>
    <n v="0"/>
    <x v="3"/>
    <x v="2"/>
    <n v="0"/>
    <n v="0"/>
    <n v="0"/>
    <n v="1"/>
  </r>
  <r>
    <n v="1440"/>
    <x v="0"/>
    <x v="0"/>
    <x v="2"/>
    <x v="2"/>
    <s v="Medical"/>
    <n v="1"/>
    <x v="0"/>
    <x v="8"/>
    <s v="Married"/>
    <s v="Yes"/>
    <x v="25"/>
    <n v="20"/>
    <s v="Associates Degree"/>
    <n v="4"/>
    <n v="1"/>
    <x v="1"/>
    <n v="2148"/>
    <n v="6"/>
    <x v="1"/>
    <x v="8"/>
    <n v="1"/>
    <n v="1"/>
    <n v="4"/>
    <n v="1"/>
  </r>
  <r>
    <n v="1441"/>
    <x v="0"/>
    <x v="0"/>
    <x v="0"/>
    <x v="1"/>
    <s v="Life Sciences"/>
    <n v="1"/>
    <x v="0"/>
    <x v="2"/>
    <s v="Divorced"/>
    <s v="Yes"/>
    <x v="10"/>
    <n v="2"/>
    <s v="Bachelor's Degree"/>
    <n v="1"/>
    <n v="1"/>
    <x v="3"/>
    <n v="2074"/>
    <n v="1"/>
    <x v="1"/>
    <x v="6"/>
    <n v="0"/>
    <n v="0"/>
    <n v="0"/>
    <n v="1"/>
  </r>
  <r>
    <n v="1442"/>
    <x v="0"/>
    <x v="0"/>
    <x v="4"/>
    <x v="1"/>
    <s v="Medical"/>
    <n v="1"/>
    <x v="0"/>
    <x v="2"/>
    <s v="Married"/>
    <s v="Yes"/>
    <x v="15"/>
    <n v="8"/>
    <s v="High School"/>
    <n v="3"/>
    <n v="1"/>
    <x v="3"/>
    <n v="2398"/>
    <n v="1"/>
    <x v="1"/>
    <x v="6"/>
    <n v="0"/>
    <n v="0"/>
    <n v="0"/>
    <n v="1"/>
  </r>
  <r>
    <n v="1443"/>
    <x v="0"/>
    <x v="0"/>
    <x v="2"/>
    <x v="0"/>
    <s v="Marketing"/>
    <n v="1"/>
    <x v="0"/>
    <x v="0"/>
    <s v="Single"/>
    <s v="Yes"/>
    <x v="14"/>
    <n v="13"/>
    <s v="Associates Degree"/>
    <n v="4"/>
    <n v="2"/>
    <x v="2"/>
    <n v="9854"/>
    <n v="6"/>
    <x v="1"/>
    <x v="4"/>
    <n v="0"/>
    <n v="2"/>
    <n v="2"/>
    <n v="1"/>
  </r>
  <r>
    <n v="1444"/>
    <x v="0"/>
    <x v="1"/>
    <x v="0"/>
    <x v="1"/>
    <s v="Medical"/>
    <n v="1"/>
    <x v="1"/>
    <x v="1"/>
    <s v="Divorced"/>
    <s v="Yes"/>
    <x v="20"/>
    <n v="1"/>
    <s v="Associates Degree"/>
    <n v="3"/>
    <n v="1"/>
    <x v="1"/>
    <n v="2342"/>
    <n v="6"/>
    <x v="2"/>
    <x v="8"/>
    <n v="3"/>
    <n v="2"/>
    <n v="3"/>
    <n v="1"/>
  </r>
  <r>
    <n v="1445"/>
    <x v="0"/>
    <x v="1"/>
    <x v="2"/>
    <x v="1"/>
    <s v="Life Sciences"/>
    <n v="1"/>
    <x v="1"/>
    <x v="2"/>
    <s v="Married"/>
    <s v="Yes"/>
    <x v="12"/>
    <n v="2"/>
    <s v="Bachelor's Degree"/>
    <n v="2"/>
    <n v="1"/>
    <x v="0"/>
    <n v="3722"/>
    <n v="7"/>
    <x v="0"/>
    <x v="4"/>
    <n v="2"/>
    <n v="2"/>
    <n v="2"/>
    <n v="1"/>
  </r>
  <r>
    <n v="1446"/>
    <x v="0"/>
    <x v="1"/>
    <x v="0"/>
    <x v="1"/>
    <s v="Technical Degree"/>
    <n v="1"/>
    <x v="1"/>
    <x v="1"/>
    <s v="Married"/>
    <s v="Yes"/>
    <x v="23"/>
    <n v="17"/>
    <s v="Bachelor's Degree"/>
    <n v="3"/>
    <n v="1"/>
    <x v="2"/>
    <n v="2437"/>
    <n v="6"/>
    <x v="1"/>
    <x v="6"/>
    <n v="0"/>
    <n v="0"/>
    <n v="0"/>
    <n v="1"/>
  </r>
  <r>
    <n v="1447"/>
    <x v="0"/>
    <x v="1"/>
    <x v="4"/>
    <x v="1"/>
    <s v="Medical"/>
    <n v="1"/>
    <x v="1"/>
    <x v="2"/>
    <s v="Single"/>
    <s v="Yes"/>
    <x v="17"/>
    <n v="9"/>
    <s v="Bachelor's Degree"/>
    <n v="2"/>
    <n v="1"/>
    <x v="3"/>
    <n v="3172"/>
    <n v="4"/>
    <x v="2"/>
    <x v="2"/>
    <n v="0"/>
    <n v="0"/>
    <n v="0"/>
    <n v="1"/>
  </r>
  <r>
    <n v="1448"/>
    <x v="0"/>
    <x v="1"/>
    <x v="2"/>
    <x v="0"/>
    <s v="Marketing"/>
    <n v="1"/>
    <x v="1"/>
    <x v="0"/>
    <s v="Married"/>
    <s v="Yes"/>
    <x v="12"/>
    <n v="26"/>
    <s v="Master's Degree"/>
    <n v="1"/>
    <n v="2"/>
    <x v="0"/>
    <n v="5617"/>
    <n v="10"/>
    <x v="1"/>
    <x v="1"/>
    <n v="7"/>
    <n v="0"/>
    <n v="8"/>
    <n v="1"/>
  </r>
  <r>
    <n v="1449"/>
    <x v="0"/>
    <x v="0"/>
    <x v="2"/>
    <x v="2"/>
    <s v="Human Resources"/>
    <n v="1"/>
    <x v="1"/>
    <x v="8"/>
    <s v="Divorced"/>
    <s v="Yes"/>
    <x v="11"/>
    <n v="13"/>
    <s v="Bachelor's Degree"/>
    <n v="1"/>
    <n v="1"/>
    <x v="3"/>
    <n v="2335"/>
    <n v="4"/>
    <x v="1"/>
    <x v="4"/>
    <n v="2"/>
    <n v="2"/>
    <n v="0"/>
    <n v="1"/>
  </r>
  <r>
    <n v="1450"/>
    <x v="0"/>
    <x v="0"/>
    <x v="2"/>
    <x v="1"/>
    <s v="Medical"/>
    <n v="1"/>
    <x v="1"/>
    <x v="1"/>
    <s v="Married"/>
    <s v="Yes"/>
    <x v="11"/>
    <n v="1"/>
    <s v="Master's Degree"/>
    <n v="1"/>
    <n v="1"/>
    <x v="0"/>
    <n v="4787"/>
    <n v="4"/>
    <x v="3"/>
    <x v="4"/>
    <n v="2"/>
    <n v="2"/>
    <n v="2"/>
    <n v="1"/>
  </r>
  <r>
    <n v="1451"/>
    <x v="0"/>
    <x v="0"/>
    <x v="2"/>
    <x v="1"/>
    <s v="Medical"/>
    <n v="1"/>
    <x v="1"/>
    <x v="2"/>
    <s v="Married"/>
    <s v="Yes"/>
    <x v="14"/>
    <n v="24"/>
    <s v="Bachelor's Degree"/>
    <n v="3"/>
    <n v="1"/>
    <x v="1"/>
    <n v="2408"/>
    <n v="1"/>
    <x v="1"/>
    <x v="6"/>
    <n v="1"/>
    <n v="0"/>
    <n v="0"/>
    <n v="1"/>
  </r>
  <r>
    <n v="1452"/>
    <x v="0"/>
    <x v="0"/>
    <x v="0"/>
    <x v="1"/>
    <s v="Life Sciences"/>
    <n v="1"/>
    <x v="1"/>
    <x v="2"/>
    <s v="Single"/>
    <s v="Yes"/>
    <x v="32"/>
    <n v="7"/>
    <s v="Bachelor's Degree"/>
    <n v="1"/>
    <n v="1"/>
    <x v="3"/>
    <n v="2166"/>
    <n v="10"/>
    <x v="0"/>
    <x v="9"/>
    <n v="2"/>
    <n v="0"/>
    <n v="3"/>
    <n v="1"/>
  </r>
  <r>
    <n v="1453"/>
    <x v="0"/>
    <x v="0"/>
    <x v="4"/>
    <x v="1"/>
    <s v="Medical"/>
    <n v="1"/>
    <x v="1"/>
    <x v="2"/>
    <s v="Single"/>
    <s v="Yes"/>
    <x v="30"/>
    <n v="8"/>
    <s v="High School"/>
    <n v="4"/>
    <n v="1"/>
    <x v="2"/>
    <n v="3989"/>
    <n v="5"/>
    <x v="1"/>
    <x v="8"/>
    <n v="4"/>
    <n v="1"/>
    <n v="2"/>
    <n v="1"/>
  </r>
  <r>
    <n v="1454"/>
    <x v="0"/>
    <x v="0"/>
    <x v="1"/>
    <x v="0"/>
    <s v="Marketing"/>
    <n v="1"/>
    <x v="1"/>
    <x v="0"/>
    <s v="Divorced"/>
    <s v="Yes"/>
    <x v="24"/>
    <n v="28"/>
    <s v="Bachelor's Degree"/>
    <n v="4"/>
    <n v="3"/>
    <x v="3"/>
    <n v="10854"/>
    <n v="20"/>
    <x v="1"/>
    <x v="11"/>
    <n v="2"/>
    <n v="2"/>
    <n v="0"/>
    <n v="1"/>
  </r>
  <r>
    <n v="1455"/>
    <x v="0"/>
    <x v="0"/>
    <x v="0"/>
    <x v="0"/>
    <s v="Medical"/>
    <n v="1"/>
    <x v="1"/>
    <x v="0"/>
    <s v="Divorced"/>
    <s v="Yes"/>
    <x v="10"/>
    <n v="15"/>
    <s v="Associates Degree"/>
    <n v="1"/>
    <n v="2"/>
    <x v="0"/>
    <n v="5440"/>
    <n v="7"/>
    <x v="2"/>
    <x v="4"/>
    <n v="2"/>
    <n v="2"/>
    <n v="2"/>
    <n v="1"/>
  </r>
  <r>
    <n v="1456"/>
    <x v="0"/>
    <x v="0"/>
    <x v="0"/>
    <x v="0"/>
    <s v="Marketing"/>
    <n v="1"/>
    <x v="1"/>
    <x v="0"/>
    <s v="Divorced"/>
    <s v="Yes"/>
    <x v="9"/>
    <n v="13"/>
    <s v="Doctoral Degree"/>
    <n v="2"/>
    <n v="2"/>
    <x v="3"/>
    <n v="6134"/>
    <n v="16"/>
    <x v="1"/>
    <x v="4"/>
    <n v="2"/>
    <n v="2"/>
    <n v="2"/>
    <n v="1"/>
  </r>
  <r>
    <n v="1457"/>
    <x v="0"/>
    <x v="0"/>
    <x v="1"/>
    <x v="0"/>
    <s v="Life Sciences"/>
    <n v="1"/>
    <x v="1"/>
    <x v="0"/>
    <s v="Single"/>
    <s v="Yes"/>
    <x v="16"/>
    <n v="24"/>
    <s v="Master's Degree"/>
    <n v="1"/>
    <n v="3"/>
    <x v="3"/>
    <n v="10448"/>
    <n v="15"/>
    <x v="2"/>
    <x v="4"/>
    <n v="2"/>
    <n v="2"/>
    <n v="2"/>
    <n v="1"/>
  </r>
  <r>
    <n v="1458"/>
    <x v="0"/>
    <x v="0"/>
    <x v="2"/>
    <x v="0"/>
    <s v="Marketing"/>
    <n v="1"/>
    <x v="1"/>
    <x v="0"/>
    <s v="Single"/>
    <s v="Yes"/>
    <x v="5"/>
    <n v="2"/>
    <s v="Master's Degree"/>
    <n v="3"/>
    <n v="2"/>
    <x v="1"/>
    <n v="9907"/>
    <n v="7"/>
    <x v="2"/>
    <x v="4"/>
    <n v="2"/>
    <n v="2"/>
    <n v="2"/>
    <n v="1"/>
  </r>
  <r>
    <n v="1459"/>
    <x v="0"/>
    <x v="0"/>
    <x v="0"/>
    <x v="0"/>
    <s v="Life Sciences"/>
    <n v="1"/>
    <x v="1"/>
    <x v="0"/>
    <s v="Single"/>
    <s v="Yes"/>
    <x v="10"/>
    <n v="27"/>
    <s v="Bachelor's Degree"/>
    <n v="3"/>
    <n v="2"/>
    <x v="0"/>
    <n v="5813"/>
    <n v="10"/>
    <x v="1"/>
    <x v="1"/>
    <n v="7"/>
    <n v="7"/>
    <n v="7"/>
    <n v="1"/>
  </r>
  <r>
    <n v="1460"/>
    <x v="0"/>
    <x v="0"/>
    <x v="1"/>
    <x v="1"/>
    <s v="Medical"/>
    <n v="1"/>
    <x v="0"/>
    <x v="4"/>
    <s v="Married"/>
    <s v="No"/>
    <x v="21"/>
    <n v="21"/>
    <s v="Associates Degree"/>
    <n v="4"/>
    <n v="2"/>
    <x v="1"/>
    <n v="8926"/>
    <n v="13"/>
    <x v="3"/>
    <x v="7"/>
    <n v="7"/>
    <n v="3"/>
    <n v="7"/>
    <n v="1"/>
  </r>
  <r>
    <n v="1461"/>
    <x v="0"/>
    <x v="0"/>
    <x v="1"/>
    <x v="0"/>
    <s v="Life Sciences"/>
    <n v="1"/>
    <x v="0"/>
    <x v="0"/>
    <s v="Married"/>
    <s v="No"/>
    <x v="21"/>
    <n v="10"/>
    <s v="Bachelor's Degree"/>
    <n v="3"/>
    <n v="3"/>
    <x v="1"/>
    <n v="7314"/>
    <n v="14"/>
    <x v="1"/>
    <x v="3"/>
    <n v="7"/>
    <n v="0"/>
    <n v="7"/>
    <n v="1"/>
  </r>
  <r>
    <n v="1462"/>
    <x v="0"/>
    <x v="1"/>
    <x v="1"/>
    <x v="1"/>
    <s v="Life Sciences"/>
    <n v="1"/>
    <x v="1"/>
    <x v="2"/>
    <s v="Single"/>
    <s v="No"/>
    <x v="1"/>
    <n v="28"/>
    <s v="Associates Degree"/>
    <n v="1"/>
    <n v="2"/>
    <x v="3"/>
    <n v="4284"/>
    <n v="20"/>
    <x v="1"/>
    <x v="9"/>
    <n v="3"/>
    <n v="1"/>
    <n v="3"/>
    <n v="1"/>
  </r>
  <r>
    <n v="1463"/>
    <x v="0"/>
    <x v="2"/>
    <x v="0"/>
    <x v="1"/>
    <s v="Life Sciences"/>
    <n v="1"/>
    <x v="0"/>
    <x v="2"/>
    <s v="Single"/>
    <s v="Yes"/>
    <x v="22"/>
    <n v="2"/>
    <s v="Bachelor's Degree"/>
    <n v="1"/>
    <n v="1"/>
    <x v="3"/>
    <n v="3646"/>
    <n v="11"/>
    <x v="3"/>
    <x v="6"/>
    <n v="0"/>
    <n v="0"/>
    <n v="0"/>
    <n v="1"/>
  </r>
  <r>
    <n v="1464"/>
    <x v="0"/>
    <x v="0"/>
    <x v="2"/>
    <x v="0"/>
    <s v="Medical"/>
    <n v="1"/>
    <x v="0"/>
    <x v="0"/>
    <s v="Single"/>
    <s v="Yes"/>
    <x v="13"/>
    <n v="24"/>
    <s v="Master's Degree"/>
    <n v="1"/>
    <n v="2"/>
    <x v="1"/>
    <n v="4599"/>
    <n v="16"/>
    <x v="3"/>
    <x v="15"/>
    <n v="9"/>
    <n v="10"/>
    <n v="10"/>
    <n v="1"/>
  </r>
  <r>
    <n v="1465"/>
    <x v="0"/>
    <x v="0"/>
    <x v="2"/>
    <x v="0"/>
    <s v="Life Sciences"/>
    <n v="1"/>
    <x v="0"/>
    <x v="0"/>
    <s v="Single"/>
    <s v="Yes"/>
    <x v="3"/>
    <n v="16"/>
    <s v="Bachelor's Degree"/>
    <n v="1"/>
    <n v="3"/>
    <x v="3"/>
    <n v="8564"/>
    <n v="11"/>
    <x v="2"/>
    <x v="2"/>
    <n v="0"/>
    <n v="0"/>
    <n v="0"/>
    <n v="1"/>
  </r>
  <r>
    <n v="1466"/>
    <x v="0"/>
    <x v="2"/>
    <x v="2"/>
    <x v="1"/>
    <s v="Technical Degree"/>
    <n v="1"/>
    <x v="1"/>
    <x v="1"/>
    <s v="Married"/>
    <s v="Yes"/>
    <x v="13"/>
    <n v="16"/>
    <s v="Master's Degree"/>
    <n v="4"/>
    <n v="1"/>
    <x v="3"/>
    <n v="2307"/>
    <n v="5"/>
    <x v="1"/>
    <x v="8"/>
    <n v="2"/>
    <n v="3"/>
    <n v="0"/>
    <n v="1"/>
  </r>
  <r>
    <n v="1467"/>
    <x v="0"/>
    <x v="1"/>
    <x v="2"/>
    <x v="1"/>
    <s v="Life Sciences"/>
    <n v="1"/>
    <x v="1"/>
    <x v="1"/>
    <s v="Single"/>
    <s v="Yes"/>
    <x v="11"/>
    <n v="24"/>
    <s v="Associates Degree"/>
    <n v="4"/>
    <n v="1"/>
    <x v="0"/>
    <n v="2439"/>
    <n v="1"/>
    <x v="2"/>
    <x v="6"/>
    <n v="0"/>
    <n v="1"/>
    <n v="0"/>
    <n v="1"/>
  </r>
  <r>
    <n v="1468"/>
    <x v="0"/>
    <x v="1"/>
    <x v="0"/>
    <x v="0"/>
    <s v="Other"/>
    <n v="1"/>
    <x v="1"/>
    <x v="0"/>
    <s v="Single"/>
    <s v="Yes"/>
    <x v="10"/>
    <n v="12"/>
    <s v="Master's Degree"/>
    <n v="4"/>
    <n v="2"/>
    <x v="0"/>
    <n v="4581"/>
    <n v="13"/>
    <x v="3"/>
    <x v="19"/>
    <n v="9"/>
    <n v="6"/>
    <n v="7"/>
    <n v="1"/>
  </r>
  <r>
    <n v="1469"/>
    <x v="0"/>
    <x v="0"/>
    <x v="4"/>
    <x v="1"/>
    <s v="Life Sciences"/>
    <n v="1"/>
    <x v="1"/>
    <x v="1"/>
    <s v="Single"/>
    <s v="Yes"/>
    <x v="15"/>
    <n v="7"/>
    <s v="High School"/>
    <n v="4"/>
    <n v="1"/>
    <x v="1"/>
    <n v="2472"/>
    <n v="1"/>
    <x v="1"/>
    <x v="6"/>
    <n v="0"/>
    <n v="0"/>
    <n v="0"/>
    <n v="1"/>
  </r>
  <r>
    <n v="1470"/>
    <x v="0"/>
    <x v="0"/>
    <x v="4"/>
    <x v="0"/>
    <s v="Life Sciences"/>
    <n v="1"/>
    <x v="1"/>
    <x v="6"/>
    <s v="Divorced"/>
    <s v="Yes"/>
    <x v="30"/>
    <n v="7"/>
    <s v="Bachelor's Degree"/>
    <n v="3"/>
    <n v="1"/>
    <x v="0"/>
    <n v="2275"/>
    <n v="3"/>
    <x v="1"/>
    <x v="11"/>
    <n v="2"/>
    <n v="0"/>
    <n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3DBC0C-0F12-D948-A952-06F59639B02F}" name="PivotTable23"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6" firstHeaderRow="1" firstDataRow="1" firstDataCol="1"/>
  <pivotFields count="25">
    <pivotField showAll="0"/>
    <pivotField showAll="0">
      <items count="3">
        <item x="1"/>
        <item x="0"/>
        <item t="default"/>
      </items>
    </pivotField>
    <pivotField showAll="0"/>
    <pivotField showAll="0">
      <items count="6">
        <item x="2"/>
        <item x="0"/>
        <item x="1"/>
        <item x="3"/>
        <item x="4"/>
        <item t="default"/>
      </items>
    </pivotField>
    <pivotField showAll="0">
      <items count="4">
        <item x="2"/>
        <item x="1"/>
        <item x="0"/>
        <item t="default"/>
      </items>
    </pivotField>
    <pivotField showAll="0"/>
    <pivotField dataField="1" showAll="0"/>
    <pivotField axis="axisRow"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Sum of Employee C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B6B26D-4319-F242-BEEC-9D7BCA496285}" name="PivotTable11"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25">
    <pivotField showAll="0"/>
    <pivotField axis="axisRow" dataField="1" showAll="0">
      <items count="3">
        <item x="1"/>
        <item x="0"/>
        <item t="default"/>
      </items>
    </pivotField>
    <pivotField showAll="0"/>
    <pivotField showAll="0">
      <items count="6">
        <item x="2"/>
        <item x="0"/>
        <item x="1"/>
        <item x="3"/>
        <item x="4"/>
        <item t="default"/>
      </items>
    </pivotField>
    <pivotField showAll="0">
      <items count="4">
        <item x="2"/>
        <item x="1"/>
        <item x="0"/>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DFF889-9F0A-234E-B030-223A20FF8209}" name="PivotTable10"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25">
    <pivotField dataField="1" showAll="0"/>
    <pivotField showAll="0">
      <items count="3">
        <item x="1"/>
        <item x="0"/>
        <item t="default"/>
      </items>
    </pivotField>
    <pivotField showAll="0"/>
    <pivotField showAll="0">
      <items count="6">
        <item x="2"/>
        <item x="0"/>
        <item x="1"/>
        <item x="3"/>
        <item x="4"/>
        <item t="default"/>
      </items>
    </pivotField>
    <pivotField showAll="0">
      <items count="4">
        <item x="2"/>
        <item x="1"/>
        <item x="0"/>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dataField="1" showAll="0"/>
    <pivotField dataField="1" showAll="0"/>
    <pivotField dataField="1" showAll="0"/>
    <pivotField showAll="0"/>
    <pivotField dataField="1"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Count of Employee Number" fld="0" subtotal="count" baseField="0" baseItem="0"/>
    <dataField name="Average of Monthly Income" fld="17" subtotal="average" baseField="0" baseItem="0" numFmtId="166"/>
    <dataField name="Average of Age" fld="11" subtotal="average" baseField="0" baseItem="0" numFmtId="1"/>
    <dataField name="Average of Job Satisfaction" fld="16" subtotal="average" baseField="0" baseItem="0" numFmtId="165"/>
    <dataField name="Average of Total Working Years" fld="18" subtotal="average" baseField="0" baseItem="0" numFmtId="2"/>
    <dataField name="Average of Years At Company" fld="2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3F25BD-F2E7-244A-8807-4AD6AFF42D31}" name="Years at Company by department"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8:H32" firstHeaderRow="1" firstDataRow="1" firstDataCol="1"/>
  <pivotFields count="25">
    <pivotField showAll="0"/>
    <pivotField showAll="0">
      <items count="3">
        <item x="1"/>
        <item x="0"/>
        <item t="default"/>
      </items>
    </pivotField>
    <pivotField showAll="0"/>
    <pivotField showAll="0">
      <items count="6">
        <item x="2"/>
        <item x="0"/>
        <item x="1"/>
        <item x="3"/>
        <item x="4"/>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items count="5">
        <item x="3"/>
        <item x="1"/>
        <item x="2"/>
        <item x="0"/>
        <item t="default"/>
      </items>
    </pivotField>
    <pivotField showAll="0"/>
    <pivotField showAll="0"/>
    <pivotField showAll="0">
      <items count="5">
        <item x="0"/>
        <item x="2"/>
        <item x="1"/>
        <item x="3"/>
        <item t="default"/>
      </items>
    </pivotField>
    <pivotField dataField="1"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4"/>
  </rowFields>
  <rowItems count="4">
    <i>
      <x v="1"/>
    </i>
    <i>
      <x/>
    </i>
    <i>
      <x v="2"/>
    </i>
    <i t="grand">
      <x/>
    </i>
  </rowItems>
  <colItems count="1">
    <i/>
  </colItems>
  <dataFields count="1">
    <dataField name="Average of Years At Company" fld="20" subtotal="average" baseField="0" baseItem="0" numFmtId="2"/>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0"/>
          </reference>
        </references>
      </pivotArea>
    </chartFormat>
    <chartFormat chart="3" format="5">
      <pivotArea type="data" outline="0" fieldPosition="0">
        <references count="2">
          <reference field="4294967294" count="1" selected="0">
            <x v="0"/>
          </reference>
          <reference field="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22ED1E-8355-AE49-A986-27AEE3CBF52D}" name="Attrition by Age Group_x000a_Attrition by Age Group_x000a_"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4" firstHeaderRow="1" firstDataRow="1" firstDataCol="1"/>
  <pivotFields count="25">
    <pivotField showAll="0"/>
    <pivotField showAll="0">
      <items count="3">
        <item x="1"/>
        <item x="0"/>
        <item t="default"/>
      </items>
    </pivotField>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6">
    <i>
      <x v="4"/>
    </i>
    <i>
      <x/>
    </i>
    <i>
      <x v="3"/>
    </i>
    <i>
      <x v="2"/>
    </i>
    <i>
      <x v="1"/>
    </i>
    <i t="grand">
      <x/>
    </i>
  </rowItems>
  <colItems count="1">
    <i/>
  </colItems>
  <dataFields count="1">
    <dataField name="Average of Attrition2" fld="24" subtotal="average" baseField="0" baseItem="0" numFmtId="10"/>
  </dataFields>
  <chartFormats count="2">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04CD53-86FD-2D46-9F35-55E1195E87D7}" name="Work Life Balance"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8:E32" firstHeaderRow="1" firstDataRow="1" firstDataCol="1"/>
  <pivotFields count="25">
    <pivotField showAll="0"/>
    <pivotField showAll="0">
      <items count="3">
        <item x="1"/>
        <item x="0"/>
        <item t="default"/>
      </items>
    </pivotField>
    <pivotField showAll="0"/>
    <pivotField showAll="0">
      <items count="6">
        <item x="2"/>
        <item x="0"/>
        <item x="1"/>
        <item x="3"/>
        <item x="4"/>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items count="5">
        <item x="3"/>
        <item x="1"/>
        <item x="2"/>
        <item x="0"/>
        <item t="default"/>
      </items>
    </pivotField>
    <pivotField showAll="0"/>
    <pivotField showAll="0"/>
    <pivotField dataField="1" showAll="0">
      <items count="5">
        <item x="0"/>
        <item x="2"/>
        <item x="1"/>
        <item x="3"/>
        <item t="default"/>
      </items>
    </pivotField>
    <pivotField showAll="0"/>
    <pivotField showAll="0"/>
    <pivotField showAll="0"/>
    <pivotField showAll="0"/>
    <pivotField showAll="0"/>
  </pivotFields>
  <rowFields count="1">
    <field x="4"/>
  </rowFields>
  <rowItems count="4">
    <i>
      <x v="1"/>
    </i>
    <i>
      <x v="2"/>
    </i>
    <i>
      <x/>
    </i>
    <i t="grand">
      <x/>
    </i>
  </rowItems>
  <colItems count="1">
    <i/>
  </colItems>
  <dataFields count="1">
    <dataField name="Average of Work Life Balance" fld="19" subtotal="average" baseField="0" baseItem="0" numFmtId="2"/>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5373BB-929C-E340-9B64-C9F5AAED4E43}" name="PivotTable22"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13" firstHeaderRow="1" firstDataRow="1" firstDataCol="1"/>
  <pivotFields count="25">
    <pivotField showAll="0"/>
    <pivotField showAll="0">
      <items count="3">
        <item x="1"/>
        <item x="0"/>
        <item t="default"/>
      </items>
    </pivotField>
    <pivotField showAll="0"/>
    <pivotField showAll="0">
      <items count="6">
        <item x="2"/>
        <item x="0"/>
        <item x="1"/>
        <item x="3"/>
        <item x="4"/>
        <item t="default"/>
      </items>
    </pivotField>
    <pivotField showAll="0">
      <items count="4">
        <item x="2"/>
        <item x="1"/>
        <item x="0"/>
        <item t="default"/>
      </items>
    </pivotField>
    <pivotField showAll="0"/>
    <pivotField showAll="0"/>
    <pivotField showAll="0">
      <items count="3">
        <item x="0"/>
        <item x="1"/>
        <item t="default"/>
      </items>
    </pivotField>
    <pivotField axis="axisRow" showAll="0" sortType="a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8"/>
  </rowFields>
  <rowItems count="10">
    <i>
      <x v="3"/>
    </i>
    <i>
      <x v="5"/>
    </i>
    <i>
      <x v="8"/>
    </i>
    <i>
      <x v="4"/>
    </i>
    <i>
      <x v="2"/>
    </i>
    <i>
      <x v="1"/>
    </i>
    <i>
      <x v="7"/>
    </i>
    <i>
      <x v="6"/>
    </i>
    <i>
      <x/>
    </i>
    <i t="grand">
      <x/>
    </i>
  </rowItems>
  <colItems count="1">
    <i/>
  </colItems>
  <dataFields count="1">
    <dataField name="Average of Attrition2" fld="24" subtotal="average" baseField="0" baseItem="0" numFmtId="164"/>
  </dataFields>
  <chartFormats count="3">
    <chartFormat chart="7"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943423-7239-C443-803C-4EF53B993E99}" name="emp by dept" cacheId="5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3:B7" firstHeaderRow="1" firstDataRow="1" firstDataCol="1"/>
  <pivotFields count="25">
    <pivotField dataField="1" showAll="0"/>
    <pivotField showAll="0">
      <items count="3">
        <item x="1"/>
        <item x="0"/>
        <item t="default"/>
      </items>
    </pivotField>
    <pivotField showAll="0">
      <items count="4">
        <item x="2"/>
        <item x="1"/>
        <item x="0"/>
        <item t="default"/>
      </items>
    </pivotField>
    <pivotField showAll="0">
      <items count="6">
        <item x="2"/>
        <item x="0"/>
        <item x="1"/>
        <item x="3"/>
        <item x="4"/>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2"/>
    </i>
    <i>
      <x v="1"/>
    </i>
    <i t="grand">
      <x/>
    </i>
  </rowItems>
  <colItems count="1">
    <i/>
  </colItems>
  <dataFields count="1">
    <dataField name="Count of Employee Number" fld="0" subtotal="count" baseField="0" baseItem="0"/>
  </dataFields>
  <chartFormats count="2">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B4DAC9-CDCD-8C4E-AA58-B6B156E433DD}" name="Salary by Department"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8:H22" firstHeaderRow="1" firstDataRow="1" firstDataCol="1"/>
  <pivotFields count="25">
    <pivotField showAll="0"/>
    <pivotField showAll="0">
      <items count="3">
        <item x="1"/>
        <item x="0"/>
        <item t="default"/>
      </items>
    </pivotField>
    <pivotField showAll="0"/>
    <pivotField showAll="0">
      <items count="6">
        <item x="2"/>
        <item x="0"/>
        <item x="1"/>
        <item x="3"/>
        <item x="4"/>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4">
    <i>
      <x v="1"/>
    </i>
    <i>
      <x/>
    </i>
    <i>
      <x v="2"/>
    </i>
    <i t="grand">
      <x/>
    </i>
  </rowItems>
  <colItems count="1">
    <i/>
  </colItems>
  <dataFields count="1">
    <dataField name="Average of Monthly Income" fld="17" subtotal="average" baseField="0" baseItem="0" numFmtId="2"/>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116A5F-E795-984D-8736-912AAD0C266C}" name="Job Satisfaction"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8:B32" firstHeaderRow="1" firstDataRow="1" firstDataCol="1"/>
  <pivotFields count="25">
    <pivotField showAll="0"/>
    <pivotField showAll="0">
      <items count="3">
        <item x="1"/>
        <item x="0"/>
        <item t="default"/>
      </items>
    </pivotField>
    <pivotField showAll="0"/>
    <pivotField showAll="0">
      <items count="6">
        <item x="2"/>
        <item x="0"/>
        <item x="1"/>
        <item x="3"/>
        <item x="4"/>
        <item t="default"/>
      </items>
    </pivotField>
    <pivotField axis="axisRow" showAll="0">
      <items count="4">
        <item x="2"/>
        <item x="1"/>
        <item x="0"/>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dataField="1"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Job Satisfaction" fld="16" subtotal="average" baseField="0" baseItem="0" numFmtId="2"/>
  </dataFields>
  <chartFormats count="3">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EAD210-1297-0B47-8039-5084A61C6A0F}" name="Gender Distribution"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8:E21" firstHeaderRow="1" firstDataRow="1" firstDataCol="1"/>
  <pivotFields count="25">
    <pivotField dataField="1" showAll="0"/>
    <pivotField showAll="0">
      <items count="3">
        <item x="1"/>
        <item x="0"/>
        <item t="default"/>
      </items>
    </pivotField>
    <pivotField showAll="0"/>
    <pivotField showAll="0">
      <items count="6">
        <item x="2"/>
        <item x="0"/>
        <item x="1"/>
        <item x="3"/>
        <item x="4"/>
        <item t="default"/>
      </items>
    </pivotField>
    <pivotField showAll="0">
      <items count="4">
        <item x="2"/>
        <item x="1"/>
        <item x="0"/>
        <item t="default"/>
      </items>
    </pivotField>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Employee Number" fld="0" subtotal="count" showDataAs="percentOfTotal" baseField="0" baseItem="0" numFmtId="10"/>
  </dataFields>
  <chartFormats count="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7" count="1" selected="0">
            <x v="0"/>
          </reference>
        </references>
      </pivotArea>
    </chartFormat>
    <chartFormat chart="7" format="1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10350D-8E34-A64E-982E-D19AD443446D}" name="Attrition by Department" cacheId="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3:E7" firstHeaderRow="1" firstDataRow="1" firstDataCol="1"/>
  <pivotFields count="25">
    <pivotField showAll="0"/>
    <pivotField showAll="0">
      <items count="3">
        <item x="1"/>
        <item x="0"/>
        <item t="default"/>
      </items>
    </pivotField>
    <pivotField showAll="0"/>
    <pivotField showAll="0">
      <items count="6">
        <item x="2"/>
        <item x="0"/>
        <item x="1"/>
        <item x="3"/>
        <item x="4"/>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v="1"/>
    </i>
    <i>
      <x/>
    </i>
    <i>
      <x v="2"/>
    </i>
    <i t="grand">
      <x/>
    </i>
  </rowItems>
  <colItems count="1">
    <i/>
  </colItems>
  <dataFields count="1">
    <dataField name="Average of Attrition2" fld="24" subtotal="average" baseField="0" baseItem="0" numFmtId="10"/>
  </dataFields>
  <chartFormats count="5">
    <chartFormat chart="5"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4" count="1" selected="0">
            <x v="2"/>
          </reference>
        </references>
      </pivotArea>
    </chartFormat>
    <chartFormat chart="20" format="6">
      <pivotArea type="data" outline="0" fieldPosition="0">
        <references count="2">
          <reference field="4294967294" count="1" selected="0">
            <x v="0"/>
          </reference>
          <reference field="4" count="1" selected="0">
            <x v="0"/>
          </reference>
        </references>
      </pivotArea>
    </chartFormat>
    <chartFormat chart="20"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92611CB-0F09-834D-AD82-1EAF841F832F}" autoFormatId="16" applyNumberFormats="0" applyBorderFormats="0" applyFontFormats="0" applyPatternFormats="0" applyAlignmentFormats="0" applyWidthHeightFormats="0">
  <queryTableRefresh nextId="27" unboundColumnsRight="1">
    <queryTableFields count="25">
      <queryTableField id="1" name="Employee Number" tableColumnId="1"/>
      <queryTableField id="2" name="Attrition" tableColumnId="2"/>
      <queryTableField id="3" name="Business Travel" tableColumnId="3"/>
      <queryTableField id="4" name="Age Group" tableColumnId="4"/>
      <queryTableField id="5" name="Department" tableColumnId="5"/>
      <queryTableField id="6" name="Education Field" tableColumnId="6"/>
      <queryTableField id="7" name="Employee Count" tableColumnId="7"/>
      <queryTableField id="8" name="Gender" tableColumnId="8"/>
      <queryTableField id="9" name="Job Role" tableColumnId="9"/>
      <queryTableField id="10" name="Marital Status" tableColumnId="10"/>
      <queryTableField id="11" name="Over Time" tableColumnId="11"/>
      <queryTableField id="12" name="Age" tableColumnId="12"/>
      <queryTableField id="13" name="Distance From Home" tableColumnId="13"/>
      <queryTableField id="14" name="Education" tableColumnId="14"/>
      <queryTableField id="15" name="Environment Satisfaction" tableColumnId="15"/>
      <queryTableField id="16" name="Job Level" tableColumnId="16"/>
      <queryTableField id="17" name="Job Satisfaction" tableColumnId="17"/>
      <queryTableField id="18" name="Monthly Income" tableColumnId="18"/>
      <queryTableField id="19" name="Total Working Years" tableColumnId="19"/>
      <queryTableField id="20" name="Work Life Balance" tableColumnId="20"/>
      <queryTableField id="21" name="Years At Company" tableColumnId="21"/>
      <queryTableField id="22" name="Years In Current Role" tableColumnId="22"/>
      <queryTableField id="23" name="Years Since Last Promotion" tableColumnId="23"/>
      <queryTableField id="24" name="Years With Curr Manager" tableColumnId="24"/>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B0B23319-0C18-E14B-9853-F8C0558BE321}" sourceName="Attrition">
  <pivotTables>
    <pivotTable tabId="14" name="PivotTable10"/>
    <pivotTable tabId="14" name="PivotTable11"/>
    <pivotTable tabId="14" name="PivotTable23"/>
    <pivotTable tabId="17" name="emp by dept"/>
    <pivotTable tabId="17" name="Gender Distribution"/>
    <pivotTable tabId="17" name="Job Satisfaction"/>
    <pivotTable tabId="17" name="PivotTable22"/>
    <pivotTable tabId="17" name="Salary by Department"/>
    <pivotTable tabId="17" name="Work Life Balance"/>
    <pivotTable tabId="17" name="Years at Company by department"/>
  </pivotTables>
  <data>
    <tabular pivotCacheId="147392614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B0B8CC4-389F-D541-84ED-EFF8CA73EBB8}" sourceName="Age Group">
  <pivotTables>
    <pivotTable tabId="14" name="PivotTable10"/>
    <pivotTable tabId="14" name="PivotTable11"/>
    <pivotTable tabId="14" name="PivotTable23"/>
    <pivotTable tabId="17" name="Attrition by Age Group_x000a_Attrition by Age Group_x000a_"/>
    <pivotTable tabId="17" name="Attrition by Department"/>
    <pivotTable tabId="17" name="emp by dept"/>
    <pivotTable tabId="17" name="Gender Distribution"/>
    <pivotTable tabId="17" name="Job Satisfaction"/>
    <pivotTable tabId="17" name="PivotTable22"/>
    <pivotTable tabId="17" name="Salary by Department"/>
    <pivotTable tabId="17" name="Work Life Balance"/>
    <pivotTable tabId="17" name="Years at Company by department"/>
  </pivotTables>
  <data>
    <tabular pivotCacheId="1473926145">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1A4B0B5-26EC-F94B-A396-0BBE92E23E26}" sourceName="Department">
  <pivotTables>
    <pivotTable tabId="14" name="PivotTable10"/>
    <pivotTable tabId="14" name="PivotTable11"/>
    <pivotTable tabId="14" name="PivotTable23"/>
    <pivotTable tabId="17" name="Attrition by Age Group_x000a_Attrition by Age Group_x000a_"/>
    <pivotTable tabId="17" name="Attrition by Department"/>
    <pivotTable tabId="17" name="emp by dept"/>
    <pivotTable tabId="17" name="Gender Distribution"/>
    <pivotTable tabId="17" name="Job Satisfaction"/>
    <pivotTable tabId="17" name="PivotTable22"/>
    <pivotTable tabId="17" name="Salary by Department"/>
    <pivotTable tabId="17" name="Work Life Balance"/>
    <pivotTable tabId="17" name="Years at Company by department"/>
  </pivotTables>
  <data>
    <tabular pivotCacheId="147392614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EA487A-BBCB-8F4A-B4CC-06644E8E984E}" sourceName="Gender">
  <pivotTables>
    <pivotTable tabId="14" name="PivotTable10"/>
    <pivotTable tabId="14" name="PivotTable11"/>
    <pivotTable tabId="14" name="PivotTable23"/>
    <pivotTable tabId="17" name="Attrition by Age Group_x000a_Attrition by Age Group_x000a_"/>
    <pivotTable tabId="17" name="Attrition by Department"/>
    <pivotTable tabId="17" name="emp by dept"/>
    <pivotTable tabId="17" name="Gender Distribution"/>
    <pivotTable tabId="17" name="Job Satisfaction"/>
    <pivotTable tabId="17" name="PivotTable22"/>
    <pivotTable tabId="17" name="Salary by Department"/>
    <pivotTable tabId="17" name="Work Life Balance"/>
    <pivotTable tabId="17" name="Years at Company by department"/>
  </pivotTables>
  <data>
    <tabular pivotCacheId="147392614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CE0FE85E-CDE1-E34F-B9DD-CAB26D8F5545}" sourceName="Job Role">
  <pivotTables>
    <pivotTable tabId="14" name="PivotTable10"/>
    <pivotTable tabId="14" name="PivotTable11"/>
    <pivotTable tabId="14" name="PivotTable23"/>
    <pivotTable tabId="17" name="Attrition by Age Group_x000a_Attrition by Age Group_x000a_"/>
    <pivotTable tabId="17" name="Attrition by Department"/>
    <pivotTable tabId="17" name="emp by dept"/>
    <pivotTable tabId="17" name="Gender Distribution"/>
    <pivotTable tabId="17" name="Job Satisfaction"/>
    <pivotTable tabId="17" name="PivotTable22"/>
    <pivotTable tabId="17" name="Salary by Department"/>
    <pivotTable tabId="17" name="Work Life Balance"/>
    <pivotTable tabId="17" name="Years at Company by department"/>
  </pivotTables>
  <data>
    <tabular pivotCacheId="1473926145">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32028836-0612-2341-9E63-565B77B3805C}" cache="Slicer_Attrition" caption="Attrition" rowHeight="251883"/>
  <slicer name="Age Group" xr10:uid="{867E1BC2-9CC2-D648-AF98-1534111CEC0F}" cache="Slicer_Age_Group" caption="Age Group" rowHeight="251883"/>
  <slicer name="Department" xr10:uid="{8FA96DB0-5A4D-3945-BFA7-4CB2D764A1AF}" cache="Slicer_Department" caption="Department" rowHeight="251883"/>
  <slicer name="Gender" xr10:uid="{051BF015-2EC7-BC4B-9B5F-450A6F579669}" cache="Slicer_Gender" caption="Gender" rowHeight="251883"/>
  <slicer name="Job Role" xr10:uid="{9668D96E-5BD3-2545-BAA9-C3E0EA87E712}" cache="Slicer_Job_Role" caption="Job Rol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E86A71C7-5ACB-6A4A-8CF3-22EF5013B0AC}" cache="Slicer_Age_Group" caption="Age Group" rowHeight="251883"/>
  <slicer name="Department 1" xr10:uid="{66F85D1E-0BB4-9A4C-8B70-E30E6F1016DD}" cache="Slicer_Department" caption="Department" rowHeight="251883"/>
  <slicer name="Gender 1" xr10:uid="{411E602C-8572-FE41-B68F-27DB72B5CB8E}" cache="Slicer_Gender" caption="Gender" rowHeight="251883"/>
  <slicer name="Job Role 1" xr10:uid="{64FE7E43-BD8F-B441-A025-223A6DF2CA8A}" cache="Slicer_Job_Role" caption="Job Rol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4CAC47-32D4-F142-B2BB-F4839141A27F}" name="HR_data" displayName="HR_data" ref="A1:Y1471" tableType="queryTable" totalsRowShown="0">
  <autoFilter ref="A1:Y1471" xr:uid="{A94CAC47-32D4-F142-B2BB-F4839141A27F}"/>
  <tableColumns count="25">
    <tableColumn id="1" xr3:uid="{4FD6D79C-2251-4644-BB1F-0A2CC18970CB}" uniqueName="1" name="Employee Number" queryTableFieldId="1"/>
    <tableColumn id="2" xr3:uid="{BA52A787-B111-2641-B6D7-1280A70CD9F5}" uniqueName="2" name="Attrition" queryTableFieldId="2" dataDxfId="10"/>
    <tableColumn id="3" xr3:uid="{EF9916E1-9130-FC43-9FFC-C8E7D61DD81F}" uniqueName="3" name="Business Travel" queryTableFieldId="3" dataDxfId="9"/>
    <tableColumn id="4" xr3:uid="{C2CB63DB-BEEF-3A48-8E31-7D63D00DD25C}" uniqueName="4" name="Age Group" queryTableFieldId="4" dataDxfId="8"/>
    <tableColumn id="5" xr3:uid="{352E6C7C-EF02-E146-BAEF-E4E16A621C8D}" uniqueName="5" name="Department" queryTableFieldId="5" dataDxfId="7"/>
    <tableColumn id="6" xr3:uid="{C84FDA9F-D2AB-AB42-9A06-3383ACA575BB}" uniqueName="6" name="Education Field" queryTableFieldId="6" dataDxfId="6"/>
    <tableColumn id="7" xr3:uid="{DEDA70E8-4F38-EB44-AFE0-76A35CD87A18}" uniqueName="7" name="Employee Count" queryTableFieldId="7"/>
    <tableColumn id="8" xr3:uid="{EDB21684-DF25-DB4F-818B-ADA06B33F175}" uniqueName="8" name="Gender" queryTableFieldId="8" dataDxfId="5"/>
    <tableColumn id="9" xr3:uid="{87BE5F95-08CA-E641-8B3F-AFD32325A693}" uniqueName="9" name="Job Role" queryTableFieldId="9" dataDxfId="4"/>
    <tableColumn id="10" xr3:uid="{A1DD5D9A-5C2B-9948-A1D7-996BE6F6FD0E}" uniqueName="10" name="Marital Status" queryTableFieldId="10" dataDxfId="3"/>
    <tableColumn id="11" xr3:uid="{DBD1BA5D-EE5C-0441-B76A-1C7C43CD2E4B}" uniqueName="11" name="Over Time" queryTableFieldId="11" dataDxfId="2"/>
    <tableColumn id="12" xr3:uid="{A5C18578-E10D-F340-8340-816EA79D561A}" uniqueName="12" name="Age" queryTableFieldId="12"/>
    <tableColumn id="13" xr3:uid="{A7DD1DB7-1F12-FE4B-8E9D-7C76014A741E}" uniqueName="13" name="Distance From Home" queryTableFieldId="13"/>
    <tableColumn id="14" xr3:uid="{0193A5E2-5130-194B-8EC6-B3D37255ABFB}" uniqueName="14" name="Education" queryTableFieldId="14" dataDxfId="1"/>
    <tableColumn id="15" xr3:uid="{8A19E627-39A9-AF40-9887-3E2206F1A382}" uniqueName="15" name="Environment Satisfaction" queryTableFieldId="15"/>
    <tableColumn id="16" xr3:uid="{49C81F4A-8044-924C-882F-B565FEA58665}" uniqueName="16" name="Job Level" queryTableFieldId="16"/>
    <tableColumn id="17" xr3:uid="{E9A80275-F1FA-1B4A-A9A2-AE09ADF38B2B}" uniqueName="17" name="Job Satisfaction" queryTableFieldId="17"/>
    <tableColumn id="18" xr3:uid="{29AD5E11-F3CD-C84C-A987-146E5C3080FF}" uniqueName="18" name="Monthly Income" queryTableFieldId="18"/>
    <tableColumn id="19" xr3:uid="{F0437799-E164-1A4F-B91D-387C6321F466}" uniqueName="19" name="Total Working Years" queryTableFieldId="19"/>
    <tableColumn id="20" xr3:uid="{6FC47A4F-6B15-6A46-A59E-AA5D549E2CF3}" uniqueName="20" name="Work Life Balance" queryTableFieldId="20"/>
    <tableColumn id="21" xr3:uid="{7FCD0AAC-0DEA-0242-9F99-52454FA6C357}" uniqueName="21" name="Years At Company" queryTableFieldId="21"/>
    <tableColumn id="22" xr3:uid="{7EFB8A23-3772-C14D-93AD-071DBD1911CF}" uniqueName="22" name="Years In Current Role" queryTableFieldId="22"/>
    <tableColumn id="23" xr3:uid="{D100FEF2-0350-7748-AD95-C009CB5323C2}" uniqueName="23" name="Years Since Last Promotion" queryTableFieldId="23"/>
    <tableColumn id="24" xr3:uid="{751DB394-7664-1042-AB33-D92595BBFFE9}" uniqueName="24" name="Years With Curr Manager" queryTableFieldId="24"/>
    <tableColumn id="26" xr3:uid="{F1F3AB24-6CAC-0141-B084-C82FB8CD292E}" uniqueName="26" name="Attrition2" queryTableFieldId="26" dataDxfId="0">
      <calculatedColumnFormula>IF(HR_data[[#This Row],[Attrition]]= "Yes",1,0)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3D574-0EE9-C341-B1BC-1F00EA2B1EE8}">
  <sheetPr>
    <tabColor rgb="FFFF0000"/>
  </sheetPr>
  <dimension ref="A1:X1471"/>
  <sheetViews>
    <sheetView zoomScale="119" workbookViewId="0">
      <selection activeCell="F21" sqref="F21"/>
    </sheetView>
  </sheetViews>
  <sheetFormatPr defaultColWidth="11" defaultRowHeight="15.95"/>
  <sheetData>
    <row r="1" spans="1:2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c r="A2" s="1">
        <v>1</v>
      </c>
      <c r="B2" s="1" t="s">
        <v>24</v>
      </c>
      <c r="C2" s="1" t="s">
        <v>25</v>
      </c>
      <c r="D2" s="1" t="s">
        <v>26</v>
      </c>
      <c r="E2" s="1" t="s">
        <v>27</v>
      </c>
      <c r="F2" s="1" t="s">
        <v>28</v>
      </c>
      <c r="G2" s="1">
        <v>1</v>
      </c>
      <c r="H2" s="1" t="s">
        <v>29</v>
      </c>
      <c r="I2" s="1" t="s">
        <v>30</v>
      </c>
      <c r="J2" s="1" t="s">
        <v>31</v>
      </c>
      <c r="K2" s="1" t="s">
        <v>24</v>
      </c>
      <c r="L2" s="1">
        <v>41</v>
      </c>
      <c r="M2" s="1">
        <v>1</v>
      </c>
      <c r="N2" s="1" t="s">
        <v>32</v>
      </c>
      <c r="O2" s="1">
        <v>2</v>
      </c>
      <c r="P2" s="1">
        <v>2</v>
      </c>
      <c r="Q2" s="1">
        <v>4</v>
      </c>
      <c r="R2" s="1">
        <v>5993</v>
      </c>
      <c r="S2" s="1">
        <v>8</v>
      </c>
      <c r="T2" s="1">
        <v>1</v>
      </c>
      <c r="U2" s="1">
        <v>6</v>
      </c>
      <c r="V2" s="1">
        <v>4</v>
      </c>
      <c r="W2" s="1">
        <v>0</v>
      </c>
      <c r="X2" s="1">
        <v>5</v>
      </c>
    </row>
    <row r="3" spans="1:24">
      <c r="A3" s="1">
        <v>2</v>
      </c>
      <c r="B3" s="1" t="s">
        <v>33</v>
      </c>
      <c r="C3" s="1" t="s">
        <v>34</v>
      </c>
      <c r="D3" s="1" t="s">
        <v>35</v>
      </c>
      <c r="E3" s="1" t="s">
        <v>36</v>
      </c>
      <c r="F3" s="1" t="s">
        <v>28</v>
      </c>
      <c r="G3" s="1">
        <v>1</v>
      </c>
      <c r="H3" s="1" t="s">
        <v>37</v>
      </c>
      <c r="I3" s="1" t="s">
        <v>38</v>
      </c>
      <c r="J3" s="1" t="s">
        <v>39</v>
      </c>
      <c r="K3" s="1" t="s">
        <v>33</v>
      </c>
      <c r="L3" s="1">
        <v>49</v>
      </c>
      <c r="M3" s="1">
        <v>8</v>
      </c>
      <c r="N3" s="1" t="s">
        <v>40</v>
      </c>
      <c r="O3" s="1">
        <v>3</v>
      </c>
      <c r="P3" s="1">
        <v>2</v>
      </c>
      <c r="Q3" s="1">
        <v>2</v>
      </c>
      <c r="R3" s="1">
        <v>5130</v>
      </c>
      <c r="S3" s="1">
        <v>10</v>
      </c>
      <c r="T3" s="1">
        <v>3</v>
      </c>
      <c r="U3" s="1">
        <v>10</v>
      </c>
      <c r="V3" s="1">
        <v>7</v>
      </c>
      <c r="W3" s="1">
        <v>1</v>
      </c>
      <c r="X3" s="1">
        <v>7</v>
      </c>
    </row>
    <row r="4" spans="1:24">
      <c r="A4" s="1">
        <v>3</v>
      </c>
      <c r="B4" s="1" t="s">
        <v>24</v>
      </c>
      <c r="C4" s="1" t="s">
        <v>25</v>
      </c>
      <c r="D4" s="1" t="s">
        <v>26</v>
      </c>
      <c r="E4" s="1" t="s">
        <v>36</v>
      </c>
      <c r="F4" s="1" t="s">
        <v>41</v>
      </c>
      <c r="G4" s="1">
        <v>1</v>
      </c>
      <c r="H4" s="1" t="s">
        <v>37</v>
      </c>
      <c r="I4" s="1" t="s">
        <v>42</v>
      </c>
      <c r="J4" s="1" t="s">
        <v>31</v>
      </c>
      <c r="K4" s="1" t="s">
        <v>24</v>
      </c>
      <c r="L4" s="1">
        <v>37</v>
      </c>
      <c r="M4" s="1">
        <v>2</v>
      </c>
      <c r="N4" s="1" t="s">
        <v>32</v>
      </c>
      <c r="O4" s="1">
        <v>4</v>
      </c>
      <c r="P4" s="1">
        <v>1</v>
      </c>
      <c r="Q4" s="1">
        <v>3</v>
      </c>
      <c r="R4" s="1">
        <v>2090</v>
      </c>
      <c r="S4" s="1">
        <v>7</v>
      </c>
      <c r="T4" s="1">
        <v>3</v>
      </c>
      <c r="U4" s="1">
        <v>0</v>
      </c>
      <c r="V4" s="1">
        <v>0</v>
      </c>
      <c r="W4" s="1">
        <v>0</v>
      </c>
      <c r="X4" s="1">
        <v>0</v>
      </c>
    </row>
    <row r="5" spans="1:24">
      <c r="A5" s="1">
        <v>4</v>
      </c>
      <c r="B5" s="1" t="s">
        <v>33</v>
      </c>
      <c r="C5" s="1" t="s">
        <v>34</v>
      </c>
      <c r="D5" s="1" t="s">
        <v>43</v>
      </c>
      <c r="E5" s="1" t="s">
        <v>36</v>
      </c>
      <c r="F5" s="1" t="s">
        <v>28</v>
      </c>
      <c r="G5" s="1">
        <v>1</v>
      </c>
      <c r="H5" s="1" t="s">
        <v>29</v>
      </c>
      <c r="I5" s="1" t="s">
        <v>38</v>
      </c>
      <c r="J5" s="1" t="s">
        <v>39</v>
      </c>
      <c r="K5" s="1" t="s">
        <v>24</v>
      </c>
      <c r="L5" s="1">
        <v>33</v>
      </c>
      <c r="M5" s="1">
        <v>3</v>
      </c>
      <c r="N5" s="1" t="s">
        <v>44</v>
      </c>
      <c r="O5" s="1">
        <v>4</v>
      </c>
      <c r="P5" s="1">
        <v>1</v>
      </c>
      <c r="Q5" s="1">
        <v>3</v>
      </c>
      <c r="R5" s="1">
        <v>2909</v>
      </c>
      <c r="S5" s="1">
        <v>8</v>
      </c>
      <c r="T5" s="1">
        <v>3</v>
      </c>
      <c r="U5" s="1">
        <v>8</v>
      </c>
      <c r="V5" s="1">
        <v>7</v>
      </c>
      <c r="W5" s="1">
        <v>3</v>
      </c>
      <c r="X5" s="1">
        <v>0</v>
      </c>
    </row>
    <row r="6" spans="1:24">
      <c r="A6" s="1">
        <v>5</v>
      </c>
      <c r="B6" s="1" t="s">
        <v>33</v>
      </c>
      <c r="C6" s="1" t="s">
        <v>25</v>
      </c>
      <c r="D6" s="1" t="s">
        <v>43</v>
      </c>
      <c r="E6" s="1" t="s">
        <v>36</v>
      </c>
      <c r="F6" s="1" t="s">
        <v>45</v>
      </c>
      <c r="G6" s="1">
        <v>1</v>
      </c>
      <c r="H6" s="1" t="s">
        <v>37</v>
      </c>
      <c r="I6" s="1" t="s">
        <v>42</v>
      </c>
      <c r="J6" s="1" t="s">
        <v>39</v>
      </c>
      <c r="K6" s="1" t="s">
        <v>33</v>
      </c>
      <c r="L6" s="1">
        <v>27</v>
      </c>
      <c r="M6" s="1">
        <v>2</v>
      </c>
      <c r="N6" s="1" t="s">
        <v>40</v>
      </c>
      <c r="O6" s="1">
        <v>1</v>
      </c>
      <c r="P6" s="1">
        <v>1</v>
      </c>
      <c r="Q6" s="1">
        <v>2</v>
      </c>
      <c r="R6" s="1">
        <v>3468</v>
      </c>
      <c r="S6" s="1">
        <v>6</v>
      </c>
      <c r="T6" s="1">
        <v>3</v>
      </c>
      <c r="U6" s="1">
        <v>2</v>
      </c>
      <c r="V6" s="1">
        <v>2</v>
      </c>
      <c r="W6" s="1">
        <v>2</v>
      </c>
      <c r="X6" s="1">
        <v>2</v>
      </c>
    </row>
    <row r="7" spans="1:24">
      <c r="A7" s="1">
        <v>6</v>
      </c>
      <c r="B7" s="1" t="s">
        <v>33</v>
      </c>
      <c r="C7" s="1" t="s">
        <v>34</v>
      </c>
      <c r="D7" s="1" t="s">
        <v>43</v>
      </c>
      <c r="E7" s="1" t="s">
        <v>36</v>
      </c>
      <c r="F7" s="1" t="s">
        <v>28</v>
      </c>
      <c r="G7" s="1">
        <v>1</v>
      </c>
      <c r="H7" s="1" t="s">
        <v>37</v>
      </c>
      <c r="I7" s="1" t="s">
        <v>42</v>
      </c>
      <c r="J7" s="1" t="s">
        <v>31</v>
      </c>
      <c r="K7" s="1" t="s">
        <v>33</v>
      </c>
      <c r="L7" s="1">
        <v>32</v>
      </c>
      <c r="M7" s="1">
        <v>2</v>
      </c>
      <c r="N7" s="1" t="s">
        <v>32</v>
      </c>
      <c r="O7" s="1">
        <v>4</v>
      </c>
      <c r="P7" s="1">
        <v>1</v>
      </c>
      <c r="Q7" s="1">
        <v>4</v>
      </c>
      <c r="R7" s="1">
        <v>3068</v>
      </c>
      <c r="S7" s="1">
        <v>8</v>
      </c>
      <c r="T7" s="1">
        <v>2</v>
      </c>
      <c r="U7" s="1">
        <v>7</v>
      </c>
      <c r="V7" s="1">
        <v>7</v>
      </c>
      <c r="W7" s="1">
        <v>3</v>
      </c>
      <c r="X7" s="1">
        <v>6</v>
      </c>
    </row>
    <row r="8" spans="1:24">
      <c r="A8" s="1">
        <v>7</v>
      </c>
      <c r="B8" s="1" t="s">
        <v>33</v>
      </c>
      <c r="C8" s="1" t="s">
        <v>25</v>
      </c>
      <c r="D8" s="1" t="s">
        <v>46</v>
      </c>
      <c r="E8" s="1" t="s">
        <v>36</v>
      </c>
      <c r="F8" s="1" t="s">
        <v>45</v>
      </c>
      <c r="G8" s="1">
        <v>1</v>
      </c>
      <c r="H8" s="1" t="s">
        <v>29</v>
      </c>
      <c r="I8" s="1" t="s">
        <v>42</v>
      </c>
      <c r="J8" s="1" t="s">
        <v>39</v>
      </c>
      <c r="K8" s="1" t="s">
        <v>24</v>
      </c>
      <c r="L8" s="1">
        <v>59</v>
      </c>
      <c r="M8" s="1">
        <v>3</v>
      </c>
      <c r="N8" s="1" t="s">
        <v>47</v>
      </c>
      <c r="O8" s="1">
        <v>3</v>
      </c>
      <c r="P8" s="1">
        <v>1</v>
      </c>
      <c r="Q8" s="1">
        <v>1</v>
      </c>
      <c r="R8" s="1">
        <v>2670</v>
      </c>
      <c r="S8" s="1">
        <v>12</v>
      </c>
      <c r="T8" s="1">
        <v>2</v>
      </c>
      <c r="U8" s="1">
        <v>1</v>
      </c>
      <c r="V8" s="1">
        <v>0</v>
      </c>
      <c r="W8" s="1">
        <v>0</v>
      </c>
      <c r="X8" s="1">
        <v>0</v>
      </c>
    </row>
    <row r="9" spans="1:24">
      <c r="A9" s="1">
        <v>8</v>
      </c>
      <c r="B9" s="1" t="s">
        <v>33</v>
      </c>
      <c r="C9" s="1" t="s">
        <v>25</v>
      </c>
      <c r="D9" s="1" t="s">
        <v>43</v>
      </c>
      <c r="E9" s="1" t="s">
        <v>36</v>
      </c>
      <c r="F9" s="1" t="s">
        <v>28</v>
      </c>
      <c r="G9" s="1">
        <v>1</v>
      </c>
      <c r="H9" s="1" t="s">
        <v>37</v>
      </c>
      <c r="I9" s="1" t="s">
        <v>42</v>
      </c>
      <c r="J9" s="1" t="s">
        <v>48</v>
      </c>
      <c r="K9" s="1" t="s">
        <v>33</v>
      </c>
      <c r="L9" s="1">
        <v>30</v>
      </c>
      <c r="M9" s="1">
        <v>24</v>
      </c>
      <c r="N9" s="1" t="s">
        <v>40</v>
      </c>
      <c r="O9" s="1">
        <v>4</v>
      </c>
      <c r="P9" s="1">
        <v>1</v>
      </c>
      <c r="Q9" s="1">
        <v>3</v>
      </c>
      <c r="R9" s="1">
        <v>2693</v>
      </c>
      <c r="S9" s="1">
        <v>1</v>
      </c>
      <c r="T9" s="1">
        <v>3</v>
      </c>
      <c r="U9" s="1">
        <v>1</v>
      </c>
      <c r="V9" s="1">
        <v>0</v>
      </c>
      <c r="W9" s="1">
        <v>0</v>
      </c>
      <c r="X9" s="1">
        <v>0</v>
      </c>
    </row>
    <row r="10" spans="1:24">
      <c r="A10" s="1">
        <v>9</v>
      </c>
      <c r="B10" s="1" t="s">
        <v>33</v>
      </c>
      <c r="C10" s="1" t="s">
        <v>34</v>
      </c>
      <c r="D10" s="1" t="s">
        <v>26</v>
      </c>
      <c r="E10" s="1" t="s">
        <v>36</v>
      </c>
      <c r="F10" s="1" t="s">
        <v>28</v>
      </c>
      <c r="G10" s="1">
        <v>1</v>
      </c>
      <c r="H10" s="1" t="s">
        <v>37</v>
      </c>
      <c r="I10" s="1" t="s">
        <v>49</v>
      </c>
      <c r="J10" s="1" t="s">
        <v>31</v>
      </c>
      <c r="K10" s="1" t="s">
        <v>33</v>
      </c>
      <c r="L10" s="1">
        <v>38</v>
      </c>
      <c r="M10" s="1">
        <v>23</v>
      </c>
      <c r="N10" s="1" t="s">
        <v>47</v>
      </c>
      <c r="O10" s="1">
        <v>4</v>
      </c>
      <c r="P10" s="1">
        <v>3</v>
      </c>
      <c r="Q10" s="1">
        <v>3</v>
      </c>
      <c r="R10" s="1">
        <v>9526</v>
      </c>
      <c r="S10" s="1">
        <v>10</v>
      </c>
      <c r="T10" s="1">
        <v>3</v>
      </c>
      <c r="U10" s="1">
        <v>9</v>
      </c>
      <c r="V10" s="1">
        <v>7</v>
      </c>
      <c r="W10" s="1">
        <v>1</v>
      </c>
      <c r="X10" s="1">
        <v>8</v>
      </c>
    </row>
    <row r="11" spans="1:24">
      <c r="A11" s="1">
        <v>10</v>
      </c>
      <c r="B11" s="1" t="s">
        <v>33</v>
      </c>
      <c r="C11" s="1" t="s">
        <v>25</v>
      </c>
      <c r="D11" s="1" t="s">
        <v>26</v>
      </c>
      <c r="E11" s="1" t="s">
        <v>36</v>
      </c>
      <c r="F11" s="1" t="s">
        <v>45</v>
      </c>
      <c r="G11" s="1">
        <v>1</v>
      </c>
      <c r="H11" s="1" t="s">
        <v>37</v>
      </c>
      <c r="I11" s="1" t="s">
        <v>50</v>
      </c>
      <c r="J11" s="1" t="s">
        <v>39</v>
      </c>
      <c r="K11" s="1" t="s">
        <v>33</v>
      </c>
      <c r="L11" s="1">
        <v>36</v>
      </c>
      <c r="M11" s="1">
        <v>27</v>
      </c>
      <c r="N11" s="1" t="s">
        <v>47</v>
      </c>
      <c r="O11" s="1">
        <v>3</v>
      </c>
      <c r="P11" s="1">
        <v>2</v>
      </c>
      <c r="Q11" s="1">
        <v>3</v>
      </c>
      <c r="R11" s="1">
        <v>5237</v>
      </c>
      <c r="S11" s="1">
        <v>17</v>
      </c>
      <c r="T11" s="1">
        <v>2</v>
      </c>
      <c r="U11" s="1">
        <v>7</v>
      </c>
      <c r="V11" s="1">
        <v>7</v>
      </c>
      <c r="W11" s="1">
        <v>7</v>
      </c>
      <c r="X11" s="1">
        <v>7</v>
      </c>
    </row>
    <row r="12" spans="1:24">
      <c r="A12" s="1">
        <v>11</v>
      </c>
      <c r="B12" s="1" t="s">
        <v>33</v>
      </c>
      <c r="C12" s="1" t="s">
        <v>25</v>
      </c>
      <c r="D12" s="1" t="s">
        <v>26</v>
      </c>
      <c r="E12" s="1" t="s">
        <v>36</v>
      </c>
      <c r="F12" s="1" t="s">
        <v>45</v>
      </c>
      <c r="G12" s="1">
        <v>1</v>
      </c>
      <c r="H12" s="1" t="s">
        <v>37</v>
      </c>
      <c r="I12" s="1" t="s">
        <v>42</v>
      </c>
      <c r="J12" s="1" t="s">
        <v>39</v>
      </c>
      <c r="K12" s="1" t="s">
        <v>33</v>
      </c>
      <c r="L12" s="1">
        <v>35</v>
      </c>
      <c r="M12" s="1">
        <v>16</v>
      </c>
      <c r="N12" s="1" t="s">
        <v>47</v>
      </c>
      <c r="O12" s="1">
        <v>1</v>
      </c>
      <c r="P12" s="1">
        <v>1</v>
      </c>
      <c r="Q12" s="1">
        <v>2</v>
      </c>
      <c r="R12" s="1">
        <v>2426</v>
      </c>
      <c r="S12" s="1">
        <v>6</v>
      </c>
      <c r="T12" s="1">
        <v>3</v>
      </c>
      <c r="U12" s="1">
        <v>5</v>
      </c>
      <c r="V12" s="1">
        <v>4</v>
      </c>
      <c r="W12" s="1">
        <v>0</v>
      </c>
      <c r="X12" s="1">
        <v>3</v>
      </c>
    </row>
    <row r="13" spans="1:24">
      <c r="A13" s="1">
        <v>12</v>
      </c>
      <c r="B13" s="1" t="s">
        <v>33</v>
      </c>
      <c r="C13" s="1" t="s">
        <v>25</v>
      </c>
      <c r="D13" s="1" t="s">
        <v>43</v>
      </c>
      <c r="E13" s="1" t="s">
        <v>36</v>
      </c>
      <c r="F13" s="1" t="s">
        <v>28</v>
      </c>
      <c r="G13" s="1">
        <v>1</v>
      </c>
      <c r="H13" s="1" t="s">
        <v>29</v>
      </c>
      <c r="I13" s="1" t="s">
        <v>42</v>
      </c>
      <c r="J13" s="1" t="s">
        <v>31</v>
      </c>
      <c r="K13" s="1" t="s">
        <v>24</v>
      </c>
      <c r="L13" s="1">
        <v>29</v>
      </c>
      <c r="M13" s="1">
        <v>15</v>
      </c>
      <c r="N13" s="1" t="s">
        <v>32</v>
      </c>
      <c r="O13" s="1">
        <v>4</v>
      </c>
      <c r="P13" s="1">
        <v>2</v>
      </c>
      <c r="Q13" s="1">
        <v>3</v>
      </c>
      <c r="R13" s="1">
        <v>4193</v>
      </c>
      <c r="S13" s="1">
        <v>10</v>
      </c>
      <c r="T13" s="1">
        <v>3</v>
      </c>
      <c r="U13" s="1">
        <v>9</v>
      </c>
      <c r="V13" s="1">
        <v>5</v>
      </c>
      <c r="W13" s="1">
        <v>0</v>
      </c>
      <c r="X13" s="1">
        <v>8</v>
      </c>
    </row>
    <row r="14" spans="1:24">
      <c r="A14" s="1">
        <v>13</v>
      </c>
      <c r="B14" s="1" t="s">
        <v>33</v>
      </c>
      <c r="C14" s="1" t="s">
        <v>25</v>
      </c>
      <c r="D14" s="1" t="s">
        <v>43</v>
      </c>
      <c r="E14" s="1" t="s">
        <v>36</v>
      </c>
      <c r="F14" s="1" t="s">
        <v>28</v>
      </c>
      <c r="G14" s="1">
        <v>1</v>
      </c>
      <c r="H14" s="1" t="s">
        <v>37</v>
      </c>
      <c r="I14" s="1" t="s">
        <v>38</v>
      </c>
      <c r="J14" s="1" t="s">
        <v>48</v>
      </c>
      <c r="K14" s="1" t="s">
        <v>33</v>
      </c>
      <c r="L14" s="1">
        <v>31</v>
      </c>
      <c r="M14" s="1">
        <v>26</v>
      </c>
      <c r="N14" s="1" t="s">
        <v>40</v>
      </c>
      <c r="O14" s="1">
        <v>1</v>
      </c>
      <c r="P14" s="1">
        <v>1</v>
      </c>
      <c r="Q14" s="1">
        <v>3</v>
      </c>
      <c r="R14" s="1">
        <v>2911</v>
      </c>
      <c r="S14" s="1">
        <v>5</v>
      </c>
      <c r="T14" s="1">
        <v>2</v>
      </c>
      <c r="U14" s="1">
        <v>5</v>
      </c>
      <c r="V14" s="1">
        <v>2</v>
      </c>
      <c r="W14" s="1">
        <v>4</v>
      </c>
      <c r="X14" s="1">
        <v>3</v>
      </c>
    </row>
    <row r="15" spans="1:24">
      <c r="A15" s="1">
        <v>14</v>
      </c>
      <c r="B15" s="1" t="s">
        <v>33</v>
      </c>
      <c r="C15" s="1" t="s">
        <v>25</v>
      </c>
      <c r="D15" s="1" t="s">
        <v>43</v>
      </c>
      <c r="E15" s="1" t="s">
        <v>36</v>
      </c>
      <c r="F15" s="1" t="s">
        <v>45</v>
      </c>
      <c r="G15" s="1">
        <v>1</v>
      </c>
      <c r="H15" s="1" t="s">
        <v>37</v>
      </c>
      <c r="I15" s="1" t="s">
        <v>42</v>
      </c>
      <c r="J15" s="1" t="s">
        <v>48</v>
      </c>
      <c r="K15" s="1" t="s">
        <v>33</v>
      </c>
      <c r="L15" s="1">
        <v>34</v>
      </c>
      <c r="M15" s="1">
        <v>19</v>
      </c>
      <c r="N15" s="1" t="s">
        <v>32</v>
      </c>
      <c r="O15" s="1">
        <v>2</v>
      </c>
      <c r="P15" s="1">
        <v>1</v>
      </c>
      <c r="Q15" s="1">
        <v>4</v>
      </c>
      <c r="R15" s="1">
        <v>2661</v>
      </c>
      <c r="S15" s="1">
        <v>3</v>
      </c>
      <c r="T15" s="1">
        <v>3</v>
      </c>
      <c r="U15" s="1">
        <v>2</v>
      </c>
      <c r="V15" s="1">
        <v>2</v>
      </c>
      <c r="W15" s="1">
        <v>1</v>
      </c>
      <c r="X15" s="1">
        <v>2</v>
      </c>
    </row>
    <row r="16" spans="1:24">
      <c r="A16" s="1">
        <v>15</v>
      </c>
      <c r="B16" s="1" t="s">
        <v>24</v>
      </c>
      <c r="C16" s="1" t="s">
        <v>25</v>
      </c>
      <c r="D16" s="1" t="s">
        <v>43</v>
      </c>
      <c r="E16" s="1" t="s">
        <v>36</v>
      </c>
      <c r="F16" s="1" t="s">
        <v>28</v>
      </c>
      <c r="G16" s="1">
        <v>1</v>
      </c>
      <c r="H16" s="1" t="s">
        <v>37</v>
      </c>
      <c r="I16" s="1" t="s">
        <v>42</v>
      </c>
      <c r="J16" s="1" t="s">
        <v>31</v>
      </c>
      <c r="K16" s="1" t="s">
        <v>24</v>
      </c>
      <c r="L16" s="1">
        <v>28</v>
      </c>
      <c r="M16" s="1">
        <v>24</v>
      </c>
      <c r="N16" s="1" t="s">
        <v>47</v>
      </c>
      <c r="O16" s="1">
        <v>3</v>
      </c>
      <c r="P16" s="1">
        <v>1</v>
      </c>
      <c r="Q16" s="1">
        <v>3</v>
      </c>
      <c r="R16" s="1">
        <v>2028</v>
      </c>
      <c r="S16" s="1">
        <v>6</v>
      </c>
      <c r="T16" s="1">
        <v>3</v>
      </c>
      <c r="U16" s="1">
        <v>4</v>
      </c>
      <c r="V16" s="1">
        <v>2</v>
      </c>
      <c r="W16" s="1">
        <v>0</v>
      </c>
      <c r="X16" s="1">
        <v>3</v>
      </c>
    </row>
    <row r="17" spans="1:24">
      <c r="A17" s="1">
        <v>16</v>
      </c>
      <c r="B17" s="1" t="s">
        <v>33</v>
      </c>
      <c r="C17" s="1" t="s">
        <v>25</v>
      </c>
      <c r="D17" s="1" t="s">
        <v>43</v>
      </c>
      <c r="E17" s="1" t="s">
        <v>36</v>
      </c>
      <c r="F17" s="1" t="s">
        <v>28</v>
      </c>
      <c r="G17" s="1">
        <v>1</v>
      </c>
      <c r="H17" s="1" t="s">
        <v>29</v>
      </c>
      <c r="I17" s="1" t="s">
        <v>49</v>
      </c>
      <c r="J17" s="1" t="s">
        <v>48</v>
      </c>
      <c r="K17" s="1" t="s">
        <v>33</v>
      </c>
      <c r="L17" s="1">
        <v>29</v>
      </c>
      <c r="M17" s="1">
        <v>21</v>
      </c>
      <c r="N17" s="1" t="s">
        <v>44</v>
      </c>
      <c r="O17" s="1">
        <v>2</v>
      </c>
      <c r="P17" s="1">
        <v>3</v>
      </c>
      <c r="Q17" s="1">
        <v>1</v>
      </c>
      <c r="R17" s="1">
        <v>9980</v>
      </c>
      <c r="S17" s="1">
        <v>10</v>
      </c>
      <c r="T17" s="1">
        <v>3</v>
      </c>
      <c r="U17" s="1">
        <v>10</v>
      </c>
      <c r="V17" s="1">
        <v>9</v>
      </c>
      <c r="W17" s="1">
        <v>8</v>
      </c>
      <c r="X17" s="1">
        <v>8</v>
      </c>
    </row>
    <row r="18" spans="1:24">
      <c r="A18" s="1">
        <v>17</v>
      </c>
      <c r="B18" s="1" t="s">
        <v>33</v>
      </c>
      <c r="C18" s="1" t="s">
        <v>25</v>
      </c>
      <c r="D18" s="1" t="s">
        <v>43</v>
      </c>
      <c r="E18" s="1" t="s">
        <v>36</v>
      </c>
      <c r="F18" s="1" t="s">
        <v>28</v>
      </c>
      <c r="G18" s="1">
        <v>1</v>
      </c>
      <c r="H18" s="1" t="s">
        <v>37</v>
      </c>
      <c r="I18" s="1" t="s">
        <v>38</v>
      </c>
      <c r="J18" s="1" t="s">
        <v>48</v>
      </c>
      <c r="K18" s="1" t="s">
        <v>24</v>
      </c>
      <c r="L18" s="1">
        <v>32</v>
      </c>
      <c r="M18" s="1">
        <v>5</v>
      </c>
      <c r="N18" s="1" t="s">
        <v>32</v>
      </c>
      <c r="O18" s="1">
        <v>1</v>
      </c>
      <c r="P18" s="1">
        <v>1</v>
      </c>
      <c r="Q18" s="1">
        <v>2</v>
      </c>
      <c r="R18" s="1">
        <v>3298</v>
      </c>
      <c r="S18" s="1">
        <v>7</v>
      </c>
      <c r="T18" s="1">
        <v>2</v>
      </c>
      <c r="U18" s="1">
        <v>6</v>
      </c>
      <c r="V18" s="1">
        <v>2</v>
      </c>
      <c r="W18" s="1">
        <v>0</v>
      </c>
      <c r="X18" s="1">
        <v>5</v>
      </c>
    </row>
    <row r="19" spans="1:24">
      <c r="A19" s="1">
        <v>18</v>
      </c>
      <c r="B19" s="1" t="s">
        <v>33</v>
      </c>
      <c r="C19" s="1" t="s">
        <v>51</v>
      </c>
      <c r="D19" s="1" t="s">
        <v>52</v>
      </c>
      <c r="E19" s="1" t="s">
        <v>36</v>
      </c>
      <c r="F19" s="1" t="s">
        <v>45</v>
      </c>
      <c r="G19" s="1">
        <v>1</v>
      </c>
      <c r="H19" s="1" t="s">
        <v>37</v>
      </c>
      <c r="I19" s="1" t="s">
        <v>42</v>
      </c>
      <c r="J19" s="1" t="s">
        <v>48</v>
      </c>
      <c r="K19" s="1" t="s">
        <v>24</v>
      </c>
      <c r="L19" s="1">
        <v>22</v>
      </c>
      <c r="M19" s="1">
        <v>16</v>
      </c>
      <c r="N19" s="1" t="s">
        <v>32</v>
      </c>
      <c r="O19" s="1">
        <v>4</v>
      </c>
      <c r="P19" s="1">
        <v>1</v>
      </c>
      <c r="Q19" s="1">
        <v>4</v>
      </c>
      <c r="R19" s="1">
        <v>2935</v>
      </c>
      <c r="S19" s="1">
        <v>1</v>
      </c>
      <c r="T19" s="1">
        <v>2</v>
      </c>
      <c r="U19" s="1">
        <v>1</v>
      </c>
      <c r="V19" s="1">
        <v>0</v>
      </c>
      <c r="W19" s="1">
        <v>0</v>
      </c>
      <c r="X19" s="1">
        <v>0</v>
      </c>
    </row>
    <row r="20" spans="1:24">
      <c r="A20" s="1">
        <v>19</v>
      </c>
      <c r="B20" s="1" t="s">
        <v>33</v>
      </c>
      <c r="C20" s="1" t="s">
        <v>25</v>
      </c>
      <c r="D20" s="1" t="s">
        <v>35</v>
      </c>
      <c r="E20" s="1" t="s">
        <v>27</v>
      </c>
      <c r="F20" s="1" t="s">
        <v>28</v>
      </c>
      <c r="G20" s="1">
        <v>1</v>
      </c>
      <c r="H20" s="1" t="s">
        <v>29</v>
      </c>
      <c r="I20" s="1" t="s">
        <v>53</v>
      </c>
      <c r="J20" s="1" t="s">
        <v>39</v>
      </c>
      <c r="K20" s="1" t="s">
        <v>33</v>
      </c>
      <c r="L20" s="1">
        <v>53</v>
      </c>
      <c r="M20" s="1">
        <v>2</v>
      </c>
      <c r="N20" s="1" t="s">
        <v>44</v>
      </c>
      <c r="O20" s="1">
        <v>1</v>
      </c>
      <c r="P20" s="1">
        <v>4</v>
      </c>
      <c r="Q20" s="1">
        <v>4</v>
      </c>
      <c r="R20" s="1">
        <v>15427</v>
      </c>
      <c r="S20" s="1">
        <v>31</v>
      </c>
      <c r="T20" s="1">
        <v>3</v>
      </c>
      <c r="U20" s="1">
        <v>25</v>
      </c>
      <c r="V20" s="1">
        <v>8</v>
      </c>
      <c r="W20" s="1">
        <v>3</v>
      </c>
      <c r="X20" s="1">
        <v>7</v>
      </c>
    </row>
    <row r="21" spans="1:24">
      <c r="A21" s="1">
        <v>20</v>
      </c>
      <c r="B21" s="1" t="s">
        <v>33</v>
      </c>
      <c r="C21" s="1" t="s">
        <v>25</v>
      </c>
      <c r="D21" s="1" t="s">
        <v>26</v>
      </c>
      <c r="E21" s="1" t="s">
        <v>36</v>
      </c>
      <c r="F21" s="1" t="s">
        <v>28</v>
      </c>
      <c r="G21" s="1">
        <v>1</v>
      </c>
      <c r="H21" s="1" t="s">
        <v>37</v>
      </c>
      <c r="I21" s="1" t="s">
        <v>38</v>
      </c>
      <c r="J21" s="1" t="s">
        <v>31</v>
      </c>
      <c r="K21" s="1" t="s">
        <v>24</v>
      </c>
      <c r="L21" s="1">
        <v>38</v>
      </c>
      <c r="M21" s="1">
        <v>2</v>
      </c>
      <c r="N21" s="1" t="s">
        <v>47</v>
      </c>
      <c r="O21" s="1">
        <v>4</v>
      </c>
      <c r="P21" s="1">
        <v>1</v>
      </c>
      <c r="Q21" s="1">
        <v>4</v>
      </c>
      <c r="R21" s="1">
        <v>3944</v>
      </c>
      <c r="S21" s="1">
        <v>6</v>
      </c>
      <c r="T21" s="1">
        <v>3</v>
      </c>
      <c r="U21" s="1">
        <v>3</v>
      </c>
      <c r="V21" s="1">
        <v>2</v>
      </c>
      <c r="W21" s="1">
        <v>1</v>
      </c>
      <c r="X21" s="1">
        <v>2</v>
      </c>
    </row>
    <row r="22" spans="1:24">
      <c r="A22" s="1">
        <v>21</v>
      </c>
      <c r="B22" s="1" t="s">
        <v>33</v>
      </c>
      <c r="C22" s="1" t="s">
        <v>51</v>
      </c>
      <c r="D22" s="1" t="s">
        <v>52</v>
      </c>
      <c r="E22" s="1" t="s">
        <v>36</v>
      </c>
      <c r="F22" s="1" t="s">
        <v>41</v>
      </c>
      <c r="G22" s="1">
        <v>1</v>
      </c>
      <c r="H22" s="1" t="s">
        <v>29</v>
      </c>
      <c r="I22" s="1" t="s">
        <v>49</v>
      </c>
      <c r="J22" s="1" t="s">
        <v>48</v>
      </c>
      <c r="K22" s="1" t="s">
        <v>33</v>
      </c>
      <c r="L22" s="1">
        <v>24</v>
      </c>
      <c r="M22" s="1">
        <v>11</v>
      </c>
      <c r="N22" s="1" t="s">
        <v>32</v>
      </c>
      <c r="O22" s="1">
        <v>1</v>
      </c>
      <c r="P22" s="1">
        <v>2</v>
      </c>
      <c r="Q22" s="1">
        <v>3</v>
      </c>
      <c r="R22" s="1">
        <v>4011</v>
      </c>
      <c r="S22" s="1">
        <v>5</v>
      </c>
      <c r="T22" s="1">
        <v>2</v>
      </c>
      <c r="U22" s="1">
        <v>4</v>
      </c>
      <c r="V22" s="1">
        <v>2</v>
      </c>
      <c r="W22" s="1">
        <v>1</v>
      </c>
      <c r="X22" s="1">
        <v>3</v>
      </c>
    </row>
    <row r="23" spans="1:24">
      <c r="A23" s="1">
        <v>22</v>
      </c>
      <c r="B23" s="1" t="s">
        <v>24</v>
      </c>
      <c r="C23" s="1" t="s">
        <v>25</v>
      </c>
      <c r="D23" s="1" t="s">
        <v>26</v>
      </c>
      <c r="E23" s="1" t="s">
        <v>27</v>
      </c>
      <c r="F23" s="1" t="s">
        <v>28</v>
      </c>
      <c r="G23" s="1">
        <v>1</v>
      </c>
      <c r="H23" s="1" t="s">
        <v>37</v>
      </c>
      <c r="I23" s="1" t="s">
        <v>54</v>
      </c>
      <c r="J23" s="1" t="s">
        <v>31</v>
      </c>
      <c r="K23" s="1" t="s">
        <v>33</v>
      </c>
      <c r="L23" s="1">
        <v>36</v>
      </c>
      <c r="M23" s="1">
        <v>9</v>
      </c>
      <c r="N23" s="1" t="s">
        <v>44</v>
      </c>
      <c r="O23" s="1">
        <v>3</v>
      </c>
      <c r="P23" s="1">
        <v>1</v>
      </c>
      <c r="Q23" s="1">
        <v>1</v>
      </c>
      <c r="R23" s="1">
        <v>3407</v>
      </c>
      <c r="S23" s="1">
        <v>10</v>
      </c>
      <c r="T23" s="1">
        <v>3</v>
      </c>
      <c r="U23" s="1">
        <v>5</v>
      </c>
      <c r="V23" s="1">
        <v>3</v>
      </c>
      <c r="W23" s="1">
        <v>0</v>
      </c>
      <c r="X23" s="1">
        <v>3</v>
      </c>
    </row>
    <row r="24" spans="1:24">
      <c r="A24" s="1">
        <v>23</v>
      </c>
      <c r="B24" s="1" t="s">
        <v>33</v>
      </c>
      <c r="C24" s="1" t="s">
        <v>25</v>
      </c>
      <c r="D24" s="1" t="s">
        <v>43</v>
      </c>
      <c r="E24" s="1" t="s">
        <v>36</v>
      </c>
      <c r="F24" s="1" t="s">
        <v>28</v>
      </c>
      <c r="G24" s="1">
        <v>1</v>
      </c>
      <c r="H24" s="1" t="s">
        <v>29</v>
      </c>
      <c r="I24" s="1" t="s">
        <v>55</v>
      </c>
      <c r="J24" s="1" t="s">
        <v>31</v>
      </c>
      <c r="K24" s="1" t="s">
        <v>33</v>
      </c>
      <c r="L24" s="1">
        <v>34</v>
      </c>
      <c r="M24" s="1">
        <v>7</v>
      </c>
      <c r="N24" s="1" t="s">
        <v>44</v>
      </c>
      <c r="O24" s="1">
        <v>1</v>
      </c>
      <c r="P24" s="1">
        <v>3</v>
      </c>
      <c r="Q24" s="1">
        <v>2</v>
      </c>
      <c r="R24" s="1">
        <v>11994</v>
      </c>
      <c r="S24" s="1">
        <v>13</v>
      </c>
      <c r="T24" s="1">
        <v>3</v>
      </c>
      <c r="U24" s="1">
        <v>12</v>
      </c>
      <c r="V24" s="1">
        <v>6</v>
      </c>
      <c r="W24" s="1">
        <v>2</v>
      </c>
      <c r="X24" s="1">
        <v>11</v>
      </c>
    </row>
    <row r="25" spans="1:24">
      <c r="A25" s="1">
        <v>24</v>
      </c>
      <c r="B25" s="1" t="s">
        <v>33</v>
      </c>
      <c r="C25" s="1" t="s">
        <v>25</v>
      </c>
      <c r="D25" s="1" t="s">
        <v>52</v>
      </c>
      <c r="E25" s="1" t="s">
        <v>36</v>
      </c>
      <c r="F25" s="1" t="s">
        <v>28</v>
      </c>
      <c r="G25" s="1">
        <v>1</v>
      </c>
      <c r="H25" s="1" t="s">
        <v>37</v>
      </c>
      <c r="I25" s="1" t="s">
        <v>38</v>
      </c>
      <c r="J25" s="1" t="s">
        <v>31</v>
      </c>
      <c r="K25" s="1" t="s">
        <v>33</v>
      </c>
      <c r="L25" s="1">
        <v>21</v>
      </c>
      <c r="M25" s="1">
        <v>15</v>
      </c>
      <c r="N25" s="1" t="s">
        <v>32</v>
      </c>
      <c r="O25" s="1">
        <v>3</v>
      </c>
      <c r="P25" s="1">
        <v>1</v>
      </c>
      <c r="Q25" s="1">
        <v>4</v>
      </c>
      <c r="R25" s="1">
        <v>1232</v>
      </c>
      <c r="S25" s="1">
        <v>0</v>
      </c>
      <c r="T25" s="1">
        <v>3</v>
      </c>
      <c r="U25" s="1">
        <v>0</v>
      </c>
      <c r="V25" s="1">
        <v>0</v>
      </c>
      <c r="W25" s="1">
        <v>0</v>
      </c>
      <c r="X25" s="1">
        <v>0</v>
      </c>
    </row>
    <row r="26" spans="1:24">
      <c r="A26" s="1">
        <v>25</v>
      </c>
      <c r="B26" s="1" t="s">
        <v>24</v>
      </c>
      <c r="C26" s="1" t="s">
        <v>25</v>
      </c>
      <c r="D26" s="1" t="s">
        <v>43</v>
      </c>
      <c r="E26" s="1" t="s">
        <v>36</v>
      </c>
      <c r="F26" s="1" t="s">
        <v>45</v>
      </c>
      <c r="G26" s="1">
        <v>1</v>
      </c>
      <c r="H26" s="1" t="s">
        <v>37</v>
      </c>
      <c r="I26" s="1" t="s">
        <v>38</v>
      </c>
      <c r="J26" s="1" t="s">
        <v>31</v>
      </c>
      <c r="K26" s="1" t="s">
        <v>33</v>
      </c>
      <c r="L26" s="1">
        <v>34</v>
      </c>
      <c r="M26" s="1">
        <v>6</v>
      </c>
      <c r="N26" s="1" t="s">
        <v>40</v>
      </c>
      <c r="O26" s="1">
        <v>2</v>
      </c>
      <c r="P26" s="1">
        <v>1</v>
      </c>
      <c r="Q26" s="1">
        <v>1</v>
      </c>
      <c r="R26" s="1">
        <v>2960</v>
      </c>
      <c r="S26" s="1">
        <v>8</v>
      </c>
      <c r="T26" s="1">
        <v>3</v>
      </c>
      <c r="U26" s="1">
        <v>4</v>
      </c>
      <c r="V26" s="1">
        <v>2</v>
      </c>
      <c r="W26" s="1">
        <v>1</v>
      </c>
      <c r="X26" s="1">
        <v>3</v>
      </c>
    </row>
    <row r="27" spans="1:24">
      <c r="A27" s="1">
        <v>26</v>
      </c>
      <c r="B27" s="1" t="s">
        <v>33</v>
      </c>
      <c r="C27" s="1" t="s">
        <v>25</v>
      </c>
      <c r="D27" s="1" t="s">
        <v>35</v>
      </c>
      <c r="E27" s="1" t="s">
        <v>36</v>
      </c>
      <c r="F27" s="1" t="s">
        <v>41</v>
      </c>
      <c r="G27" s="1">
        <v>1</v>
      </c>
      <c r="H27" s="1" t="s">
        <v>29</v>
      </c>
      <c r="I27" s="1" t="s">
        <v>53</v>
      </c>
      <c r="J27" s="1" t="s">
        <v>48</v>
      </c>
      <c r="K27" s="1" t="s">
        <v>33</v>
      </c>
      <c r="L27" s="1">
        <v>53</v>
      </c>
      <c r="M27" s="1">
        <v>5</v>
      </c>
      <c r="N27" s="1" t="s">
        <v>47</v>
      </c>
      <c r="O27" s="1">
        <v>3</v>
      </c>
      <c r="P27" s="1">
        <v>5</v>
      </c>
      <c r="Q27" s="1">
        <v>3</v>
      </c>
      <c r="R27" s="1">
        <v>19094</v>
      </c>
      <c r="S27" s="1">
        <v>26</v>
      </c>
      <c r="T27" s="1">
        <v>2</v>
      </c>
      <c r="U27" s="1">
        <v>14</v>
      </c>
      <c r="V27" s="1">
        <v>13</v>
      </c>
      <c r="W27" s="1">
        <v>4</v>
      </c>
      <c r="X27" s="1">
        <v>8</v>
      </c>
    </row>
    <row r="28" spans="1:24">
      <c r="A28" s="1">
        <v>27</v>
      </c>
      <c r="B28" s="1" t="s">
        <v>24</v>
      </c>
      <c r="C28" s="1" t="s">
        <v>34</v>
      </c>
      <c r="D28" s="1" t="s">
        <v>43</v>
      </c>
      <c r="E28" s="1" t="s">
        <v>36</v>
      </c>
      <c r="F28" s="1" t="s">
        <v>28</v>
      </c>
      <c r="G28" s="1">
        <v>1</v>
      </c>
      <c r="H28" s="1" t="s">
        <v>29</v>
      </c>
      <c r="I28" s="1" t="s">
        <v>38</v>
      </c>
      <c r="J28" s="1" t="s">
        <v>31</v>
      </c>
      <c r="K28" s="1" t="s">
        <v>24</v>
      </c>
      <c r="L28" s="1">
        <v>32</v>
      </c>
      <c r="M28" s="1">
        <v>16</v>
      </c>
      <c r="N28" s="1" t="s">
        <v>40</v>
      </c>
      <c r="O28" s="1">
        <v>2</v>
      </c>
      <c r="P28" s="1">
        <v>1</v>
      </c>
      <c r="Q28" s="1">
        <v>1</v>
      </c>
      <c r="R28" s="1">
        <v>3919</v>
      </c>
      <c r="S28" s="1">
        <v>10</v>
      </c>
      <c r="T28" s="1">
        <v>3</v>
      </c>
      <c r="U28" s="1">
        <v>10</v>
      </c>
      <c r="V28" s="1">
        <v>2</v>
      </c>
      <c r="W28" s="1">
        <v>6</v>
      </c>
      <c r="X28" s="1">
        <v>7</v>
      </c>
    </row>
    <row r="29" spans="1:24">
      <c r="A29" s="1">
        <v>28</v>
      </c>
      <c r="B29" s="1" t="s">
        <v>33</v>
      </c>
      <c r="C29" s="1" t="s">
        <v>25</v>
      </c>
      <c r="D29" s="1" t="s">
        <v>26</v>
      </c>
      <c r="E29" s="1" t="s">
        <v>27</v>
      </c>
      <c r="F29" s="1" t="s">
        <v>56</v>
      </c>
      <c r="G29" s="1">
        <v>1</v>
      </c>
      <c r="H29" s="1" t="s">
        <v>37</v>
      </c>
      <c r="I29" s="1" t="s">
        <v>30</v>
      </c>
      <c r="J29" s="1" t="s">
        <v>39</v>
      </c>
      <c r="K29" s="1" t="s">
        <v>33</v>
      </c>
      <c r="L29" s="1">
        <v>42</v>
      </c>
      <c r="M29" s="1">
        <v>8</v>
      </c>
      <c r="N29" s="1" t="s">
        <v>44</v>
      </c>
      <c r="O29" s="1">
        <v>3</v>
      </c>
      <c r="P29" s="1">
        <v>2</v>
      </c>
      <c r="Q29" s="1">
        <v>2</v>
      </c>
      <c r="R29" s="1">
        <v>6825</v>
      </c>
      <c r="S29" s="1">
        <v>10</v>
      </c>
      <c r="T29" s="1">
        <v>3</v>
      </c>
      <c r="U29" s="1">
        <v>9</v>
      </c>
      <c r="V29" s="1">
        <v>7</v>
      </c>
      <c r="W29" s="1">
        <v>4</v>
      </c>
      <c r="X29" s="1">
        <v>2</v>
      </c>
    </row>
    <row r="30" spans="1:24">
      <c r="A30" s="1">
        <v>29</v>
      </c>
      <c r="B30" s="1" t="s">
        <v>33</v>
      </c>
      <c r="C30" s="1" t="s">
        <v>25</v>
      </c>
      <c r="D30" s="1" t="s">
        <v>26</v>
      </c>
      <c r="E30" s="1" t="s">
        <v>36</v>
      </c>
      <c r="F30" s="1" t="s">
        <v>45</v>
      </c>
      <c r="G30" s="1">
        <v>1</v>
      </c>
      <c r="H30" s="1" t="s">
        <v>29</v>
      </c>
      <c r="I30" s="1" t="s">
        <v>50</v>
      </c>
      <c r="J30" s="1" t="s">
        <v>39</v>
      </c>
      <c r="K30" s="1" t="s">
        <v>33</v>
      </c>
      <c r="L30" s="1">
        <v>44</v>
      </c>
      <c r="M30" s="1">
        <v>7</v>
      </c>
      <c r="N30" s="1" t="s">
        <v>44</v>
      </c>
      <c r="O30" s="1">
        <v>1</v>
      </c>
      <c r="P30" s="1">
        <v>3</v>
      </c>
      <c r="Q30" s="1">
        <v>4</v>
      </c>
      <c r="R30" s="1">
        <v>10248</v>
      </c>
      <c r="S30" s="1">
        <v>24</v>
      </c>
      <c r="T30" s="1">
        <v>3</v>
      </c>
      <c r="U30" s="1">
        <v>22</v>
      </c>
      <c r="V30" s="1">
        <v>6</v>
      </c>
      <c r="W30" s="1">
        <v>5</v>
      </c>
      <c r="X30" s="1">
        <v>17</v>
      </c>
    </row>
    <row r="31" spans="1:24">
      <c r="A31" s="1">
        <v>30</v>
      </c>
      <c r="B31" s="1" t="s">
        <v>33</v>
      </c>
      <c r="C31" s="1" t="s">
        <v>25</v>
      </c>
      <c r="D31" s="1" t="s">
        <v>35</v>
      </c>
      <c r="E31" s="1" t="s">
        <v>27</v>
      </c>
      <c r="F31" s="1" t="s">
        <v>56</v>
      </c>
      <c r="G31" s="1">
        <v>1</v>
      </c>
      <c r="H31" s="1" t="s">
        <v>29</v>
      </c>
      <c r="I31" s="1" t="s">
        <v>53</v>
      </c>
      <c r="J31" s="1" t="s">
        <v>31</v>
      </c>
      <c r="K31" s="1" t="s">
        <v>33</v>
      </c>
      <c r="L31" s="1">
        <v>46</v>
      </c>
      <c r="M31" s="1">
        <v>2</v>
      </c>
      <c r="N31" s="1" t="s">
        <v>44</v>
      </c>
      <c r="O31" s="1">
        <v>2</v>
      </c>
      <c r="P31" s="1">
        <v>5</v>
      </c>
      <c r="Q31" s="1">
        <v>1</v>
      </c>
      <c r="R31" s="1">
        <v>18947</v>
      </c>
      <c r="S31" s="1">
        <v>22</v>
      </c>
      <c r="T31" s="1">
        <v>2</v>
      </c>
      <c r="U31" s="1">
        <v>2</v>
      </c>
      <c r="V31" s="1">
        <v>2</v>
      </c>
      <c r="W31" s="1">
        <v>2</v>
      </c>
      <c r="X31" s="1">
        <v>1</v>
      </c>
    </row>
    <row r="32" spans="1:24">
      <c r="A32" s="1">
        <v>31</v>
      </c>
      <c r="B32" s="1" t="s">
        <v>33</v>
      </c>
      <c r="C32" s="1" t="s">
        <v>25</v>
      </c>
      <c r="D32" s="1" t="s">
        <v>43</v>
      </c>
      <c r="E32" s="1" t="s">
        <v>36</v>
      </c>
      <c r="F32" s="1" t="s">
        <v>45</v>
      </c>
      <c r="G32" s="1">
        <v>1</v>
      </c>
      <c r="H32" s="1" t="s">
        <v>37</v>
      </c>
      <c r="I32" s="1" t="s">
        <v>42</v>
      </c>
      <c r="J32" s="1" t="s">
        <v>31</v>
      </c>
      <c r="K32" s="1" t="s">
        <v>33</v>
      </c>
      <c r="L32" s="1">
        <v>33</v>
      </c>
      <c r="M32" s="1">
        <v>2</v>
      </c>
      <c r="N32" s="1" t="s">
        <v>47</v>
      </c>
      <c r="O32" s="1">
        <v>3</v>
      </c>
      <c r="P32" s="1">
        <v>1</v>
      </c>
      <c r="Q32" s="1">
        <v>4</v>
      </c>
      <c r="R32" s="1">
        <v>2496</v>
      </c>
      <c r="S32" s="1">
        <v>7</v>
      </c>
      <c r="T32" s="1">
        <v>3</v>
      </c>
      <c r="U32" s="1">
        <v>1</v>
      </c>
      <c r="V32" s="1">
        <v>1</v>
      </c>
      <c r="W32" s="1">
        <v>0</v>
      </c>
      <c r="X32" s="1">
        <v>0</v>
      </c>
    </row>
    <row r="33" spans="1:24">
      <c r="A33" s="1">
        <v>32</v>
      </c>
      <c r="B33" s="1" t="s">
        <v>33</v>
      </c>
      <c r="C33" s="1" t="s">
        <v>25</v>
      </c>
      <c r="D33" s="1" t="s">
        <v>26</v>
      </c>
      <c r="E33" s="1" t="s">
        <v>36</v>
      </c>
      <c r="F33" s="1" t="s">
        <v>41</v>
      </c>
      <c r="G33" s="1">
        <v>1</v>
      </c>
      <c r="H33" s="1" t="s">
        <v>37</v>
      </c>
      <c r="I33" s="1" t="s">
        <v>50</v>
      </c>
      <c r="J33" s="1" t="s">
        <v>39</v>
      </c>
      <c r="K33" s="1" t="s">
        <v>24</v>
      </c>
      <c r="L33" s="1">
        <v>44</v>
      </c>
      <c r="M33" s="1">
        <v>10</v>
      </c>
      <c r="N33" s="1" t="s">
        <v>44</v>
      </c>
      <c r="O33" s="1">
        <v>4</v>
      </c>
      <c r="P33" s="1">
        <v>2</v>
      </c>
      <c r="Q33" s="1">
        <v>4</v>
      </c>
      <c r="R33" s="1">
        <v>6465</v>
      </c>
      <c r="S33" s="1">
        <v>9</v>
      </c>
      <c r="T33" s="1">
        <v>4</v>
      </c>
      <c r="U33" s="1">
        <v>4</v>
      </c>
      <c r="V33" s="1">
        <v>2</v>
      </c>
      <c r="W33" s="1">
        <v>1</v>
      </c>
      <c r="X33" s="1">
        <v>3</v>
      </c>
    </row>
    <row r="34" spans="1:24">
      <c r="A34" s="1">
        <v>33</v>
      </c>
      <c r="B34" s="1" t="s">
        <v>33</v>
      </c>
      <c r="C34" s="1" t="s">
        <v>25</v>
      </c>
      <c r="D34" s="1" t="s">
        <v>43</v>
      </c>
      <c r="E34" s="1" t="s">
        <v>36</v>
      </c>
      <c r="F34" s="1" t="s">
        <v>45</v>
      </c>
      <c r="G34" s="1">
        <v>1</v>
      </c>
      <c r="H34" s="1" t="s">
        <v>37</v>
      </c>
      <c r="I34" s="1" t="s">
        <v>42</v>
      </c>
      <c r="J34" s="1" t="s">
        <v>31</v>
      </c>
      <c r="K34" s="1" t="s">
        <v>33</v>
      </c>
      <c r="L34" s="1">
        <v>30</v>
      </c>
      <c r="M34" s="1">
        <v>9</v>
      </c>
      <c r="N34" s="1" t="s">
        <v>32</v>
      </c>
      <c r="O34" s="1">
        <v>4</v>
      </c>
      <c r="P34" s="1">
        <v>1</v>
      </c>
      <c r="Q34" s="1">
        <v>3</v>
      </c>
      <c r="R34" s="1">
        <v>2206</v>
      </c>
      <c r="S34" s="1">
        <v>10</v>
      </c>
      <c r="T34" s="1">
        <v>3</v>
      </c>
      <c r="U34" s="1">
        <v>10</v>
      </c>
      <c r="V34" s="1">
        <v>0</v>
      </c>
      <c r="W34" s="1">
        <v>1</v>
      </c>
      <c r="X34" s="1">
        <v>8</v>
      </c>
    </row>
    <row r="35" spans="1:24">
      <c r="A35" s="1">
        <v>34</v>
      </c>
      <c r="B35" s="1" t="s">
        <v>24</v>
      </c>
      <c r="C35" s="1" t="s">
        <v>25</v>
      </c>
      <c r="D35" s="1" t="s">
        <v>26</v>
      </c>
      <c r="E35" s="1" t="s">
        <v>27</v>
      </c>
      <c r="F35" s="1" t="s">
        <v>57</v>
      </c>
      <c r="G35" s="1">
        <v>1</v>
      </c>
      <c r="H35" s="1" t="s">
        <v>37</v>
      </c>
      <c r="I35" s="1" t="s">
        <v>54</v>
      </c>
      <c r="J35" s="1" t="s">
        <v>39</v>
      </c>
      <c r="K35" s="1" t="s">
        <v>33</v>
      </c>
      <c r="L35" s="1">
        <v>39</v>
      </c>
      <c r="M35" s="1">
        <v>5</v>
      </c>
      <c r="N35" s="1" t="s">
        <v>47</v>
      </c>
      <c r="O35" s="1">
        <v>4</v>
      </c>
      <c r="P35" s="1">
        <v>2</v>
      </c>
      <c r="Q35" s="1">
        <v>4</v>
      </c>
      <c r="R35" s="1">
        <v>2086</v>
      </c>
      <c r="S35" s="1">
        <v>19</v>
      </c>
      <c r="T35" s="1">
        <v>4</v>
      </c>
      <c r="U35" s="1">
        <v>1</v>
      </c>
      <c r="V35" s="1">
        <v>0</v>
      </c>
      <c r="W35" s="1">
        <v>0</v>
      </c>
      <c r="X35" s="1">
        <v>0</v>
      </c>
    </row>
    <row r="36" spans="1:24">
      <c r="A36" s="1">
        <v>35</v>
      </c>
      <c r="B36" s="1" t="s">
        <v>24</v>
      </c>
      <c r="C36" s="1" t="s">
        <v>25</v>
      </c>
      <c r="D36" s="1" t="s">
        <v>52</v>
      </c>
      <c r="E36" s="1" t="s">
        <v>36</v>
      </c>
      <c r="F36" s="1" t="s">
        <v>45</v>
      </c>
      <c r="G36" s="1">
        <v>1</v>
      </c>
      <c r="H36" s="1" t="s">
        <v>37</v>
      </c>
      <c r="I36" s="1" t="s">
        <v>38</v>
      </c>
      <c r="J36" s="1" t="s">
        <v>39</v>
      </c>
      <c r="K36" s="1" t="s">
        <v>24</v>
      </c>
      <c r="L36" s="1">
        <v>24</v>
      </c>
      <c r="M36" s="1">
        <v>1</v>
      </c>
      <c r="N36" s="1" t="s">
        <v>47</v>
      </c>
      <c r="O36" s="1">
        <v>2</v>
      </c>
      <c r="P36" s="1">
        <v>1</v>
      </c>
      <c r="Q36" s="1">
        <v>4</v>
      </c>
      <c r="R36" s="1">
        <v>2293</v>
      </c>
      <c r="S36" s="1">
        <v>6</v>
      </c>
      <c r="T36" s="1">
        <v>2</v>
      </c>
      <c r="U36" s="1">
        <v>2</v>
      </c>
      <c r="V36" s="1">
        <v>0</v>
      </c>
      <c r="W36" s="1">
        <v>2</v>
      </c>
      <c r="X36" s="1">
        <v>0</v>
      </c>
    </row>
    <row r="37" spans="1:24">
      <c r="A37" s="1">
        <v>36</v>
      </c>
      <c r="B37" s="1" t="s">
        <v>33</v>
      </c>
      <c r="C37" s="1" t="s">
        <v>25</v>
      </c>
      <c r="D37" s="1" t="s">
        <v>26</v>
      </c>
      <c r="E37" s="1" t="s">
        <v>36</v>
      </c>
      <c r="F37" s="1" t="s">
        <v>45</v>
      </c>
      <c r="G37" s="1">
        <v>1</v>
      </c>
      <c r="H37" s="1" t="s">
        <v>29</v>
      </c>
      <c r="I37" s="1" t="s">
        <v>38</v>
      </c>
      <c r="J37" s="1" t="s">
        <v>48</v>
      </c>
      <c r="K37" s="1" t="s">
        <v>33</v>
      </c>
      <c r="L37" s="1">
        <v>43</v>
      </c>
      <c r="M37" s="1">
        <v>2</v>
      </c>
      <c r="N37" s="1" t="s">
        <v>32</v>
      </c>
      <c r="O37" s="1">
        <v>4</v>
      </c>
      <c r="P37" s="1">
        <v>1</v>
      </c>
      <c r="Q37" s="1">
        <v>3</v>
      </c>
      <c r="R37" s="1">
        <v>2645</v>
      </c>
      <c r="S37" s="1">
        <v>6</v>
      </c>
      <c r="T37" s="1">
        <v>2</v>
      </c>
      <c r="U37" s="1">
        <v>5</v>
      </c>
      <c r="V37" s="1">
        <v>3</v>
      </c>
      <c r="W37" s="1">
        <v>1</v>
      </c>
      <c r="X37" s="1">
        <v>4</v>
      </c>
    </row>
    <row r="38" spans="1:24">
      <c r="A38" s="1">
        <v>37</v>
      </c>
      <c r="B38" s="1" t="s">
        <v>24</v>
      </c>
      <c r="C38" s="1" t="s">
        <v>25</v>
      </c>
      <c r="D38" s="1" t="s">
        <v>35</v>
      </c>
      <c r="E38" s="1" t="s">
        <v>27</v>
      </c>
      <c r="F38" s="1" t="s">
        <v>56</v>
      </c>
      <c r="G38" s="1">
        <v>1</v>
      </c>
      <c r="H38" s="1" t="s">
        <v>37</v>
      </c>
      <c r="I38" s="1" t="s">
        <v>54</v>
      </c>
      <c r="J38" s="1" t="s">
        <v>39</v>
      </c>
      <c r="K38" s="1" t="s">
        <v>24</v>
      </c>
      <c r="L38" s="1">
        <v>50</v>
      </c>
      <c r="M38" s="1">
        <v>3</v>
      </c>
      <c r="N38" s="1" t="s">
        <v>32</v>
      </c>
      <c r="O38" s="1">
        <v>1</v>
      </c>
      <c r="P38" s="1">
        <v>1</v>
      </c>
      <c r="Q38" s="1">
        <v>3</v>
      </c>
      <c r="R38" s="1">
        <v>2683</v>
      </c>
      <c r="S38" s="1">
        <v>3</v>
      </c>
      <c r="T38" s="1">
        <v>3</v>
      </c>
      <c r="U38" s="1">
        <v>3</v>
      </c>
      <c r="V38" s="1">
        <v>2</v>
      </c>
      <c r="W38" s="1">
        <v>0</v>
      </c>
      <c r="X38" s="1">
        <v>2</v>
      </c>
    </row>
    <row r="39" spans="1:24">
      <c r="A39" s="1">
        <v>38</v>
      </c>
      <c r="B39" s="1" t="s">
        <v>33</v>
      </c>
      <c r="C39" s="1" t="s">
        <v>25</v>
      </c>
      <c r="D39" s="1" t="s">
        <v>26</v>
      </c>
      <c r="E39" s="1" t="s">
        <v>27</v>
      </c>
      <c r="F39" s="1" t="s">
        <v>56</v>
      </c>
      <c r="G39" s="1">
        <v>1</v>
      </c>
      <c r="H39" s="1" t="s">
        <v>29</v>
      </c>
      <c r="I39" s="1" t="s">
        <v>54</v>
      </c>
      <c r="J39" s="1" t="s">
        <v>39</v>
      </c>
      <c r="K39" s="1" t="s">
        <v>33</v>
      </c>
      <c r="L39" s="1">
        <v>35</v>
      </c>
      <c r="M39" s="1">
        <v>2</v>
      </c>
      <c r="N39" s="1" t="s">
        <v>47</v>
      </c>
      <c r="O39" s="1">
        <v>4</v>
      </c>
      <c r="P39" s="1">
        <v>1</v>
      </c>
      <c r="Q39" s="1">
        <v>4</v>
      </c>
      <c r="R39" s="1">
        <v>2014</v>
      </c>
      <c r="S39" s="1">
        <v>2</v>
      </c>
      <c r="T39" s="1">
        <v>3</v>
      </c>
      <c r="U39" s="1">
        <v>2</v>
      </c>
      <c r="V39" s="1">
        <v>2</v>
      </c>
      <c r="W39" s="1">
        <v>2</v>
      </c>
      <c r="X39" s="1">
        <v>2</v>
      </c>
    </row>
    <row r="40" spans="1:24">
      <c r="A40" s="1">
        <v>39</v>
      </c>
      <c r="B40" s="1" t="s">
        <v>33</v>
      </c>
      <c r="C40" s="1" t="s">
        <v>25</v>
      </c>
      <c r="D40" s="1" t="s">
        <v>26</v>
      </c>
      <c r="E40" s="1" t="s">
        <v>36</v>
      </c>
      <c r="F40" s="1" t="s">
        <v>28</v>
      </c>
      <c r="G40" s="1">
        <v>1</v>
      </c>
      <c r="H40" s="1" t="s">
        <v>29</v>
      </c>
      <c r="I40" s="1" t="s">
        <v>38</v>
      </c>
      <c r="J40" s="1" t="s">
        <v>39</v>
      </c>
      <c r="K40" s="1" t="s">
        <v>24</v>
      </c>
      <c r="L40" s="1">
        <v>36</v>
      </c>
      <c r="M40" s="1">
        <v>5</v>
      </c>
      <c r="N40" s="1" t="s">
        <v>44</v>
      </c>
      <c r="O40" s="1">
        <v>2</v>
      </c>
      <c r="P40" s="1">
        <v>1</v>
      </c>
      <c r="Q40" s="1">
        <v>1</v>
      </c>
      <c r="R40" s="1">
        <v>3419</v>
      </c>
      <c r="S40" s="1">
        <v>6</v>
      </c>
      <c r="T40" s="1">
        <v>4</v>
      </c>
      <c r="U40" s="1">
        <v>1</v>
      </c>
      <c r="V40" s="1">
        <v>1</v>
      </c>
      <c r="W40" s="1">
        <v>0</v>
      </c>
      <c r="X40" s="1">
        <v>0</v>
      </c>
    </row>
    <row r="41" spans="1:24">
      <c r="A41" s="1">
        <v>40</v>
      </c>
      <c r="B41" s="1" t="s">
        <v>33</v>
      </c>
      <c r="C41" s="1" t="s">
        <v>34</v>
      </c>
      <c r="D41" s="1" t="s">
        <v>43</v>
      </c>
      <c r="E41" s="1" t="s">
        <v>27</v>
      </c>
      <c r="F41" s="1" t="s">
        <v>28</v>
      </c>
      <c r="G41" s="1">
        <v>1</v>
      </c>
      <c r="H41" s="1" t="s">
        <v>29</v>
      </c>
      <c r="I41" s="1" t="s">
        <v>30</v>
      </c>
      <c r="J41" s="1" t="s">
        <v>39</v>
      </c>
      <c r="K41" s="1" t="s">
        <v>33</v>
      </c>
      <c r="L41" s="1">
        <v>33</v>
      </c>
      <c r="M41" s="1">
        <v>1</v>
      </c>
      <c r="N41" s="1" t="s">
        <v>47</v>
      </c>
      <c r="O41" s="1">
        <v>3</v>
      </c>
      <c r="P41" s="1">
        <v>2</v>
      </c>
      <c r="Q41" s="1">
        <v>1</v>
      </c>
      <c r="R41" s="1">
        <v>5376</v>
      </c>
      <c r="S41" s="1">
        <v>10</v>
      </c>
      <c r="T41" s="1">
        <v>3</v>
      </c>
      <c r="U41" s="1">
        <v>5</v>
      </c>
      <c r="V41" s="1">
        <v>3</v>
      </c>
      <c r="W41" s="1">
        <v>1</v>
      </c>
      <c r="X41" s="1">
        <v>3</v>
      </c>
    </row>
    <row r="42" spans="1:24">
      <c r="A42" s="1">
        <v>41</v>
      </c>
      <c r="B42" s="1" t="s">
        <v>33</v>
      </c>
      <c r="C42" s="1" t="s">
        <v>25</v>
      </c>
      <c r="D42" s="1" t="s">
        <v>26</v>
      </c>
      <c r="E42" s="1" t="s">
        <v>36</v>
      </c>
      <c r="F42" s="1" t="s">
        <v>41</v>
      </c>
      <c r="G42" s="1">
        <v>1</v>
      </c>
      <c r="H42" s="1" t="s">
        <v>37</v>
      </c>
      <c r="I42" s="1" t="s">
        <v>42</v>
      </c>
      <c r="J42" s="1" t="s">
        <v>48</v>
      </c>
      <c r="K42" s="1" t="s">
        <v>33</v>
      </c>
      <c r="L42" s="1">
        <v>35</v>
      </c>
      <c r="M42" s="1">
        <v>4</v>
      </c>
      <c r="N42" s="1" t="s">
        <v>32</v>
      </c>
      <c r="O42" s="1">
        <v>3</v>
      </c>
      <c r="P42" s="1">
        <v>1</v>
      </c>
      <c r="Q42" s="1">
        <v>4</v>
      </c>
      <c r="R42" s="1">
        <v>1951</v>
      </c>
      <c r="S42" s="1">
        <v>1</v>
      </c>
      <c r="T42" s="1">
        <v>3</v>
      </c>
      <c r="U42" s="1">
        <v>1</v>
      </c>
      <c r="V42" s="1">
        <v>0</v>
      </c>
      <c r="W42" s="1">
        <v>0</v>
      </c>
      <c r="X42" s="1">
        <v>0</v>
      </c>
    </row>
    <row r="43" spans="1:24">
      <c r="A43" s="1">
        <v>42</v>
      </c>
      <c r="B43" s="1" t="s">
        <v>33</v>
      </c>
      <c r="C43" s="1" t="s">
        <v>25</v>
      </c>
      <c r="D43" s="1" t="s">
        <v>43</v>
      </c>
      <c r="E43" s="1" t="s">
        <v>36</v>
      </c>
      <c r="F43" s="1" t="s">
        <v>28</v>
      </c>
      <c r="G43" s="1">
        <v>1</v>
      </c>
      <c r="H43" s="1" t="s">
        <v>29</v>
      </c>
      <c r="I43" s="1" t="s">
        <v>42</v>
      </c>
      <c r="J43" s="1" t="s">
        <v>48</v>
      </c>
      <c r="K43" s="1" t="s">
        <v>33</v>
      </c>
      <c r="L43" s="1">
        <v>27</v>
      </c>
      <c r="M43" s="1">
        <v>2</v>
      </c>
      <c r="N43" s="1" t="s">
        <v>44</v>
      </c>
      <c r="O43" s="1">
        <v>4</v>
      </c>
      <c r="P43" s="1">
        <v>1</v>
      </c>
      <c r="Q43" s="1">
        <v>1</v>
      </c>
      <c r="R43" s="1">
        <v>2341</v>
      </c>
      <c r="S43" s="1">
        <v>1</v>
      </c>
      <c r="T43" s="1">
        <v>3</v>
      </c>
      <c r="U43" s="1">
        <v>1</v>
      </c>
      <c r="V43" s="1">
        <v>0</v>
      </c>
      <c r="W43" s="1">
        <v>0</v>
      </c>
      <c r="X43" s="1">
        <v>0</v>
      </c>
    </row>
    <row r="44" spans="1:24">
      <c r="A44" s="1">
        <v>43</v>
      </c>
      <c r="B44" s="1" t="s">
        <v>24</v>
      </c>
      <c r="C44" s="1" t="s">
        <v>25</v>
      </c>
      <c r="D44" s="1" t="s">
        <v>43</v>
      </c>
      <c r="E44" s="1" t="s">
        <v>36</v>
      </c>
      <c r="F44" s="1" t="s">
        <v>28</v>
      </c>
      <c r="G44" s="1">
        <v>1</v>
      </c>
      <c r="H44" s="1" t="s">
        <v>37</v>
      </c>
      <c r="I44" s="1" t="s">
        <v>42</v>
      </c>
      <c r="J44" s="1" t="s">
        <v>31</v>
      </c>
      <c r="K44" s="1" t="s">
        <v>33</v>
      </c>
      <c r="L44" s="1">
        <v>26</v>
      </c>
      <c r="M44" s="1">
        <v>25</v>
      </c>
      <c r="N44" s="1" t="s">
        <v>47</v>
      </c>
      <c r="O44" s="1">
        <v>1</v>
      </c>
      <c r="P44" s="1">
        <v>1</v>
      </c>
      <c r="Q44" s="1">
        <v>3</v>
      </c>
      <c r="R44" s="1">
        <v>2293</v>
      </c>
      <c r="S44" s="1">
        <v>1</v>
      </c>
      <c r="T44" s="1">
        <v>2</v>
      </c>
      <c r="U44" s="1">
        <v>1</v>
      </c>
      <c r="V44" s="1">
        <v>0</v>
      </c>
      <c r="W44" s="1">
        <v>0</v>
      </c>
      <c r="X44" s="1">
        <v>1</v>
      </c>
    </row>
    <row r="45" spans="1:24">
      <c r="A45" s="1">
        <v>44</v>
      </c>
      <c r="B45" s="1" t="s">
        <v>33</v>
      </c>
      <c r="C45" s="1" t="s">
        <v>34</v>
      </c>
      <c r="D45" s="1" t="s">
        <v>43</v>
      </c>
      <c r="E45" s="1" t="s">
        <v>27</v>
      </c>
      <c r="F45" s="1" t="s">
        <v>28</v>
      </c>
      <c r="G45" s="1">
        <v>1</v>
      </c>
      <c r="H45" s="1" t="s">
        <v>37</v>
      </c>
      <c r="I45" s="1" t="s">
        <v>30</v>
      </c>
      <c r="J45" s="1" t="s">
        <v>31</v>
      </c>
      <c r="K45" s="1" t="s">
        <v>33</v>
      </c>
      <c r="L45" s="1">
        <v>27</v>
      </c>
      <c r="M45" s="1">
        <v>8</v>
      </c>
      <c r="N45" s="1" t="s">
        <v>47</v>
      </c>
      <c r="O45" s="1">
        <v>4</v>
      </c>
      <c r="P45" s="1">
        <v>3</v>
      </c>
      <c r="Q45" s="1">
        <v>3</v>
      </c>
      <c r="R45" s="1">
        <v>8726</v>
      </c>
      <c r="S45" s="1">
        <v>9</v>
      </c>
      <c r="T45" s="1">
        <v>3</v>
      </c>
      <c r="U45" s="1">
        <v>9</v>
      </c>
      <c r="V45" s="1">
        <v>8</v>
      </c>
      <c r="W45" s="1">
        <v>1</v>
      </c>
      <c r="X45" s="1">
        <v>7</v>
      </c>
    </row>
    <row r="46" spans="1:24">
      <c r="A46" s="1">
        <v>45</v>
      </c>
      <c r="B46" s="1" t="s">
        <v>33</v>
      </c>
      <c r="C46" s="1" t="s">
        <v>34</v>
      </c>
      <c r="D46" s="1" t="s">
        <v>43</v>
      </c>
      <c r="E46" s="1" t="s">
        <v>36</v>
      </c>
      <c r="F46" s="1" t="s">
        <v>45</v>
      </c>
      <c r="G46" s="1">
        <v>1</v>
      </c>
      <c r="H46" s="1" t="s">
        <v>29</v>
      </c>
      <c r="I46" s="1" t="s">
        <v>42</v>
      </c>
      <c r="J46" s="1" t="s">
        <v>31</v>
      </c>
      <c r="K46" s="1" t="s">
        <v>33</v>
      </c>
      <c r="L46" s="1">
        <v>30</v>
      </c>
      <c r="M46" s="1">
        <v>1</v>
      </c>
      <c r="N46" s="1" t="s">
        <v>32</v>
      </c>
      <c r="O46" s="1">
        <v>3</v>
      </c>
      <c r="P46" s="1">
        <v>2</v>
      </c>
      <c r="Q46" s="1">
        <v>4</v>
      </c>
      <c r="R46" s="1">
        <v>4011</v>
      </c>
      <c r="S46" s="1">
        <v>12</v>
      </c>
      <c r="T46" s="1">
        <v>3</v>
      </c>
      <c r="U46" s="1">
        <v>12</v>
      </c>
      <c r="V46" s="1">
        <v>8</v>
      </c>
      <c r="W46" s="1">
        <v>3</v>
      </c>
      <c r="X46" s="1">
        <v>7</v>
      </c>
    </row>
    <row r="47" spans="1:24">
      <c r="A47" s="1">
        <v>46</v>
      </c>
      <c r="B47" s="1" t="s">
        <v>24</v>
      </c>
      <c r="C47" s="1" t="s">
        <v>25</v>
      </c>
      <c r="D47" s="1" t="s">
        <v>26</v>
      </c>
      <c r="E47" s="1" t="s">
        <v>36</v>
      </c>
      <c r="F47" s="1" t="s">
        <v>57</v>
      </c>
      <c r="G47" s="1">
        <v>1</v>
      </c>
      <c r="H47" s="1" t="s">
        <v>29</v>
      </c>
      <c r="I47" s="1" t="s">
        <v>55</v>
      </c>
      <c r="J47" s="1" t="s">
        <v>39</v>
      </c>
      <c r="K47" s="1" t="s">
        <v>33</v>
      </c>
      <c r="L47" s="1">
        <v>41</v>
      </c>
      <c r="M47" s="1">
        <v>12</v>
      </c>
      <c r="N47" s="1" t="s">
        <v>47</v>
      </c>
      <c r="O47" s="1">
        <v>2</v>
      </c>
      <c r="P47" s="1">
        <v>5</v>
      </c>
      <c r="Q47" s="1">
        <v>3</v>
      </c>
      <c r="R47" s="1">
        <v>19545</v>
      </c>
      <c r="S47" s="1">
        <v>23</v>
      </c>
      <c r="T47" s="1">
        <v>3</v>
      </c>
      <c r="U47" s="1">
        <v>22</v>
      </c>
      <c r="V47" s="1">
        <v>15</v>
      </c>
      <c r="W47" s="1">
        <v>15</v>
      </c>
      <c r="X47" s="1">
        <v>8</v>
      </c>
    </row>
    <row r="48" spans="1:24">
      <c r="A48" s="1">
        <v>47</v>
      </c>
      <c r="B48" s="1" t="s">
        <v>33</v>
      </c>
      <c r="C48" s="1" t="s">
        <v>51</v>
      </c>
      <c r="D48" s="1" t="s">
        <v>43</v>
      </c>
      <c r="E48" s="1" t="s">
        <v>27</v>
      </c>
      <c r="F48" s="1" t="s">
        <v>56</v>
      </c>
      <c r="G48" s="1">
        <v>1</v>
      </c>
      <c r="H48" s="1" t="s">
        <v>37</v>
      </c>
      <c r="I48" s="1" t="s">
        <v>30</v>
      </c>
      <c r="J48" s="1" t="s">
        <v>31</v>
      </c>
      <c r="K48" s="1" t="s">
        <v>33</v>
      </c>
      <c r="L48" s="1">
        <v>34</v>
      </c>
      <c r="M48" s="1">
        <v>23</v>
      </c>
      <c r="N48" s="1" t="s">
        <v>44</v>
      </c>
      <c r="O48" s="1">
        <v>2</v>
      </c>
      <c r="P48" s="1">
        <v>2</v>
      </c>
      <c r="Q48" s="1">
        <v>3</v>
      </c>
      <c r="R48" s="1">
        <v>4568</v>
      </c>
      <c r="S48" s="1">
        <v>10</v>
      </c>
      <c r="T48" s="1">
        <v>3</v>
      </c>
      <c r="U48" s="1">
        <v>9</v>
      </c>
      <c r="V48" s="1">
        <v>5</v>
      </c>
      <c r="W48" s="1">
        <v>8</v>
      </c>
      <c r="X48" s="1">
        <v>7</v>
      </c>
    </row>
    <row r="49" spans="1:24">
      <c r="A49" s="1">
        <v>48</v>
      </c>
      <c r="B49" s="1" t="s">
        <v>33</v>
      </c>
      <c r="C49" s="1" t="s">
        <v>25</v>
      </c>
      <c r="D49" s="1" t="s">
        <v>26</v>
      </c>
      <c r="E49" s="1" t="s">
        <v>36</v>
      </c>
      <c r="F49" s="1" t="s">
        <v>28</v>
      </c>
      <c r="G49" s="1">
        <v>1</v>
      </c>
      <c r="H49" s="1" t="s">
        <v>37</v>
      </c>
      <c r="I49" s="1" t="s">
        <v>38</v>
      </c>
      <c r="J49" s="1" t="s">
        <v>39</v>
      </c>
      <c r="K49" s="1" t="s">
        <v>33</v>
      </c>
      <c r="L49" s="1">
        <v>37</v>
      </c>
      <c r="M49" s="1">
        <v>19</v>
      </c>
      <c r="N49" s="1" t="s">
        <v>32</v>
      </c>
      <c r="O49" s="1">
        <v>2</v>
      </c>
      <c r="P49" s="1">
        <v>1</v>
      </c>
      <c r="Q49" s="1">
        <v>2</v>
      </c>
      <c r="R49" s="1">
        <v>3022</v>
      </c>
      <c r="S49" s="1">
        <v>8</v>
      </c>
      <c r="T49" s="1">
        <v>3</v>
      </c>
      <c r="U49" s="1">
        <v>1</v>
      </c>
      <c r="V49" s="1">
        <v>0</v>
      </c>
      <c r="W49" s="1">
        <v>0</v>
      </c>
      <c r="X49" s="1">
        <v>0</v>
      </c>
    </row>
    <row r="50" spans="1:24">
      <c r="A50" s="1">
        <v>49</v>
      </c>
      <c r="B50" s="1" t="s">
        <v>33</v>
      </c>
      <c r="C50" s="1" t="s">
        <v>34</v>
      </c>
      <c r="D50" s="1" t="s">
        <v>35</v>
      </c>
      <c r="E50" s="1" t="s">
        <v>27</v>
      </c>
      <c r="F50" s="1" t="s">
        <v>56</v>
      </c>
      <c r="G50" s="1">
        <v>1</v>
      </c>
      <c r="H50" s="1" t="s">
        <v>37</v>
      </c>
      <c r="I50" s="1" t="s">
        <v>30</v>
      </c>
      <c r="J50" s="1" t="s">
        <v>31</v>
      </c>
      <c r="K50" s="1" t="s">
        <v>24</v>
      </c>
      <c r="L50" s="1">
        <v>46</v>
      </c>
      <c r="M50" s="1">
        <v>5</v>
      </c>
      <c r="N50" s="1" t="s">
        <v>44</v>
      </c>
      <c r="O50" s="1">
        <v>1</v>
      </c>
      <c r="P50" s="1">
        <v>2</v>
      </c>
      <c r="Q50" s="1">
        <v>4</v>
      </c>
      <c r="R50" s="1">
        <v>5772</v>
      </c>
      <c r="S50" s="1">
        <v>14</v>
      </c>
      <c r="T50" s="1">
        <v>3</v>
      </c>
      <c r="U50" s="1">
        <v>9</v>
      </c>
      <c r="V50" s="1">
        <v>6</v>
      </c>
      <c r="W50" s="1">
        <v>0</v>
      </c>
      <c r="X50" s="1">
        <v>8</v>
      </c>
    </row>
    <row r="51" spans="1:24">
      <c r="A51" s="1">
        <v>50</v>
      </c>
      <c r="B51" s="1" t="s">
        <v>33</v>
      </c>
      <c r="C51" s="1" t="s">
        <v>25</v>
      </c>
      <c r="D51" s="1" t="s">
        <v>26</v>
      </c>
      <c r="E51" s="1" t="s">
        <v>36</v>
      </c>
      <c r="F51" s="1" t="s">
        <v>28</v>
      </c>
      <c r="G51" s="1">
        <v>1</v>
      </c>
      <c r="H51" s="1" t="s">
        <v>37</v>
      </c>
      <c r="I51" s="1" t="s">
        <v>42</v>
      </c>
      <c r="J51" s="1" t="s">
        <v>39</v>
      </c>
      <c r="K51" s="1" t="s">
        <v>33</v>
      </c>
      <c r="L51" s="1">
        <v>35</v>
      </c>
      <c r="M51" s="1">
        <v>8</v>
      </c>
      <c r="N51" s="1" t="s">
        <v>40</v>
      </c>
      <c r="O51" s="1">
        <v>4</v>
      </c>
      <c r="P51" s="1">
        <v>1</v>
      </c>
      <c r="Q51" s="1">
        <v>4</v>
      </c>
      <c r="R51" s="1">
        <v>2269</v>
      </c>
      <c r="S51" s="1">
        <v>1</v>
      </c>
      <c r="T51" s="1">
        <v>3</v>
      </c>
      <c r="U51" s="1">
        <v>1</v>
      </c>
      <c r="V51" s="1">
        <v>0</v>
      </c>
      <c r="W51" s="1">
        <v>0</v>
      </c>
      <c r="X51" s="1">
        <v>1</v>
      </c>
    </row>
    <row r="52" spans="1:24">
      <c r="A52" s="1">
        <v>51</v>
      </c>
      <c r="B52" s="1" t="s">
        <v>24</v>
      </c>
      <c r="C52" s="1" t="s">
        <v>25</v>
      </c>
      <c r="D52" s="1" t="s">
        <v>35</v>
      </c>
      <c r="E52" s="1" t="s">
        <v>36</v>
      </c>
      <c r="F52" s="1" t="s">
        <v>28</v>
      </c>
      <c r="G52" s="1">
        <v>1</v>
      </c>
      <c r="H52" s="1" t="s">
        <v>37</v>
      </c>
      <c r="I52" s="1" t="s">
        <v>42</v>
      </c>
      <c r="J52" s="1" t="s">
        <v>31</v>
      </c>
      <c r="K52" s="1" t="s">
        <v>24</v>
      </c>
      <c r="L52" s="1">
        <v>48</v>
      </c>
      <c r="M52" s="1">
        <v>1</v>
      </c>
      <c r="N52" s="1" t="s">
        <v>32</v>
      </c>
      <c r="O52" s="1">
        <v>1</v>
      </c>
      <c r="P52" s="1">
        <v>3</v>
      </c>
      <c r="Q52" s="1">
        <v>3</v>
      </c>
      <c r="R52" s="1">
        <v>5381</v>
      </c>
      <c r="S52" s="1">
        <v>23</v>
      </c>
      <c r="T52" s="1">
        <v>3</v>
      </c>
      <c r="U52" s="1">
        <v>1</v>
      </c>
      <c r="V52" s="1">
        <v>0</v>
      </c>
      <c r="W52" s="1">
        <v>0</v>
      </c>
      <c r="X52" s="1">
        <v>0</v>
      </c>
    </row>
    <row r="53" spans="1:24">
      <c r="A53" s="1">
        <v>52</v>
      </c>
      <c r="B53" s="1" t="s">
        <v>24</v>
      </c>
      <c r="C53" s="1" t="s">
        <v>25</v>
      </c>
      <c r="D53" s="1" t="s">
        <v>43</v>
      </c>
      <c r="E53" s="1" t="s">
        <v>36</v>
      </c>
      <c r="F53" s="1" t="s">
        <v>57</v>
      </c>
      <c r="G53" s="1">
        <v>1</v>
      </c>
      <c r="H53" s="1" t="s">
        <v>37</v>
      </c>
      <c r="I53" s="1" t="s">
        <v>42</v>
      </c>
      <c r="J53" s="1" t="s">
        <v>31</v>
      </c>
      <c r="K53" s="1" t="s">
        <v>24</v>
      </c>
      <c r="L53" s="1">
        <v>28</v>
      </c>
      <c r="M53" s="1">
        <v>5</v>
      </c>
      <c r="N53" s="1" t="s">
        <v>44</v>
      </c>
      <c r="O53" s="1">
        <v>3</v>
      </c>
      <c r="P53" s="1">
        <v>1</v>
      </c>
      <c r="Q53" s="1">
        <v>3</v>
      </c>
      <c r="R53" s="1">
        <v>3441</v>
      </c>
      <c r="S53" s="1">
        <v>2</v>
      </c>
      <c r="T53" s="1">
        <v>2</v>
      </c>
      <c r="U53" s="1">
        <v>2</v>
      </c>
      <c r="V53" s="1">
        <v>2</v>
      </c>
      <c r="W53" s="1">
        <v>2</v>
      </c>
      <c r="X53" s="1">
        <v>2</v>
      </c>
    </row>
    <row r="54" spans="1:24">
      <c r="A54" s="1">
        <v>53</v>
      </c>
      <c r="B54" s="1" t="s">
        <v>33</v>
      </c>
      <c r="C54" s="1" t="s">
        <v>25</v>
      </c>
      <c r="D54" s="1" t="s">
        <v>26</v>
      </c>
      <c r="E54" s="1" t="s">
        <v>27</v>
      </c>
      <c r="F54" s="1" t="s">
        <v>56</v>
      </c>
      <c r="G54" s="1">
        <v>1</v>
      </c>
      <c r="H54" s="1" t="s">
        <v>29</v>
      </c>
      <c r="I54" s="1" t="s">
        <v>30</v>
      </c>
      <c r="J54" s="1" t="s">
        <v>48</v>
      </c>
      <c r="K54" s="1" t="s">
        <v>24</v>
      </c>
      <c r="L54" s="1">
        <v>44</v>
      </c>
      <c r="M54" s="1">
        <v>1</v>
      </c>
      <c r="N54" s="1" t="s">
        <v>58</v>
      </c>
      <c r="O54" s="1">
        <v>2</v>
      </c>
      <c r="P54" s="1">
        <v>2</v>
      </c>
      <c r="Q54" s="1">
        <v>1</v>
      </c>
      <c r="R54" s="1">
        <v>5454</v>
      </c>
      <c r="S54" s="1">
        <v>9</v>
      </c>
      <c r="T54" s="1">
        <v>2</v>
      </c>
      <c r="U54" s="1">
        <v>4</v>
      </c>
      <c r="V54" s="1">
        <v>3</v>
      </c>
      <c r="W54" s="1">
        <v>1</v>
      </c>
      <c r="X54" s="1">
        <v>3</v>
      </c>
    </row>
    <row r="55" spans="1:24">
      <c r="A55" s="1">
        <v>54</v>
      </c>
      <c r="B55" s="1" t="s">
        <v>33</v>
      </c>
      <c r="C55" s="1" t="s">
        <v>51</v>
      </c>
      <c r="D55" s="1" t="s">
        <v>26</v>
      </c>
      <c r="E55" s="1" t="s">
        <v>36</v>
      </c>
      <c r="F55" s="1" t="s">
        <v>45</v>
      </c>
      <c r="G55" s="1">
        <v>1</v>
      </c>
      <c r="H55" s="1" t="s">
        <v>37</v>
      </c>
      <c r="I55" s="1" t="s">
        <v>50</v>
      </c>
      <c r="J55" s="1" t="s">
        <v>39</v>
      </c>
      <c r="K55" s="1" t="s">
        <v>24</v>
      </c>
      <c r="L55" s="1">
        <v>35</v>
      </c>
      <c r="M55" s="1">
        <v>11</v>
      </c>
      <c r="N55" s="1" t="s">
        <v>32</v>
      </c>
      <c r="O55" s="1">
        <v>3</v>
      </c>
      <c r="P55" s="1">
        <v>3</v>
      </c>
      <c r="Q55" s="1">
        <v>1</v>
      </c>
      <c r="R55" s="1">
        <v>9884</v>
      </c>
      <c r="S55" s="1">
        <v>10</v>
      </c>
      <c r="T55" s="1">
        <v>3</v>
      </c>
      <c r="U55" s="1">
        <v>4</v>
      </c>
      <c r="V55" s="1">
        <v>0</v>
      </c>
      <c r="W55" s="1">
        <v>2</v>
      </c>
      <c r="X55" s="1">
        <v>3</v>
      </c>
    </row>
    <row r="56" spans="1:24">
      <c r="A56" s="1">
        <v>55</v>
      </c>
      <c r="B56" s="1" t="s">
        <v>33</v>
      </c>
      <c r="C56" s="1" t="s">
        <v>25</v>
      </c>
      <c r="D56" s="1" t="s">
        <v>43</v>
      </c>
      <c r="E56" s="1" t="s">
        <v>27</v>
      </c>
      <c r="F56" s="1" t="s">
        <v>56</v>
      </c>
      <c r="G56" s="1">
        <v>1</v>
      </c>
      <c r="H56" s="1" t="s">
        <v>29</v>
      </c>
      <c r="I56" s="1" t="s">
        <v>30</v>
      </c>
      <c r="J56" s="1" t="s">
        <v>39</v>
      </c>
      <c r="K56" s="1" t="s">
        <v>24</v>
      </c>
      <c r="L56" s="1">
        <v>26</v>
      </c>
      <c r="M56" s="1">
        <v>23</v>
      </c>
      <c r="N56" s="1" t="s">
        <v>47</v>
      </c>
      <c r="O56" s="1">
        <v>3</v>
      </c>
      <c r="P56" s="1">
        <v>2</v>
      </c>
      <c r="Q56" s="1">
        <v>4</v>
      </c>
      <c r="R56" s="1">
        <v>4157</v>
      </c>
      <c r="S56" s="1">
        <v>5</v>
      </c>
      <c r="T56" s="1">
        <v>2</v>
      </c>
      <c r="U56" s="1">
        <v>2</v>
      </c>
      <c r="V56" s="1">
        <v>2</v>
      </c>
      <c r="W56" s="1">
        <v>0</v>
      </c>
      <c r="X56" s="1">
        <v>0</v>
      </c>
    </row>
    <row r="57" spans="1:24">
      <c r="A57" s="1">
        <v>56</v>
      </c>
      <c r="B57" s="1" t="s">
        <v>33</v>
      </c>
      <c r="C57" s="1" t="s">
        <v>34</v>
      </c>
      <c r="D57" s="1" t="s">
        <v>43</v>
      </c>
      <c r="E57" s="1" t="s">
        <v>36</v>
      </c>
      <c r="F57" s="1" t="s">
        <v>28</v>
      </c>
      <c r="G57" s="1">
        <v>1</v>
      </c>
      <c r="H57" s="1" t="s">
        <v>29</v>
      </c>
      <c r="I57" s="1" t="s">
        <v>55</v>
      </c>
      <c r="J57" s="1" t="s">
        <v>31</v>
      </c>
      <c r="K57" s="1" t="s">
        <v>24</v>
      </c>
      <c r="L57" s="1">
        <v>33</v>
      </c>
      <c r="M57" s="1">
        <v>1</v>
      </c>
      <c r="N57" s="1" t="s">
        <v>32</v>
      </c>
      <c r="O57" s="1">
        <v>1</v>
      </c>
      <c r="P57" s="1">
        <v>3</v>
      </c>
      <c r="Q57" s="1">
        <v>4</v>
      </c>
      <c r="R57" s="1">
        <v>13458</v>
      </c>
      <c r="S57" s="1">
        <v>15</v>
      </c>
      <c r="T57" s="1">
        <v>3</v>
      </c>
      <c r="U57" s="1">
        <v>15</v>
      </c>
      <c r="V57" s="1">
        <v>14</v>
      </c>
      <c r="W57" s="1">
        <v>8</v>
      </c>
      <c r="X57" s="1">
        <v>12</v>
      </c>
    </row>
    <row r="58" spans="1:24">
      <c r="A58" s="1">
        <v>57</v>
      </c>
      <c r="B58" s="1" t="s">
        <v>33</v>
      </c>
      <c r="C58" s="1" t="s">
        <v>34</v>
      </c>
      <c r="D58" s="1" t="s">
        <v>26</v>
      </c>
      <c r="E58" s="1" t="s">
        <v>27</v>
      </c>
      <c r="F58" s="1" t="s">
        <v>28</v>
      </c>
      <c r="G58" s="1">
        <v>1</v>
      </c>
      <c r="H58" s="1" t="s">
        <v>37</v>
      </c>
      <c r="I58" s="1" t="s">
        <v>30</v>
      </c>
      <c r="J58" s="1" t="s">
        <v>39</v>
      </c>
      <c r="K58" s="1" t="s">
        <v>33</v>
      </c>
      <c r="L58" s="1">
        <v>35</v>
      </c>
      <c r="M58" s="1">
        <v>18</v>
      </c>
      <c r="N58" s="1" t="s">
        <v>58</v>
      </c>
      <c r="O58" s="1">
        <v>2</v>
      </c>
      <c r="P58" s="1">
        <v>3</v>
      </c>
      <c r="Q58" s="1">
        <v>1</v>
      </c>
      <c r="R58" s="1">
        <v>9069</v>
      </c>
      <c r="S58" s="1">
        <v>9</v>
      </c>
      <c r="T58" s="1">
        <v>2</v>
      </c>
      <c r="U58" s="1">
        <v>9</v>
      </c>
      <c r="V58" s="1">
        <v>8</v>
      </c>
      <c r="W58" s="1">
        <v>1</v>
      </c>
      <c r="X58" s="1">
        <v>8</v>
      </c>
    </row>
    <row r="59" spans="1:24">
      <c r="A59" s="1">
        <v>58</v>
      </c>
      <c r="B59" s="1" t="s">
        <v>33</v>
      </c>
      <c r="C59" s="1" t="s">
        <v>25</v>
      </c>
      <c r="D59" s="1" t="s">
        <v>26</v>
      </c>
      <c r="E59" s="1" t="s">
        <v>36</v>
      </c>
      <c r="F59" s="1" t="s">
        <v>45</v>
      </c>
      <c r="G59" s="1">
        <v>1</v>
      </c>
      <c r="H59" s="1" t="s">
        <v>29</v>
      </c>
      <c r="I59" s="1" t="s">
        <v>42</v>
      </c>
      <c r="J59" s="1" t="s">
        <v>39</v>
      </c>
      <c r="K59" s="1" t="s">
        <v>24</v>
      </c>
      <c r="L59" s="1">
        <v>35</v>
      </c>
      <c r="M59" s="1">
        <v>23</v>
      </c>
      <c r="N59" s="1" t="s">
        <v>44</v>
      </c>
      <c r="O59" s="1">
        <v>3</v>
      </c>
      <c r="P59" s="1">
        <v>1</v>
      </c>
      <c r="Q59" s="1">
        <v>1</v>
      </c>
      <c r="R59" s="1">
        <v>4014</v>
      </c>
      <c r="S59" s="1">
        <v>4</v>
      </c>
      <c r="T59" s="1">
        <v>3</v>
      </c>
      <c r="U59" s="1">
        <v>2</v>
      </c>
      <c r="V59" s="1">
        <v>2</v>
      </c>
      <c r="W59" s="1">
        <v>2</v>
      </c>
      <c r="X59" s="1">
        <v>2</v>
      </c>
    </row>
    <row r="60" spans="1:24">
      <c r="A60" s="1">
        <v>59</v>
      </c>
      <c r="B60" s="1" t="s">
        <v>33</v>
      </c>
      <c r="C60" s="1" t="s">
        <v>25</v>
      </c>
      <c r="D60" s="1" t="s">
        <v>43</v>
      </c>
      <c r="E60" s="1" t="s">
        <v>36</v>
      </c>
      <c r="F60" s="1" t="s">
        <v>28</v>
      </c>
      <c r="G60" s="1">
        <v>1</v>
      </c>
      <c r="H60" s="1" t="s">
        <v>37</v>
      </c>
      <c r="I60" s="1" t="s">
        <v>42</v>
      </c>
      <c r="J60" s="1" t="s">
        <v>48</v>
      </c>
      <c r="K60" s="1" t="s">
        <v>33</v>
      </c>
      <c r="L60" s="1">
        <v>31</v>
      </c>
      <c r="M60" s="1">
        <v>7</v>
      </c>
      <c r="N60" s="1" t="s">
        <v>44</v>
      </c>
      <c r="O60" s="1">
        <v>4</v>
      </c>
      <c r="P60" s="1">
        <v>2</v>
      </c>
      <c r="Q60" s="1">
        <v>4</v>
      </c>
      <c r="R60" s="1">
        <v>5915</v>
      </c>
      <c r="S60" s="1">
        <v>10</v>
      </c>
      <c r="T60" s="1">
        <v>2</v>
      </c>
      <c r="U60" s="1">
        <v>7</v>
      </c>
      <c r="V60" s="1">
        <v>7</v>
      </c>
      <c r="W60" s="1">
        <v>1</v>
      </c>
      <c r="X60" s="1">
        <v>7</v>
      </c>
    </row>
    <row r="61" spans="1:24">
      <c r="A61" s="1">
        <v>60</v>
      </c>
      <c r="B61" s="1" t="s">
        <v>33</v>
      </c>
      <c r="C61" s="1" t="s">
        <v>25</v>
      </c>
      <c r="D61" s="1" t="s">
        <v>26</v>
      </c>
      <c r="E61" s="1" t="s">
        <v>36</v>
      </c>
      <c r="F61" s="1" t="s">
        <v>28</v>
      </c>
      <c r="G61" s="1">
        <v>1</v>
      </c>
      <c r="H61" s="1" t="s">
        <v>37</v>
      </c>
      <c r="I61" s="1" t="s">
        <v>49</v>
      </c>
      <c r="J61" s="1" t="s">
        <v>48</v>
      </c>
      <c r="K61" s="1" t="s">
        <v>33</v>
      </c>
      <c r="L61" s="1">
        <v>37</v>
      </c>
      <c r="M61" s="1">
        <v>1</v>
      </c>
      <c r="N61" s="1" t="s">
        <v>44</v>
      </c>
      <c r="O61" s="1">
        <v>1</v>
      </c>
      <c r="P61" s="1">
        <v>2</v>
      </c>
      <c r="Q61" s="1">
        <v>3</v>
      </c>
      <c r="R61" s="1">
        <v>5993</v>
      </c>
      <c r="S61" s="1">
        <v>7</v>
      </c>
      <c r="T61" s="1">
        <v>4</v>
      </c>
      <c r="U61" s="1">
        <v>7</v>
      </c>
      <c r="V61" s="1">
        <v>5</v>
      </c>
      <c r="W61" s="1">
        <v>0</v>
      </c>
      <c r="X61" s="1">
        <v>7</v>
      </c>
    </row>
    <row r="62" spans="1:24">
      <c r="A62" s="1">
        <v>61</v>
      </c>
      <c r="B62" s="1" t="s">
        <v>33</v>
      </c>
      <c r="C62" s="1" t="s">
        <v>25</v>
      </c>
      <c r="D62" s="1" t="s">
        <v>43</v>
      </c>
      <c r="E62" s="1" t="s">
        <v>36</v>
      </c>
      <c r="F62" s="1" t="s">
        <v>45</v>
      </c>
      <c r="G62" s="1">
        <v>1</v>
      </c>
      <c r="H62" s="1" t="s">
        <v>37</v>
      </c>
      <c r="I62" s="1" t="s">
        <v>49</v>
      </c>
      <c r="J62" s="1" t="s">
        <v>39</v>
      </c>
      <c r="K62" s="1" t="s">
        <v>24</v>
      </c>
      <c r="L62" s="1">
        <v>32</v>
      </c>
      <c r="M62" s="1">
        <v>1</v>
      </c>
      <c r="N62" s="1" t="s">
        <v>47</v>
      </c>
      <c r="O62" s="1">
        <v>1</v>
      </c>
      <c r="P62" s="1">
        <v>2</v>
      </c>
      <c r="Q62" s="1">
        <v>4</v>
      </c>
      <c r="R62" s="1">
        <v>6162</v>
      </c>
      <c r="S62" s="1">
        <v>9</v>
      </c>
      <c r="T62" s="1">
        <v>3</v>
      </c>
      <c r="U62" s="1">
        <v>9</v>
      </c>
      <c r="V62" s="1">
        <v>8</v>
      </c>
      <c r="W62" s="1">
        <v>7</v>
      </c>
      <c r="X62" s="1">
        <v>8</v>
      </c>
    </row>
    <row r="63" spans="1:24">
      <c r="A63" s="1">
        <v>62</v>
      </c>
      <c r="B63" s="1" t="s">
        <v>33</v>
      </c>
      <c r="C63" s="1" t="s">
        <v>34</v>
      </c>
      <c r="D63" s="1" t="s">
        <v>26</v>
      </c>
      <c r="E63" s="1" t="s">
        <v>36</v>
      </c>
      <c r="F63" s="1" t="s">
        <v>28</v>
      </c>
      <c r="G63" s="1">
        <v>1</v>
      </c>
      <c r="H63" s="1" t="s">
        <v>29</v>
      </c>
      <c r="I63" s="1" t="s">
        <v>42</v>
      </c>
      <c r="J63" s="1" t="s">
        <v>31</v>
      </c>
      <c r="K63" s="1" t="s">
        <v>33</v>
      </c>
      <c r="L63" s="1">
        <v>38</v>
      </c>
      <c r="M63" s="1">
        <v>29</v>
      </c>
      <c r="N63" s="1" t="s">
        <v>58</v>
      </c>
      <c r="O63" s="1">
        <v>4</v>
      </c>
      <c r="P63" s="1">
        <v>2</v>
      </c>
      <c r="Q63" s="1">
        <v>4</v>
      </c>
      <c r="R63" s="1">
        <v>2406</v>
      </c>
      <c r="S63" s="1">
        <v>10</v>
      </c>
      <c r="T63" s="1">
        <v>3</v>
      </c>
      <c r="U63" s="1">
        <v>10</v>
      </c>
      <c r="V63" s="1">
        <v>3</v>
      </c>
      <c r="W63" s="1">
        <v>9</v>
      </c>
      <c r="X63" s="1">
        <v>9</v>
      </c>
    </row>
    <row r="64" spans="1:24">
      <c r="A64" s="1">
        <v>63</v>
      </c>
      <c r="B64" s="1" t="s">
        <v>33</v>
      </c>
      <c r="C64" s="1" t="s">
        <v>25</v>
      </c>
      <c r="D64" s="1" t="s">
        <v>35</v>
      </c>
      <c r="E64" s="1" t="s">
        <v>36</v>
      </c>
      <c r="F64" s="1" t="s">
        <v>45</v>
      </c>
      <c r="G64" s="1">
        <v>1</v>
      </c>
      <c r="H64" s="1" t="s">
        <v>29</v>
      </c>
      <c r="I64" s="1" t="s">
        <v>55</v>
      </c>
      <c r="J64" s="1" t="s">
        <v>48</v>
      </c>
      <c r="K64" s="1" t="s">
        <v>24</v>
      </c>
      <c r="L64" s="1">
        <v>50</v>
      </c>
      <c r="M64" s="1">
        <v>7</v>
      </c>
      <c r="N64" s="1" t="s">
        <v>32</v>
      </c>
      <c r="O64" s="1">
        <v>2</v>
      </c>
      <c r="P64" s="1">
        <v>5</v>
      </c>
      <c r="Q64" s="1">
        <v>3</v>
      </c>
      <c r="R64" s="1">
        <v>18740</v>
      </c>
      <c r="S64" s="1">
        <v>29</v>
      </c>
      <c r="T64" s="1">
        <v>2</v>
      </c>
      <c r="U64" s="1">
        <v>27</v>
      </c>
      <c r="V64" s="1">
        <v>3</v>
      </c>
      <c r="W64" s="1">
        <v>13</v>
      </c>
      <c r="X64" s="1">
        <v>8</v>
      </c>
    </row>
    <row r="65" spans="1:24">
      <c r="A65" s="1">
        <v>64</v>
      </c>
      <c r="B65" s="1" t="s">
        <v>33</v>
      </c>
      <c r="C65" s="1" t="s">
        <v>25</v>
      </c>
      <c r="D65" s="1" t="s">
        <v>46</v>
      </c>
      <c r="E65" s="1" t="s">
        <v>27</v>
      </c>
      <c r="F65" s="1" t="s">
        <v>28</v>
      </c>
      <c r="G65" s="1">
        <v>1</v>
      </c>
      <c r="H65" s="1" t="s">
        <v>29</v>
      </c>
      <c r="I65" s="1" t="s">
        <v>30</v>
      </c>
      <c r="J65" s="1" t="s">
        <v>31</v>
      </c>
      <c r="K65" s="1" t="s">
        <v>33</v>
      </c>
      <c r="L65" s="1">
        <v>59</v>
      </c>
      <c r="M65" s="1">
        <v>25</v>
      </c>
      <c r="N65" s="1" t="s">
        <v>47</v>
      </c>
      <c r="O65" s="1">
        <v>1</v>
      </c>
      <c r="P65" s="1">
        <v>3</v>
      </c>
      <c r="Q65" s="1">
        <v>1</v>
      </c>
      <c r="R65" s="1">
        <v>7637</v>
      </c>
      <c r="S65" s="1">
        <v>28</v>
      </c>
      <c r="T65" s="1">
        <v>2</v>
      </c>
      <c r="U65" s="1">
        <v>21</v>
      </c>
      <c r="V65" s="1">
        <v>16</v>
      </c>
      <c r="W65" s="1">
        <v>7</v>
      </c>
      <c r="X65" s="1">
        <v>9</v>
      </c>
    </row>
    <row r="66" spans="1:24">
      <c r="A66" s="1">
        <v>65</v>
      </c>
      <c r="B66" s="1" t="s">
        <v>33</v>
      </c>
      <c r="C66" s="1" t="s">
        <v>25</v>
      </c>
      <c r="D66" s="1" t="s">
        <v>26</v>
      </c>
      <c r="E66" s="1" t="s">
        <v>36</v>
      </c>
      <c r="F66" s="1" t="s">
        <v>57</v>
      </c>
      <c r="G66" s="1">
        <v>1</v>
      </c>
      <c r="H66" s="1" t="s">
        <v>29</v>
      </c>
      <c r="I66" s="1" t="s">
        <v>50</v>
      </c>
      <c r="J66" s="1" t="s">
        <v>48</v>
      </c>
      <c r="K66" s="1" t="s">
        <v>33</v>
      </c>
      <c r="L66" s="1">
        <v>36</v>
      </c>
      <c r="M66" s="1">
        <v>8</v>
      </c>
      <c r="N66" s="1" t="s">
        <v>47</v>
      </c>
      <c r="O66" s="1">
        <v>3</v>
      </c>
      <c r="P66" s="1">
        <v>3</v>
      </c>
      <c r="Q66" s="1">
        <v>3</v>
      </c>
      <c r="R66" s="1">
        <v>10096</v>
      </c>
      <c r="S66" s="1">
        <v>17</v>
      </c>
      <c r="T66" s="1">
        <v>3</v>
      </c>
      <c r="U66" s="1">
        <v>17</v>
      </c>
      <c r="V66" s="1">
        <v>14</v>
      </c>
      <c r="W66" s="1">
        <v>12</v>
      </c>
      <c r="X66" s="1">
        <v>8</v>
      </c>
    </row>
    <row r="67" spans="1:24">
      <c r="A67" s="1">
        <v>66</v>
      </c>
      <c r="B67" s="1" t="s">
        <v>33</v>
      </c>
      <c r="C67" s="1" t="s">
        <v>25</v>
      </c>
      <c r="D67" s="1" t="s">
        <v>46</v>
      </c>
      <c r="E67" s="1" t="s">
        <v>36</v>
      </c>
      <c r="F67" s="1" t="s">
        <v>45</v>
      </c>
      <c r="G67" s="1">
        <v>1</v>
      </c>
      <c r="H67" s="1" t="s">
        <v>29</v>
      </c>
      <c r="I67" s="1" t="s">
        <v>53</v>
      </c>
      <c r="J67" s="1" t="s">
        <v>48</v>
      </c>
      <c r="K67" s="1" t="s">
        <v>24</v>
      </c>
      <c r="L67" s="1">
        <v>55</v>
      </c>
      <c r="M67" s="1">
        <v>8</v>
      </c>
      <c r="N67" s="1" t="s">
        <v>47</v>
      </c>
      <c r="O67" s="1">
        <v>4</v>
      </c>
      <c r="P67" s="1">
        <v>4</v>
      </c>
      <c r="Q67" s="1">
        <v>3</v>
      </c>
      <c r="R67" s="1">
        <v>14756</v>
      </c>
      <c r="S67" s="1">
        <v>21</v>
      </c>
      <c r="T67" s="1">
        <v>3</v>
      </c>
      <c r="U67" s="1">
        <v>5</v>
      </c>
      <c r="V67" s="1">
        <v>0</v>
      </c>
      <c r="W67" s="1">
        <v>0</v>
      </c>
      <c r="X67" s="1">
        <v>2</v>
      </c>
    </row>
    <row r="68" spans="1:24">
      <c r="A68" s="1">
        <v>67</v>
      </c>
      <c r="B68" s="1" t="s">
        <v>33</v>
      </c>
      <c r="C68" s="1" t="s">
        <v>34</v>
      </c>
      <c r="D68" s="1" t="s">
        <v>26</v>
      </c>
      <c r="E68" s="1" t="s">
        <v>36</v>
      </c>
      <c r="F68" s="1" t="s">
        <v>28</v>
      </c>
      <c r="G68" s="1">
        <v>1</v>
      </c>
      <c r="H68" s="1" t="s">
        <v>37</v>
      </c>
      <c r="I68" s="1" t="s">
        <v>49</v>
      </c>
      <c r="J68" s="1" t="s">
        <v>31</v>
      </c>
      <c r="K68" s="1" t="s">
        <v>33</v>
      </c>
      <c r="L68" s="1">
        <v>36</v>
      </c>
      <c r="M68" s="1">
        <v>11</v>
      </c>
      <c r="N68" s="1" t="s">
        <v>47</v>
      </c>
      <c r="O68" s="1">
        <v>2</v>
      </c>
      <c r="P68" s="1">
        <v>2</v>
      </c>
      <c r="Q68" s="1">
        <v>2</v>
      </c>
      <c r="R68" s="1">
        <v>6499</v>
      </c>
      <c r="S68" s="1">
        <v>6</v>
      </c>
      <c r="T68" s="1">
        <v>3</v>
      </c>
      <c r="U68" s="1">
        <v>6</v>
      </c>
      <c r="V68" s="1">
        <v>5</v>
      </c>
      <c r="W68" s="1">
        <v>0</v>
      </c>
      <c r="X68" s="1">
        <v>3</v>
      </c>
    </row>
    <row r="69" spans="1:24">
      <c r="A69" s="1">
        <v>68</v>
      </c>
      <c r="B69" s="1" t="s">
        <v>33</v>
      </c>
      <c r="C69" s="1" t="s">
        <v>25</v>
      </c>
      <c r="D69" s="1" t="s">
        <v>35</v>
      </c>
      <c r="E69" s="1" t="s">
        <v>36</v>
      </c>
      <c r="F69" s="1" t="s">
        <v>28</v>
      </c>
      <c r="G69" s="1">
        <v>1</v>
      </c>
      <c r="H69" s="1" t="s">
        <v>37</v>
      </c>
      <c r="I69" s="1" t="s">
        <v>38</v>
      </c>
      <c r="J69" s="1" t="s">
        <v>48</v>
      </c>
      <c r="K69" s="1" t="s">
        <v>33</v>
      </c>
      <c r="L69" s="1">
        <v>45</v>
      </c>
      <c r="M69" s="1">
        <v>7</v>
      </c>
      <c r="N69" s="1" t="s">
        <v>47</v>
      </c>
      <c r="O69" s="1">
        <v>2</v>
      </c>
      <c r="P69" s="1">
        <v>3</v>
      </c>
      <c r="Q69" s="1">
        <v>1</v>
      </c>
      <c r="R69" s="1">
        <v>9724</v>
      </c>
      <c r="S69" s="1">
        <v>25</v>
      </c>
      <c r="T69" s="1">
        <v>3</v>
      </c>
      <c r="U69" s="1">
        <v>1</v>
      </c>
      <c r="V69" s="1">
        <v>0</v>
      </c>
      <c r="W69" s="1">
        <v>0</v>
      </c>
      <c r="X69" s="1">
        <v>0</v>
      </c>
    </row>
    <row r="70" spans="1:24">
      <c r="A70" s="1">
        <v>69</v>
      </c>
      <c r="B70" s="1" t="s">
        <v>33</v>
      </c>
      <c r="C70" s="1" t="s">
        <v>34</v>
      </c>
      <c r="D70" s="1" t="s">
        <v>26</v>
      </c>
      <c r="E70" s="1" t="s">
        <v>36</v>
      </c>
      <c r="F70" s="1" t="s">
        <v>45</v>
      </c>
      <c r="G70" s="1">
        <v>1</v>
      </c>
      <c r="H70" s="1" t="s">
        <v>37</v>
      </c>
      <c r="I70" s="1" t="s">
        <v>38</v>
      </c>
      <c r="J70" s="1" t="s">
        <v>39</v>
      </c>
      <c r="K70" s="1" t="s">
        <v>33</v>
      </c>
      <c r="L70" s="1">
        <v>35</v>
      </c>
      <c r="M70" s="1">
        <v>1</v>
      </c>
      <c r="N70" s="1" t="s">
        <v>47</v>
      </c>
      <c r="O70" s="1">
        <v>2</v>
      </c>
      <c r="P70" s="1">
        <v>1</v>
      </c>
      <c r="Q70" s="1">
        <v>1</v>
      </c>
      <c r="R70" s="1">
        <v>2194</v>
      </c>
      <c r="S70" s="1">
        <v>5</v>
      </c>
      <c r="T70" s="1">
        <v>2</v>
      </c>
      <c r="U70" s="1">
        <v>3</v>
      </c>
      <c r="V70" s="1">
        <v>2</v>
      </c>
      <c r="W70" s="1">
        <v>1</v>
      </c>
      <c r="X70" s="1">
        <v>2</v>
      </c>
    </row>
    <row r="71" spans="1:24">
      <c r="A71" s="1">
        <v>70</v>
      </c>
      <c r="B71" s="1" t="s">
        <v>24</v>
      </c>
      <c r="C71" s="1" t="s">
        <v>25</v>
      </c>
      <c r="D71" s="1" t="s">
        <v>26</v>
      </c>
      <c r="E71" s="1" t="s">
        <v>36</v>
      </c>
      <c r="F71" s="1" t="s">
        <v>45</v>
      </c>
      <c r="G71" s="1">
        <v>1</v>
      </c>
      <c r="H71" s="1" t="s">
        <v>37</v>
      </c>
      <c r="I71" s="1" t="s">
        <v>38</v>
      </c>
      <c r="J71" s="1" t="s">
        <v>39</v>
      </c>
      <c r="K71" s="1" t="s">
        <v>24</v>
      </c>
      <c r="L71" s="1">
        <v>36</v>
      </c>
      <c r="M71" s="1">
        <v>9</v>
      </c>
      <c r="N71" s="1" t="s">
        <v>47</v>
      </c>
      <c r="O71" s="1">
        <v>4</v>
      </c>
      <c r="P71" s="1">
        <v>1</v>
      </c>
      <c r="Q71" s="1">
        <v>3</v>
      </c>
      <c r="R71" s="1">
        <v>3388</v>
      </c>
      <c r="S71" s="1">
        <v>2</v>
      </c>
      <c r="T71" s="1">
        <v>2</v>
      </c>
      <c r="U71" s="1">
        <v>1</v>
      </c>
      <c r="V71" s="1">
        <v>0</v>
      </c>
      <c r="W71" s="1">
        <v>0</v>
      </c>
      <c r="X71" s="1">
        <v>0</v>
      </c>
    </row>
    <row r="72" spans="1:24">
      <c r="A72" s="1">
        <v>71</v>
      </c>
      <c r="B72" s="1" t="s">
        <v>33</v>
      </c>
      <c r="C72" s="1" t="s">
        <v>34</v>
      </c>
      <c r="D72" s="1" t="s">
        <v>46</v>
      </c>
      <c r="E72" s="1" t="s">
        <v>27</v>
      </c>
      <c r="F72" s="1" t="s">
        <v>28</v>
      </c>
      <c r="G72" s="1">
        <v>1</v>
      </c>
      <c r="H72" s="1" t="s">
        <v>29</v>
      </c>
      <c r="I72" s="1" t="s">
        <v>30</v>
      </c>
      <c r="J72" s="1" t="s">
        <v>31</v>
      </c>
      <c r="K72" s="1" t="s">
        <v>33</v>
      </c>
      <c r="L72" s="1">
        <v>59</v>
      </c>
      <c r="M72" s="1">
        <v>1</v>
      </c>
      <c r="N72" s="1" t="s">
        <v>40</v>
      </c>
      <c r="O72" s="1">
        <v>1</v>
      </c>
      <c r="P72" s="1">
        <v>2</v>
      </c>
      <c r="Q72" s="1">
        <v>3</v>
      </c>
      <c r="R72" s="1">
        <v>5473</v>
      </c>
      <c r="S72" s="1">
        <v>20</v>
      </c>
      <c r="T72" s="1">
        <v>2</v>
      </c>
      <c r="U72" s="1">
        <v>4</v>
      </c>
      <c r="V72" s="1">
        <v>3</v>
      </c>
      <c r="W72" s="1">
        <v>1</v>
      </c>
      <c r="X72" s="1">
        <v>3</v>
      </c>
    </row>
    <row r="73" spans="1:24">
      <c r="A73" s="1">
        <v>72</v>
      </c>
      <c r="B73" s="1" t="s">
        <v>33</v>
      </c>
      <c r="C73" s="1" t="s">
        <v>25</v>
      </c>
      <c r="D73" s="1" t="s">
        <v>43</v>
      </c>
      <c r="E73" s="1" t="s">
        <v>36</v>
      </c>
      <c r="F73" s="1" t="s">
        <v>28</v>
      </c>
      <c r="G73" s="1">
        <v>1</v>
      </c>
      <c r="H73" s="1" t="s">
        <v>37</v>
      </c>
      <c r="I73" s="1" t="s">
        <v>38</v>
      </c>
      <c r="J73" s="1" t="s">
        <v>39</v>
      </c>
      <c r="K73" s="1" t="s">
        <v>33</v>
      </c>
      <c r="L73" s="1">
        <v>29</v>
      </c>
      <c r="M73" s="1">
        <v>2</v>
      </c>
      <c r="N73" s="1" t="s">
        <v>47</v>
      </c>
      <c r="O73" s="1">
        <v>3</v>
      </c>
      <c r="P73" s="1">
        <v>1</v>
      </c>
      <c r="Q73" s="1">
        <v>2</v>
      </c>
      <c r="R73" s="1">
        <v>2703</v>
      </c>
      <c r="S73" s="1">
        <v>6</v>
      </c>
      <c r="T73" s="1">
        <v>3</v>
      </c>
      <c r="U73" s="1">
        <v>5</v>
      </c>
      <c r="V73" s="1">
        <v>4</v>
      </c>
      <c r="W73" s="1">
        <v>0</v>
      </c>
      <c r="X73" s="1">
        <v>4</v>
      </c>
    </row>
    <row r="74" spans="1:24">
      <c r="A74" s="1">
        <v>73</v>
      </c>
      <c r="B74" s="1" t="s">
        <v>33</v>
      </c>
      <c r="C74" s="1" t="s">
        <v>25</v>
      </c>
      <c r="D74" s="1" t="s">
        <v>43</v>
      </c>
      <c r="E74" s="1" t="s">
        <v>36</v>
      </c>
      <c r="F74" s="1" t="s">
        <v>45</v>
      </c>
      <c r="G74" s="1">
        <v>1</v>
      </c>
      <c r="H74" s="1" t="s">
        <v>37</v>
      </c>
      <c r="I74" s="1" t="s">
        <v>38</v>
      </c>
      <c r="J74" s="1" t="s">
        <v>31</v>
      </c>
      <c r="K74" s="1" t="s">
        <v>33</v>
      </c>
      <c r="L74" s="1">
        <v>31</v>
      </c>
      <c r="M74" s="1">
        <v>1</v>
      </c>
      <c r="N74" s="1" t="s">
        <v>44</v>
      </c>
      <c r="O74" s="1">
        <v>3</v>
      </c>
      <c r="P74" s="1">
        <v>1</v>
      </c>
      <c r="Q74" s="1">
        <v>2</v>
      </c>
      <c r="R74" s="1">
        <v>2501</v>
      </c>
      <c r="S74" s="1">
        <v>1</v>
      </c>
      <c r="T74" s="1">
        <v>3</v>
      </c>
      <c r="U74" s="1">
        <v>1</v>
      </c>
      <c r="V74" s="1">
        <v>1</v>
      </c>
      <c r="W74" s="1">
        <v>1</v>
      </c>
      <c r="X74" s="1">
        <v>0</v>
      </c>
    </row>
    <row r="75" spans="1:24">
      <c r="A75" s="1">
        <v>74</v>
      </c>
      <c r="B75" s="1" t="s">
        <v>33</v>
      </c>
      <c r="C75" s="1" t="s">
        <v>25</v>
      </c>
      <c r="D75" s="1" t="s">
        <v>43</v>
      </c>
      <c r="E75" s="1" t="s">
        <v>36</v>
      </c>
      <c r="F75" s="1" t="s">
        <v>28</v>
      </c>
      <c r="G75" s="1">
        <v>1</v>
      </c>
      <c r="H75" s="1" t="s">
        <v>37</v>
      </c>
      <c r="I75" s="1" t="s">
        <v>38</v>
      </c>
      <c r="J75" s="1" t="s">
        <v>39</v>
      </c>
      <c r="K75" s="1" t="s">
        <v>33</v>
      </c>
      <c r="L75" s="1">
        <v>32</v>
      </c>
      <c r="M75" s="1">
        <v>1</v>
      </c>
      <c r="N75" s="1" t="s">
        <v>47</v>
      </c>
      <c r="O75" s="1">
        <v>2</v>
      </c>
      <c r="P75" s="1">
        <v>2</v>
      </c>
      <c r="Q75" s="1">
        <v>2</v>
      </c>
      <c r="R75" s="1">
        <v>6220</v>
      </c>
      <c r="S75" s="1">
        <v>10</v>
      </c>
      <c r="T75" s="1">
        <v>3</v>
      </c>
      <c r="U75" s="1">
        <v>10</v>
      </c>
      <c r="V75" s="1">
        <v>4</v>
      </c>
      <c r="W75" s="1">
        <v>0</v>
      </c>
      <c r="X75" s="1">
        <v>9</v>
      </c>
    </row>
    <row r="76" spans="1:24">
      <c r="A76" s="1">
        <v>75</v>
      </c>
      <c r="B76" s="1" t="s">
        <v>33</v>
      </c>
      <c r="C76" s="1" t="s">
        <v>25</v>
      </c>
      <c r="D76" s="1" t="s">
        <v>26</v>
      </c>
      <c r="E76" s="1" t="s">
        <v>36</v>
      </c>
      <c r="F76" s="1" t="s">
        <v>28</v>
      </c>
      <c r="G76" s="1">
        <v>1</v>
      </c>
      <c r="H76" s="1" t="s">
        <v>29</v>
      </c>
      <c r="I76" s="1" t="s">
        <v>42</v>
      </c>
      <c r="J76" s="1" t="s">
        <v>39</v>
      </c>
      <c r="K76" s="1" t="s">
        <v>33</v>
      </c>
      <c r="L76" s="1">
        <v>36</v>
      </c>
      <c r="M76" s="1">
        <v>6</v>
      </c>
      <c r="N76" s="1" t="s">
        <v>47</v>
      </c>
      <c r="O76" s="1">
        <v>2</v>
      </c>
      <c r="P76" s="1">
        <v>1</v>
      </c>
      <c r="Q76" s="1">
        <v>4</v>
      </c>
      <c r="R76" s="1">
        <v>3038</v>
      </c>
      <c r="S76" s="1">
        <v>5</v>
      </c>
      <c r="T76" s="1">
        <v>3</v>
      </c>
      <c r="U76" s="1">
        <v>1</v>
      </c>
      <c r="V76" s="1">
        <v>0</v>
      </c>
      <c r="W76" s="1">
        <v>0</v>
      </c>
      <c r="X76" s="1">
        <v>0</v>
      </c>
    </row>
    <row r="77" spans="1:24">
      <c r="A77" s="1">
        <v>76</v>
      </c>
      <c r="B77" s="1" t="s">
        <v>33</v>
      </c>
      <c r="C77" s="1" t="s">
        <v>25</v>
      </c>
      <c r="D77" s="1" t="s">
        <v>43</v>
      </c>
      <c r="E77" s="1" t="s">
        <v>36</v>
      </c>
      <c r="F77" s="1" t="s">
        <v>28</v>
      </c>
      <c r="G77" s="1">
        <v>1</v>
      </c>
      <c r="H77" s="1" t="s">
        <v>29</v>
      </c>
      <c r="I77" s="1" t="s">
        <v>49</v>
      </c>
      <c r="J77" s="1" t="s">
        <v>31</v>
      </c>
      <c r="K77" s="1" t="s">
        <v>33</v>
      </c>
      <c r="L77" s="1">
        <v>31</v>
      </c>
      <c r="M77" s="1">
        <v>8</v>
      </c>
      <c r="N77" s="1" t="s">
        <v>44</v>
      </c>
      <c r="O77" s="1">
        <v>3</v>
      </c>
      <c r="P77" s="1">
        <v>2</v>
      </c>
      <c r="Q77" s="1">
        <v>4</v>
      </c>
      <c r="R77" s="1">
        <v>4424</v>
      </c>
      <c r="S77" s="1">
        <v>11</v>
      </c>
      <c r="T77" s="1">
        <v>3</v>
      </c>
      <c r="U77" s="1">
        <v>11</v>
      </c>
      <c r="V77" s="1">
        <v>7</v>
      </c>
      <c r="W77" s="1">
        <v>1</v>
      </c>
      <c r="X77" s="1">
        <v>8</v>
      </c>
    </row>
    <row r="78" spans="1:24">
      <c r="A78" s="1">
        <v>77</v>
      </c>
      <c r="B78" s="1" t="s">
        <v>33</v>
      </c>
      <c r="C78" s="1" t="s">
        <v>25</v>
      </c>
      <c r="D78" s="1" t="s">
        <v>26</v>
      </c>
      <c r="E78" s="1" t="s">
        <v>27</v>
      </c>
      <c r="F78" s="1" t="s">
        <v>56</v>
      </c>
      <c r="G78" s="1">
        <v>1</v>
      </c>
      <c r="H78" s="1" t="s">
        <v>37</v>
      </c>
      <c r="I78" s="1" t="s">
        <v>30</v>
      </c>
      <c r="J78" s="1" t="s">
        <v>31</v>
      </c>
      <c r="K78" s="1" t="s">
        <v>33</v>
      </c>
      <c r="L78" s="1">
        <v>35</v>
      </c>
      <c r="M78" s="1">
        <v>1</v>
      </c>
      <c r="N78" s="1" t="s">
        <v>44</v>
      </c>
      <c r="O78" s="1">
        <v>3</v>
      </c>
      <c r="P78" s="1">
        <v>2</v>
      </c>
      <c r="Q78" s="1">
        <v>1</v>
      </c>
      <c r="R78" s="1">
        <v>4312</v>
      </c>
      <c r="S78" s="1">
        <v>16</v>
      </c>
      <c r="T78" s="1">
        <v>3</v>
      </c>
      <c r="U78" s="1">
        <v>15</v>
      </c>
      <c r="V78" s="1">
        <v>13</v>
      </c>
      <c r="W78" s="1">
        <v>2</v>
      </c>
      <c r="X78" s="1">
        <v>8</v>
      </c>
    </row>
    <row r="79" spans="1:24">
      <c r="A79" s="1">
        <v>78</v>
      </c>
      <c r="B79" s="1" t="s">
        <v>33</v>
      </c>
      <c r="C79" s="1" t="s">
        <v>25</v>
      </c>
      <c r="D79" s="1" t="s">
        <v>35</v>
      </c>
      <c r="E79" s="1" t="s">
        <v>36</v>
      </c>
      <c r="F79" s="1" t="s">
        <v>41</v>
      </c>
      <c r="G79" s="1">
        <v>1</v>
      </c>
      <c r="H79" s="1" t="s">
        <v>37</v>
      </c>
      <c r="I79" s="1" t="s">
        <v>55</v>
      </c>
      <c r="J79" s="1" t="s">
        <v>39</v>
      </c>
      <c r="K79" s="1" t="s">
        <v>24</v>
      </c>
      <c r="L79" s="1">
        <v>45</v>
      </c>
      <c r="M79" s="1">
        <v>6</v>
      </c>
      <c r="N79" s="1" t="s">
        <v>44</v>
      </c>
      <c r="O79" s="1">
        <v>4</v>
      </c>
      <c r="P79" s="1">
        <v>3</v>
      </c>
      <c r="Q79" s="1">
        <v>1</v>
      </c>
      <c r="R79" s="1">
        <v>13245</v>
      </c>
      <c r="S79" s="1">
        <v>17</v>
      </c>
      <c r="T79" s="1">
        <v>4</v>
      </c>
      <c r="U79" s="1">
        <v>0</v>
      </c>
      <c r="V79" s="1">
        <v>0</v>
      </c>
      <c r="W79" s="1">
        <v>0</v>
      </c>
      <c r="X79" s="1">
        <v>0</v>
      </c>
    </row>
    <row r="80" spans="1:24">
      <c r="A80" s="1">
        <v>79</v>
      </c>
      <c r="B80" s="1" t="s">
        <v>33</v>
      </c>
      <c r="C80" s="1" t="s">
        <v>25</v>
      </c>
      <c r="D80" s="1" t="s">
        <v>26</v>
      </c>
      <c r="E80" s="1" t="s">
        <v>36</v>
      </c>
      <c r="F80" s="1" t="s">
        <v>45</v>
      </c>
      <c r="G80" s="1">
        <v>1</v>
      </c>
      <c r="H80" s="1" t="s">
        <v>37</v>
      </c>
      <c r="I80" s="1" t="s">
        <v>55</v>
      </c>
      <c r="J80" s="1" t="s">
        <v>31</v>
      </c>
      <c r="K80" s="1" t="s">
        <v>33</v>
      </c>
      <c r="L80" s="1">
        <v>37</v>
      </c>
      <c r="M80" s="1">
        <v>7</v>
      </c>
      <c r="N80" s="1" t="s">
        <v>44</v>
      </c>
      <c r="O80" s="1">
        <v>1</v>
      </c>
      <c r="P80" s="1">
        <v>3</v>
      </c>
      <c r="Q80" s="1">
        <v>3</v>
      </c>
      <c r="R80" s="1">
        <v>13664</v>
      </c>
      <c r="S80" s="1">
        <v>16</v>
      </c>
      <c r="T80" s="1">
        <v>4</v>
      </c>
      <c r="U80" s="1">
        <v>5</v>
      </c>
      <c r="V80" s="1">
        <v>2</v>
      </c>
      <c r="W80" s="1">
        <v>0</v>
      </c>
      <c r="X80" s="1">
        <v>2</v>
      </c>
    </row>
    <row r="81" spans="1:24">
      <c r="A81" s="1">
        <v>80</v>
      </c>
      <c r="B81" s="1" t="s">
        <v>33</v>
      </c>
      <c r="C81" s="1" t="s">
        <v>25</v>
      </c>
      <c r="D81" s="1" t="s">
        <v>35</v>
      </c>
      <c r="E81" s="1" t="s">
        <v>59</v>
      </c>
      <c r="F81" s="1" t="s">
        <v>45</v>
      </c>
      <c r="G81" s="1">
        <v>1</v>
      </c>
      <c r="H81" s="1" t="s">
        <v>37</v>
      </c>
      <c r="I81" s="1" t="s">
        <v>60</v>
      </c>
      <c r="J81" s="1" t="s">
        <v>48</v>
      </c>
      <c r="K81" s="1" t="s">
        <v>24</v>
      </c>
      <c r="L81" s="1">
        <v>46</v>
      </c>
      <c r="M81" s="1">
        <v>5</v>
      </c>
      <c r="N81" s="1" t="s">
        <v>32</v>
      </c>
      <c r="O81" s="1">
        <v>2</v>
      </c>
      <c r="P81" s="1">
        <v>2</v>
      </c>
      <c r="Q81" s="1">
        <v>2</v>
      </c>
      <c r="R81" s="1">
        <v>5021</v>
      </c>
      <c r="S81" s="1">
        <v>16</v>
      </c>
      <c r="T81" s="1">
        <v>3</v>
      </c>
      <c r="U81" s="1">
        <v>4</v>
      </c>
      <c r="V81" s="1">
        <v>2</v>
      </c>
      <c r="W81" s="1">
        <v>0</v>
      </c>
      <c r="X81" s="1">
        <v>2</v>
      </c>
    </row>
    <row r="82" spans="1:24">
      <c r="A82" s="1">
        <v>81</v>
      </c>
      <c r="B82" s="1" t="s">
        <v>33</v>
      </c>
      <c r="C82" s="1" t="s">
        <v>25</v>
      </c>
      <c r="D82" s="1" t="s">
        <v>43</v>
      </c>
      <c r="E82" s="1" t="s">
        <v>36</v>
      </c>
      <c r="F82" s="1" t="s">
        <v>28</v>
      </c>
      <c r="G82" s="1">
        <v>1</v>
      </c>
      <c r="H82" s="1" t="s">
        <v>37</v>
      </c>
      <c r="I82" s="1" t="s">
        <v>42</v>
      </c>
      <c r="J82" s="1" t="s">
        <v>39</v>
      </c>
      <c r="K82" s="1" t="s">
        <v>24</v>
      </c>
      <c r="L82" s="1">
        <v>30</v>
      </c>
      <c r="M82" s="1">
        <v>1</v>
      </c>
      <c r="N82" s="1" t="s">
        <v>40</v>
      </c>
      <c r="O82" s="1">
        <v>4</v>
      </c>
      <c r="P82" s="1">
        <v>2</v>
      </c>
      <c r="Q82" s="1">
        <v>4</v>
      </c>
      <c r="R82" s="1">
        <v>5126</v>
      </c>
      <c r="S82" s="1">
        <v>10</v>
      </c>
      <c r="T82" s="1">
        <v>2</v>
      </c>
      <c r="U82" s="1">
        <v>10</v>
      </c>
      <c r="V82" s="1">
        <v>8</v>
      </c>
      <c r="W82" s="1">
        <v>3</v>
      </c>
      <c r="X82" s="1">
        <v>0</v>
      </c>
    </row>
    <row r="83" spans="1:24">
      <c r="A83" s="1">
        <v>82</v>
      </c>
      <c r="B83" s="1" t="s">
        <v>33</v>
      </c>
      <c r="C83" s="1" t="s">
        <v>25</v>
      </c>
      <c r="D83" s="1" t="s">
        <v>26</v>
      </c>
      <c r="E83" s="1" t="s">
        <v>36</v>
      </c>
      <c r="F83" s="1" t="s">
        <v>45</v>
      </c>
      <c r="G83" s="1">
        <v>1</v>
      </c>
      <c r="H83" s="1" t="s">
        <v>37</v>
      </c>
      <c r="I83" s="1" t="s">
        <v>38</v>
      </c>
      <c r="J83" s="1" t="s">
        <v>31</v>
      </c>
      <c r="K83" s="1" t="s">
        <v>33</v>
      </c>
      <c r="L83" s="1">
        <v>35</v>
      </c>
      <c r="M83" s="1">
        <v>1</v>
      </c>
      <c r="N83" s="1" t="s">
        <v>47</v>
      </c>
      <c r="O83" s="1">
        <v>2</v>
      </c>
      <c r="P83" s="1">
        <v>1</v>
      </c>
      <c r="Q83" s="1">
        <v>3</v>
      </c>
      <c r="R83" s="1">
        <v>2859</v>
      </c>
      <c r="S83" s="1">
        <v>6</v>
      </c>
      <c r="T83" s="1">
        <v>3</v>
      </c>
      <c r="U83" s="1">
        <v>6</v>
      </c>
      <c r="V83" s="1">
        <v>4</v>
      </c>
      <c r="W83" s="1">
        <v>0</v>
      </c>
      <c r="X83" s="1">
        <v>4</v>
      </c>
    </row>
    <row r="84" spans="1:24">
      <c r="A84" s="1">
        <v>83</v>
      </c>
      <c r="B84" s="1" t="s">
        <v>33</v>
      </c>
      <c r="C84" s="1" t="s">
        <v>25</v>
      </c>
      <c r="D84" s="1" t="s">
        <v>46</v>
      </c>
      <c r="E84" s="1" t="s">
        <v>27</v>
      </c>
      <c r="F84" s="1" t="s">
        <v>28</v>
      </c>
      <c r="G84" s="1">
        <v>1</v>
      </c>
      <c r="H84" s="1" t="s">
        <v>37</v>
      </c>
      <c r="I84" s="1" t="s">
        <v>30</v>
      </c>
      <c r="J84" s="1" t="s">
        <v>39</v>
      </c>
      <c r="K84" s="1" t="s">
        <v>33</v>
      </c>
      <c r="L84" s="1">
        <v>55</v>
      </c>
      <c r="M84" s="1">
        <v>1</v>
      </c>
      <c r="N84" s="1" t="s">
        <v>32</v>
      </c>
      <c r="O84" s="1">
        <v>1</v>
      </c>
      <c r="P84" s="1">
        <v>3</v>
      </c>
      <c r="Q84" s="1">
        <v>4</v>
      </c>
      <c r="R84" s="1">
        <v>10239</v>
      </c>
      <c r="S84" s="1">
        <v>24</v>
      </c>
      <c r="T84" s="1">
        <v>3</v>
      </c>
      <c r="U84" s="1">
        <v>1</v>
      </c>
      <c r="V84" s="1">
        <v>0</v>
      </c>
      <c r="W84" s="1">
        <v>1</v>
      </c>
      <c r="X84" s="1">
        <v>0</v>
      </c>
    </row>
    <row r="85" spans="1:24">
      <c r="A85" s="1">
        <v>84</v>
      </c>
      <c r="B85" s="1" t="s">
        <v>33</v>
      </c>
      <c r="C85" s="1" t="s">
        <v>51</v>
      </c>
      <c r="D85" s="1" t="s">
        <v>26</v>
      </c>
      <c r="E85" s="1" t="s">
        <v>36</v>
      </c>
      <c r="F85" s="1" t="s">
        <v>45</v>
      </c>
      <c r="G85" s="1">
        <v>1</v>
      </c>
      <c r="H85" s="1" t="s">
        <v>29</v>
      </c>
      <c r="I85" s="1" t="s">
        <v>38</v>
      </c>
      <c r="J85" s="1" t="s">
        <v>48</v>
      </c>
      <c r="K85" s="1" t="s">
        <v>24</v>
      </c>
      <c r="L85" s="1">
        <v>38</v>
      </c>
      <c r="M85" s="1">
        <v>6</v>
      </c>
      <c r="N85" s="1" t="s">
        <v>47</v>
      </c>
      <c r="O85" s="1">
        <v>2</v>
      </c>
      <c r="P85" s="1">
        <v>2</v>
      </c>
      <c r="Q85" s="1">
        <v>4</v>
      </c>
      <c r="R85" s="1">
        <v>5329</v>
      </c>
      <c r="S85" s="1">
        <v>17</v>
      </c>
      <c r="T85" s="1">
        <v>3</v>
      </c>
      <c r="U85" s="1">
        <v>13</v>
      </c>
      <c r="V85" s="1">
        <v>11</v>
      </c>
      <c r="W85" s="1">
        <v>1</v>
      </c>
      <c r="X85" s="1">
        <v>9</v>
      </c>
    </row>
    <row r="86" spans="1:24">
      <c r="A86" s="1">
        <v>85</v>
      </c>
      <c r="B86" s="1" t="s">
        <v>33</v>
      </c>
      <c r="C86" s="1" t="s">
        <v>25</v>
      </c>
      <c r="D86" s="1" t="s">
        <v>43</v>
      </c>
      <c r="E86" s="1" t="s">
        <v>36</v>
      </c>
      <c r="F86" s="1" t="s">
        <v>45</v>
      </c>
      <c r="G86" s="1">
        <v>1</v>
      </c>
      <c r="H86" s="1" t="s">
        <v>37</v>
      </c>
      <c r="I86" s="1" t="s">
        <v>49</v>
      </c>
      <c r="J86" s="1" t="s">
        <v>39</v>
      </c>
      <c r="K86" s="1" t="s">
        <v>33</v>
      </c>
      <c r="L86" s="1">
        <v>34</v>
      </c>
      <c r="M86" s="1">
        <v>1</v>
      </c>
      <c r="N86" s="1" t="s">
        <v>32</v>
      </c>
      <c r="O86" s="1">
        <v>1</v>
      </c>
      <c r="P86" s="1">
        <v>2</v>
      </c>
      <c r="Q86" s="1">
        <v>2</v>
      </c>
      <c r="R86" s="1">
        <v>4325</v>
      </c>
      <c r="S86" s="1">
        <v>5</v>
      </c>
      <c r="T86" s="1">
        <v>3</v>
      </c>
      <c r="U86" s="1">
        <v>5</v>
      </c>
      <c r="V86" s="1">
        <v>2</v>
      </c>
      <c r="W86" s="1">
        <v>1</v>
      </c>
      <c r="X86" s="1">
        <v>3</v>
      </c>
    </row>
    <row r="87" spans="1:24">
      <c r="A87" s="1">
        <v>86</v>
      </c>
      <c r="B87" s="1" t="s">
        <v>33</v>
      </c>
      <c r="C87" s="1" t="s">
        <v>25</v>
      </c>
      <c r="D87" s="1" t="s">
        <v>46</v>
      </c>
      <c r="E87" s="1" t="s">
        <v>36</v>
      </c>
      <c r="F87" s="1" t="s">
        <v>28</v>
      </c>
      <c r="G87" s="1">
        <v>1</v>
      </c>
      <c r="H87" s="1" t="s">
        <v>37</v>
      </c>
      <c r="I87" s="1" t="s">
        <v>49</v>
      </c>
      <c r="J87" s="1" t="s">
        <v>31</v>
      </c>
      <c r="K87" s="1" t="s">
        <v>33</v>
      </c>
      <c r="L87" s="1">
        <v>56</v>
      </c>
      <c r="M87" s="1">
        <v>7</v>
      </c>
      <c r="N87" s="1" t="s">
        <v>47</v>
      </c>
      <c r="O87" s="1">
        <v>4</v>
      </c>
      <c r="P87" s="1">
        <v>3</v>
      </c>
      <c r="Q87" s="1">
        <v>4</v>
      </c>
      <c r="R87" s="1">
        <v>7260</v>
      </c>
      <c r="S87" s="1">
        <v>37</v>
      </c>
      <c r="T87" s="1">
        <v>2</v>
      </c>
      <c r="U87" s="1">
        <v>6</v>
      </c>
      <c r="V87" s="1">
        <v>4</v>
      </c>
      <c r="W87" s="1">
        <v>0</v>
      </c>
      <c r="X87" s="1">
        <v>2</v>
      </c>
    </row>
    <row r="88" spans="1:24">
      <c r="A88" s="1">
        <v>87</v>
      </c>
      <c r="B88" s="1" t="s">
        <v>33</v>
      </c>
      <c r="C88" s="1" t="s">
        <v>25</v>
      </c>
      <c r="D88" s="1" t="s">
        <v>52</v>
      </c>
      <c r="E88" s="1" t="s">
        <v>27</v>
      </c>
      <c r="F88" s="1" t="s">
        <v>57</v>
      </c>
      <c r="G88" s="1">
        <v>1</v>
      </c>
      <c r="H88" s="1" t="s">
        <v>37</v>
      </c>
      <c r="I88" s="1" t="s">
        <v>54</v>
      </c>
      <c r="J88" s="1" t="s">
        <v>48</v>
      </c>
      <c r="K88" s="1" t="s">
        <v>33</v>
      </c>
      <c r="L88" s="1">
        <v>23</v>
      </c>
      <c r="M88" s="1">
        <v>2</v>
      </c>
      <c r="N88" s="1" t="s">
        <v>40</v>
      </c>
      <c r="O88" s="1">
        <v>3</v>
      </c>
      <c r="P88" s="1">
        <v>1</v>
      </c>
      <c r="Q88" s="1">
        <v>1</v>
      </c>
      <c r="R88" s="1">
        <v>2322</v>
      </c>
      <c r="S88" s="1">
        <v>3</v>
      </c>
      <c r="T88" s="1">
        <v>3</v>
      </c>
      <c r="U88" s="1">
        <v>0</v>
      </c>
      <c r="V88" s="1">
        <v>0</v>
      </c>
      <c r="W88" s="1">
        <v>0</v>
      </c>
      <c r="X88" s="1">
        <v>0</v>
      </c>
    </row>
    <row r="89" spans="1:24">
      <c r="A89" s="1">
        <v>88</v>
      </c>
      <c r="B89" s="1" t="s">
        <v>33</v>
      </c>
      <c r="C89" s="1" t="s">
        <v>25</v>
      </c>
      <c r="D89" s="1" t="s">
        <v>35</v>
      </c>
      <c r="E89" s="1" t="s">
        <v>36</v>
      </c>
      <c r="F89" s="1" t="s">
        <v>28</v>
      </c>
      <c r="G89" s="1">
        <v>1</v>
      </c>
      <c r="H89" s="1" t="s">
        <v>37</v>
      </c>
      <c r="I89" s="1" t="s">
        <v>42</v>
      </c>
      <c r="J89" s="1" t="s">
        <v>39</v>
      </c>
      <c r="K89" s="1" t="s">
        <v>33</v>
      </c>
      <c r="L89" s="1">
        <v>51</v>
      </c>
      <c r="M89" s="1">
        <v>9</v>
      </c>
      <c r="N89" s="1" t="s">
        <v>44</v>
      </c>
      <c r="O89" s="1">
        <v>4</v>
      </c>
      <c r="P89" s="1">
        <v>1</v>
      </c>
      <c r="Q89" s="1">
        <v>4</v>
      </c>
      <c r="R89" s="1">
        <v>2075</v>
      </c>
      <c r="S89" s="1">
        <v>10</v>
      </c>
      <c r="T89" s="1">
        <v>3</v>
      </c>
      <c r="U89" s="1">
        <v>4</v>
      </c>
      <c r="V89" s="1">
        <v>2</v>
      </c>
      <c r="W89" s="1">
        <v>0</v>
      </c>
      <c r="X89" s="1">
        <v>3</v>
      </c>
    </row>
    <row r="90" spans="1:24">
      <c r="A90" s="1">
        <v>89</v>
      </c>
      <c r="B90" s="1" t="s">
        <v>33</v>
      </c>
      <c r="C90" s="1" t="s">
        <v>25</v>
      </c>
      <c r="D90" s="1" t="s">
        <v>43</v>
      </c>
      <c r="E90" s="1" t="s">
        <v>36</v>
      </c>
      <c r="F90" s="1" t="s">
        <v>28</v>
      </c>
      <c r="G90" s="1">
        <v>1</v>
      </c>
      <c r="H90" s="1" t="s">
        <v>37</v>
      </c>
      <c r="I90" s="1" t="s">
        <v>50</v>
      </c>
      <c r="J90" s="1" t="s">
        <v>39</v>
      </c>
      <c r="K90" s="1" t="s">
        <v>33</v>
      </c>
      <c r="L90" s="1">
        <v>30</v>
      </c>
      <c r="M90" s="1">
        <v>2</v>
      </c>
      <c r="N90" s="1" t="s">
        <v>47</v>
      </c>
      <c r="O90" s="1">
        <v>3</v>
      </c>
      <c r="P90" s="1">
        <v>2</v>
      </c>
      <c r="Q90" s="1">
        <v>4</v>
      </c>
      <c r="R90" s="1">
        <v>4152</v>
      </c>
      <c r="S90" s="1">
        <v>11</v>
      </c>
      <c r="T90" s="1">
        <v>3</v>
      </c>
      <c r="U90" s="1">
        <v>11</v>
      </c>
      <c r="V90" s="1">
        <v>10</v>
      </c>
      <c r="W90" s="1">
        <v>10</v>
      </c>
      <c r="X90" s="1">
        <v>8</v>
      </c>
    </row>
    <row r="91" spans="1:24">
      <c r="A91" s="1">
        <v>90</v>
      </c>
      <c r="B91" s="1" t="s">
        <v>24</v>
      </c>
      <c r="C91" s="1" t="s">
        <v>25</v>
      </c>
      <c r="D91" s="1" t="s">
        <v>35</v>
      </c>
      <c r="E91" s="1" t="s">
        <v>27</v>
      </c>
      <c r="F91" s="1" t="s">
        <v>45</v>
      </c>
      <c r="G91" s="1">
        <v>1</v>
      </c>
      <c r="H91" s="1" t="s">
        <v>37</v>
      </c>
      <c r="I91" s="1" t="s">
        <v>30</v>
      </c>
      <c r="J91" s="1" t="s">
        <v>31</v>
      </c>
      <c r="K91" s="1" t="s">
        <v>33</v>
      </c>
      <c r="L91" s="1">
        <v>46</v>
      </c>
      <c r="M91" s="1">
        <v>9</v>
      </c>
      <c r="N91" s="1" t="s">
        <v>32</v>
      </c>
      <c r="O91" s="1">
        <v>3</v>
      </c>
      <c r="P91" s="1">
        <v>3</v>
      </c>
      <c r="Q91" s="1">
        <v>4</v>
      </c>
      <c r="R91" s="1">
        <v>9619</v>
      </c>
      <c r="S91" s="1">
        <v>9</v>
      </c>
      <c r="T91" s="1">
        <v>3</v>
      </c>
      <c r="U91" s="1">
        <v>9</v>
      </c>
      <c r="V91" s="1">
        <v>8</v>
      </c>
      <c r="W91" s="1">
        <v>4</v>
      </c>
      <c r="X91" s="1">
        <v>7</v>
      </c>
    </row>
    <row r="92" spans="1:24">
      <c r="A92" s="1">
        <v>91</v>
      </c>
      <c r="B92" s="1" t="s">
        <v>33</v>
      </c>
      <c r="C92" s="1" t="s">
        <v>34</v>
      </c>
      <c r="D92" s="1" t="s">
        <v>26</v>
      </c>
      <c r="E92" s="1" t="s">
        <v>36</v>
      </c>
      <c r="F92" s="1" t="s">
        <v>28</v>
      </c>
      <c r="G92" s="1">
        <v>1</v>
      </c>
      <c r="H92" s="1" t="s">
        <v>37</v>
      </c>
      <c r="I92" s="1" t="s">
        <v>50</v>
      </c>
      <c r="J92" s="1" t="s">
        <v>39</v>
      </c>
      <c r="K92" s="1" t="s">
        <v>33</v>
      </c>
      <c r="L92" s="1">
        <v>40</v>
      </c>
      <c r="M92" s="1">
        <v>1</v>
      </c>
      <c r="N92" s="1" t="s">
        <v>44</v>
      </c>
      <c r="O92" s="1">
        <v>3</v>
      </c>
      <c r="P92" s="1">
        <v>4</v>
      </c>
      <c r="Q92" s="1">
        <v>2</v>
      </c>
      <c r="R92" s="1">
        <v>13503</v>
      </c>
      <c r="S92" s="1">
        <v>22</v>
      </c>
      <c r="T92" s="1">
        <v>2</v>
      </c>
      <c r="U92" s="1">
        <v>22</v>
      </c>
      <c r="V92" s="1">
        <v>3</v>
      </c>
      <c r="W92" s="1">
        <v>11</v>
      </c>
      <c r="X92" s="1">
        <v>11</v>
      </c>
    </row>
    <row r="93" spans="1:24">
      <c r="A93" s="1">
        <v>92</v>
      </c>
      <c r="B93" s="1" t="s">
        <v>33</v>
      </c>
      <c r="C93" s="1" t="s">
        <v>25</v>
      </c>
      <c r="D93" s="1" t="s">
        <v>35</v>
      </c>
      <c r="E93" s="1" t="s">
        <v>27</v>
      </c>
      <c r="F93" s="1" t="s">
        <v>56</v>
      </c>
      <c r="G93" s="1">
        <v>1</v>
      </c>
      <c r="H93" s="1" t="s">
        <v>37</v>
      </c>
      <c r="I93" s="1" t="s">
        <v>30</v>
      </c>
      <c r="J93" s="1" t="s">
        <v>31</v>
      </c>
      <c r="K93" s="1" t="s">
        <v>24</v>
      </c>
      <c r="L93" s="1">
        <v>51</v>
      </c>
      <c r="M93" s="1">
        <v>21</v>
      </c>
      <c r="N93" s="1" t="s">
        <v>44</v>
      </c>
      <c r="O93" s="1">
        <v>3</v>
      </c>
      <c r="P93" s="1">
        <v>2</v>
      </c>
      <c r="Q93" s="1">
        <v>4</v>
      </c>
      <c r="R93" s="1">
        <v>5441</v>
      </c>
      <c r="S93" s="1">
        <v>11</v>
      </c>
      <c r="T93" s="1">
        <v>1</v>
      </c>
      <c r="U93" s="1">
        <v>10</v>
      </c>
      <c r="V93" s="1">
        <v>7</v>
      </c>
      <c r="W93" s="1">
        <v>1</v>
      </c>
      <c r="X93" s="1">
        <v>0</v>
      </c>
    </row>
    <row r="94" spans="1:24">
      <c r="A94" s="1">
        <v>93</v>
      </c>
      <c r="B94" s="1" t="s">
        <v>33</v>
      </c>
      <c r="C94" s="1" t="s">
        <v>25</v>
      </c>
      <c r="D94" s="1" t="s">
        <v>43</v>
      </c>
      <c r="E94" s="1" t="s">
        <v>27</v>
      </c>
      <c r="F94" s="1" t="s">
        <v>45</v>
      </c>
      <c r="G94" s="1">
        <v>1</v>
      </c>
      <c r="H94" s="1" t="s">
        <v>29</v>
      </c>
      <c r="I94" s="1" t="s">
        <v>30</v>
      </c>
      <c r="J94" s="1" t="s">
        <v>48</v>
      </c>
      <c r="K94" s="1" t="s">
        <v>24</v>
      </c>
      <c r="L94" s="1">
        <v>30</v>
      </c>
      <c r="M94" s="1">
        <v>4</v>
      </c>
      <c r="N94" s="1" t="s">
        <v>32</v>
      </c>
      <c r="O94" s="1">
        <v>3</v>
      </c>
      <c r="P94" s="1">
        <v>2</v>
      </c>
      <c r="Q94" s="1">
        <v>2</v>
      </c>
      <c r="R94" s="1">
        <v>5209</v>
      </c>
      <c r="S94" s="1">
        <v>11</v>
      </c>
      <c r="T94" s="1">
        <v>2</v>
      </c>
      <c r="U94" s="1">
        <v>11</v>
      </c>
      <c r="V94" s="1">
        <v>8</v>
      </c>
      <c r="W94" s="1">
        <v>2</v>
      </c>
      <c r="X94" s="1">
        <v>7</v>
      </c>
    </row>
    <row r="95" spans="1:24">
      <c r="A95" s="1">
        <v>94</v>
      </c>
      <c r="B95" s="1" t="s">
        <v>33</v>
      </c>
      <c r="C95" s="1" t="s">
        <v>34</v>
      </c>
      <c r="D95" s="1" t="s">
        <v>35</v>
      </c>
      <c r="E95" s="1" t="s">
        <v>36</v>
      </c>
      <c r="F95" s="1" t="s">
        <v>45</v>
      </c>
      <c r="G95" s="1">
        <v>1</v>
      </c>
      <c r="H95" s="1" t="s">
        <v>37</v>
      </c>
      <c r="I95" s="1" t="s">
        <v>50</v>
      </c>
      <c r="J95" s="1" t="s">
        <v>39</v>
      </c>
      <c r="K95" s="1" t="s">
        <v>24</v>
      </c>
      <c r="L95" s="1">
        <v>46</v>
      </c>
      <c r="M95" s="1">
        <v>1</v>
      </c>
      <c r="N95" s="1" t="s">
        <v>47</v>
      </c>
      <c r="O95" s="1">
        <v>3</v>
      </c>
      <c r="P95" s="1">
        <v>3</v>
      </c>
      <c r="Q95" s="1">
        <v>1</v>
      </c>
      <c r="R95" s="1">
        <v>10673</v>
      </c>
      <c r="S95" s="1">
        <v>21</v>
      </c>
      <c r="T95" s="1">
        <v>2</v>
      </c>
      <c r="U95" s="1">
        <v>10</v>
      </c>
      <c r="V95" s="1">
        <v>9</v>
      </c>
      <c r="W95" s="1">
        <v>9</v>
      </c>
      <c r="X95" s="1">
        <v>5</v>
      </c>
    </row>
    <row r="96" spans="1:24">
      <c r="A96" s="1">
        <v>95</v>
      </c>
      <c r="B96" s="1" t="s">
        <v>33</v>
      </c>
      <c r="C96" s="1" t="s">
        <v>25</v>
      </c>
      <c r="D96" s="1" t="s">
        <v>43</v>
      </c>
      <c r="E96" s="1" t="s">
        <v>27</v>
      </c>
      <c r="F96" s="1" t="s">
        <v>45</v>
      </c>
      <c r="G96" s="1">
        <v>1</v>
      </c>
      <c r="H96" s="1" t="s">
        <v>37</v>
      </c>
      <c r="I96" s="1" t="s">
        <v>30</v>
      </c>
      <c r="J96" s="1" t="s">
        <v>31</v>
      </c>
      <c r="K96" s="1" t="s">
        <v>33</v>
      </c>
      <c r="L96" s="1">
        <v>32</v>
      </c>
      <c r="M96" s="1">
        <v>6</v>
      </c>
      <c r="N96" s="1" t="s">
        <v>44</v>
      </c>
      <c r="O96" s="1">
        <v>2</v>
      </c>
      <c r="P96" s="1">
        <v>2</v>
      </c>
      <c r="Q96" s="1">
        <v>3</v>
      </c>
      <c r="R96" s="1">
        <v>5010</v>
      </c>
      <c r="S96" s="1">
        <v>12</v>
      </c>
      <c r="T96" s="1">
        <v>3</v>
      </c>
      <c r="U96" s="1">
        <v>11</v>
      </c>
      <c r="V96" s="1">
        <v>8</v>
      </c>
      <c r="W96" s="1">
        <v>5</v>
      </c>
      <c r="X96" s="1">
        <v>7</v>
      </c>
    </row>
    <row r="97" spans="1:24">
      <c r="A97" s="1">
        <v>96</v>
      </c>
      <c r="B97" s="1" t="s">
        <v>33</v>
      </c>
      <c r="C97" s="1" t="s">
        <v>25</v>
      </c>
      <c r="D97" s="1" t="s">
        <v>35</v>
      </c>
      <c r="E97" s="1" t="s">
        <v>36</v>
      </c>
      <c r="F97" s="1" t="s">
        <v>57</v>
      </c>
      <c r="G97" s="1">
        <v>1</v>
      </c>
      <c r="H97" s="1" t="s">
        <v>29</v>
      </c>
      <c r="I97" s="1" t="s">
        <v>55</v>
      </c>
      <c r="J97" s="1" t="s">
        <v>39</v>
      </c>
      <c r="K97" s="1" t="s">
        <v>33</v>
      </c>
      <c r="L97" s="1">
        <v>54</v>
      </c>
      <c r="M97" s="1">
        <v>2</v>
      </c>
      <c r="N97" s="1" t="s">
        <v>44</v>
      </c>
      <c r="O97" s="1">
        <v>1</v>
      </c>
      <c r="P97" s="1">
        <v>3</v>
      </c>
      <c r="Q97" s="1">
        <v>3</v>
      </c>
      <c r="R97" s="1">
        <v>13549</v>
      </c>
      <c r="S97" s="1">
        <v>16</v>
      </c>
      <c r="T97" s="1">
        <v>1</v>
      </c>
      <c r="U97" s="1">
        <v>4</v>
      </c>
      <c r="V97" s="1">
        <v>3</v>
      </c>
      <c r="W97" s="1">
        <v>0</v>
      </c>
      <c r="X97" s="1">
        <v>3</v>
      </c>
    </row>
    <row r="98" spans="1:24">
      <c r="A98" s="1">
        <v>97</v>
      </c>
      <c r="B98" s="1" t="s">
        <v>33</v>
      </c>
      <c r="C98" s="1" t="s">
        <v>25</v>
      </c>
      <c r="D98" s="1" t="s">
        <v>52</v>
      </c>
      <c r="E98" s="1" t="s">
        <v>27</v>
      </c>
      <c r="F98" s="1" t="s">
        <v>41</v>
      </c>
      <c r="G98" s="1">
        <v>1</v>
      </c>
      <c r="H98" s="1" t="s">
        <v>29</v>
      </c>
      <c r="I98" s="1" t="s">
        <v>30</v>
      </c>
      <c r="J98" s="1" t="s">
        <v>39</v>
      </c>
      <c r="K98" s="1" t="s">
        <v>33</v>
      </c>
      <c r="L98" s="1">
        <v>24</v>
      </c>
      <c r="M98" s="1">
        <v>3</v>
      </c>
      <c r="N98" s="1" t="s">
        <v>32</v>
      </c>
      <c r="O98" s="1">
        <v>1</v>
      </c>
      <c r="P98" s="1">
        <v>2</v>
      </c>
      <c r="Q98" s="1">
        <v>3</v>
      </c>
      <c r="R98" s="1">
        <v>4999</v>
      </c>
      <c r="S98" s="1">
        <v>4</v>
      </c>
      <c r="T98" s="1">
        <v>2</v>
      </c>
      <c r="U98" s="1">
        <v>3</v>
      </c>
      <c r="V98" s="1">
        <v>2</v>
      </c>
      <c r="W98" s="1">
        <v>0</v>
      </c>
      <c r="X98" s="1">
        <v>2</v>
      </c>
    </row>
    <row r="99" spans="1:24">
      <c r="A99" s="1">
        <v>98</v>
      </c>
      <c r="B99" s="1" t="s">
        <v>33</v>
      </c>
      <c r="C99" s="1" t="s">
        <v>51</v>
      </c>
      <c r="D99" s="1" t="s">
        <v>43</v>
      </c>
      <c r="E99" s="1" t="s">
        <v>27</v>
      </c>
      <c r="F99" s="1" t="s">
        <v>45</v>
      </c>
      <c r="G99" s="1">
        <v>1</v>
      </c>
      <c r="H99" s="1" t="s">
        <v>37</v>
      </c>
      <c r="I99" s="1" t="s">
        <v>30</v>
      </c>
      <c r="J99" s="1" t="s">
        <v>39</v>
      </c>
      <c r="K99" s="1" t="s">
        <v>33</v>
      </c>
      <c r="L99" s="1">
        <v>28</v>
      </c>
      <c r="M99" s="1">
        <v>4</v>
      </c>
      <c r="N99" s="1" t="s">
        <v>47</v>
      </c>
      <c r="O99" s="1">
        <v>2</v>
      </c>
      <c r="P99" s="1">
        <v>2</v>
      </c>
      <c r="Q99" s="1">
        <v>3</v>
      </c>
      <c r="R99" s="1">
        <v>4221</v>
      </c>
      <c r="S99" s="1">
        <v>5</v>
      </c>
      <c r="T99" s="1">
        <v>4</v>
      </c>
      <c r="U99" s="1">
        <v>5</v>
      </c>
      <c r="V99" s="1">
        <v>4</v>
      </c>
      <c r="W99" s="1">
        <v>0</v>
      </c>
      <c r="X99" s="1">
        <v>4</v>
      </c>
    </row>
    <row r="100" spans="1:24">
      <c r="A100" s="1">
        <v>99</v>
      </c>
      <c r="B100" s="1" t="s">
        <v>33</v>
      </c>
      <c r="C100" s="1" t="s">
        <v>25</v>
      </c>
      <c r="D100" s="1" t="s">
        <v>46</v>
      </c>
      <c r="E100" s="1" t="s">
        <v>27</v>
      </c>
      <c r="F100" s="1" t="s">
        <v>45</v>
      </c>
      <c r="G100" s="1">
        <v>1</v>
      </c>
      <c r="H100" s="1" t="s">
        <v>37</v>
      </c>
      <c r="I100" s="1" t="s">
        <v>30</v>
      </c>
      <c r="J100" s="1" t="s">
        <v>31</v>
      </c>
      <c r="K100" s="1" t="s">
        <v>33</v>
      </c>
      <c r="L100" s="1">
        <v>58</v>
      </c>
      <c r="M100" s="1">
        <v>10</v>
      </c>
      <c r="N100" s="1" t="s">
        <v>44</v>
      </c>
      <c r="O100" s="1">
        <v>4</v>
      </c>
      <c r="P100" s="1">
        <v>4</v>
      </c>
      <c r="Q100" s="1">
        <v>3</v>
      </c>
      <c r="R100" s="1">
        <v>13872</v>
      </c>
      <c r="S100" s="1">
        <v>38</v>
      </c>
      <c r="T100" s="1">
        <v>2</v>
      </c>
      <c r="U100" s="1">
        <v>37</v>
      </c>
      <c r="V100" s="1">
        <v>10</v>
      </c>
      <c r="W100" s="1">
        <v>1</v>
      </c>
      <c r="X100" s="1">
        <v>8</v>
      </c>
    </row>
    <row r="101" spans="1:24">
      <c r="A101" s="1">
        <v>100</v>
      </c>
      <c r="B101" s="1" t="s">
        <v>33</v>
      </c>
      <c r="C101" s="1" t="s">
        <v>51</v>
      </c>
      <c r="D101" s="1" t="s">
        <v>26</v>
      </c>
      <c r="E101" s="1" t="s">
        <v>36</v>
      </c>
      <c r="F101" s="1" t="s">
        <v>45</v>
      </c>
      <c r="G101" s="1">
        <v>1</v>
      </c>
      <c r="H101" s="1" t="s">
        <v>37</v>
      </c>
      <c r="I101" s="1" t="s">
        <v>42</v>
      </c>
      <c r="J101" s="1" t="s">
        <v>39</v>
      </c>
      <c r="K101" s="1" t="s">
        <v>33</v>
      </c>
      <c r="L101" s="1">
        <v>44</v>
      </c>
      <c r="M101" s="1">
        <v>23</v>
      </c>
      <c r="N101" s="1" t="s">
        <v>47</v>
      </c>
      <c r="O101" s="1">
        <v>2</v>
      </c>
      <c r="P101" s="1">
        <v>2</v>
      </c>
      <c r="Q101" s="1">
        <v>2</v>
      </c>
      <c r="R101" s="1">
        <v>2042</v>
      </c>
      <c r="S101" s="1">
        <v>17</v>
      </c>
      <c r="T101" s="1">
        <v>4</v>
      </c>
      <c r="U101" s="1">
        <v>3</v>
      </c>
      <c r="V101" s="1">
        <v>2</v>
      </c>
      <c r="W101" s="1">
        <v>1</v>
      </c>
      <c r="X101" s="1">
        <v>2</v>
      </c>
    </row>
    <row r="102" spans="1:24">
      <c r="A102" s="1">
        <v>101</v>
      </c>
      <c r="B102" s="1" t="s">
        <v>24</v>
      </c>
      <c r="C102" s="1" t="s">
        <v>25</v>
      </c>
      <c r="D102" s="1" t="s">
        <v>26</v>
      </c>
      <c r="E102" s="1" t="s">
        <v>59</v>
      </c>
      <c r="F102" s="1" t="s">
        <v>60</v>
      </c>
      <c r="G102" s="1">
        <v>1</v>
      </c>
      <c r="H102" s="1" t="s">
        <v>37</v>
      </c>
      <c r="I102" s="1" t="s">
        <v>60</v>
      </c>
      <c r="J102" s="1" t="s">
        <v>48</v>
      </c>
      <c r="K102" s="1" t="s">
        <v>24</v>
      </c>
      <c r="L102" s="1">
        <v>37</v>
      </c>
      <c r="M102" s="1">
        <v>6</v>
      </c>
      <c r="N102" s="1" t="s">
        <v>44</v>
      </c>
      <c r="O102" s="1">
        <v>3</v>
      </c>
      <c r="P102" s="1">
        <v>1</v>
      </c>
      <c r="Q102" s="1">
        <v>1</v>
      </c>
      <c r="R102" s="1">
        <v>2073</v>
      </c>
      <c r="S102" s="1">
        <v>7</v>
      </c>
      <c r="T102" s="1">
        <v>3</v>
      </c>
      <c r="U102" s="1">
        <v>3</v>
      </c>
      <c r="V102" s="1">
        <v>2</v>
      </c>
      <c r="W102" s="1">
        <v>0</v>
      </c>
      <c r="X102" s="1">
        <v>2</v>
      </c>
    </row>
    <row r="103" spans="1:24">
      <c r="A103" s="1">
        <v>102</v>
      </c>
      <c r="B103" s="1" t="s">
        <v>33</v>
      </c>
      <c r="C103" s="1" t="s">
        <v>25</v>
      </c>
      <c r="D103" s="1" t="s">
        <v>43</v>
      </c>
      <c r="E103" s="1" t="s">
        <v>36</v>
      </c>
      <c r="F103" s="1" t="s">
        <v>28</v>
      </c>
      <c r="G103" s="1">
        <v>1</v>
      </c>
      <c r="H103" s="1" t="s">
        <v>37</v>
      </c>
      <c r="I103" s="1" t="s">
        <v>38</v>
      </c>
      <c r="J103" s="1" t="s">
        <v>31</v>
      </c>
      <c r="K103" s="1" t="s">
        <v>33</v>
      </c>
      <c r="L103" s="1">
        <v>32</v>
      </c>
      <c r="M103" s="1">
        <v>1</v>
      </c>
      <c r="N103" s="1" t="s">
        <v>40</v>
      </c>
      <c r="O103" s="1">
        <v>4</v>
      </c>
      <c r="P103" s="1">
        <v>1</v>
      </c>
      <c r="Q103" s="1">
        <v>1</v>
      </c>
      <c r="R103" s="1">
        <v>2956</v>
      </c>
      <c r="S103" s="1">
        <v>1</v>
      </c>
      <c r="T103" s="1">
        <v>3</v>
      </c>
      <c r="U103" s="1">
        <v>1</v>
      </c>
      <c r="V103" s="1">
        <v>0</v>
      </c>
      <c r="W103" s="1">
        <v>0</v>
      </c>
      <c r="X103" s="1">
        <v>0</v>
      </c>
    </row>
    <row r="104" spans="1:24">
      <c r="A104" s="1">
        <v>103</v>
      </c>
      <c r="B104" s="1" t="s">
        <v>24</v>
      </c>
      <c r="C104" s="1" t="s">
        <v>34</v>
      </c>
      <c r="D104" s="1" t="s">
        <v>52</v>
      </c>
      <c r="E104" s="1" t="s">
        <v>36</v>
      </c>
      <c r="F104" s="1" t="s">
        <v>28</v>
      </c>
      <c r="G104" s="1">
        <v>1</v>
      </c>
      <c r="H104" s="1" t="s">
        <v>29</v>
      </c>
      <c r="I104" s="1" t="s">
        <v>42</v>
      </c>
      <c r="J104" s="1" t="s">
        <v>31</v>
      </c>
      <c r="K104" s="1" t="s">
        <v>24</v>
      </c>
      <c r="L104" s="1">
        <v>20</v>
      </c>
      <c r="M104" s="1">
        <v>6</v>
      </c>
      <c r="N104" s="1" t="s">
        <v>47</v>
      </c>
      <c r="O104" s="1">
        <v>4</v>
      </c>
      <c r="P104" s="1">
        <v>1</v>
      </c>
      <c r="Q104" s="1">
        <v>4</v>
      </c>
      <c r="R104" s="1">
        <v>2926</v>
      </c>
      <c r="S104" s="1">
        <v>1</v>
      </c>
      <c r="T104" s="1">
        <v>3</v>
      </c>
      <c r="U104" s="1">
        <v>1</v>
      </c>
      <c r="V104" s="1">
        <v>0</v>
      </c>
      <c r="W104" s="1">
        <v>1</v>
      </c>
      <c r="X104" s="1">
        <v>0</v>
      </c>
    </row>
    <row r="105" spans="1:24">
      <c r="A105" s="1">
        <v>104</v>
      </c>
      <c r="B105" s="1" t="s">
        <v>33</v>
      </c>
      <c r="C105" s="1" t="s">
        <v>25</v>
      </c>
      <c r="D105" s="1" t="s">
        <v>43</v>
      </c>
      <c r="E105" s="1" t="s">
        <v>36</v>
      </c>
      <c r="F105" s="1" t="s">
        <v>41</v>
      </c>
      <c r="G105" s="1">
        <v>1</v>
      </c>
      <c r="H105" s="1" t="s">
        <v>29</v>
      </c>
      <c r="I105" s="1" t="s">
        <v>38</v>
      </c>
      <c r="J105" s="1" t="s">
        <v>31</v>
      </c>
      <c r="K105" s="1" t="s">
        <v>33</v>
      </c>
      <c r="L105" s="1">
        <v>34</v>
      </c>
      <c r="M105" s="1">
        <v>6</v>
      </c>
      <c r="N105" s="1" t="s">
        <v>44</v>
      </c>
      <c r="O105" s="1">
        <v>1</v>
      </c>
      <c r="P105" s="1">
        <v>2</v>
      </c>
      <c r="Q105" s="1">
        <v>3</v>
      </c>
      <c r="R105" s="1">
        <v>4809</v>
      </c>
      <c r="S105" s="1">
        <v>16</v>
      </c>
      <c r="T105" s="1">
        <v>3</v>
      </c>
      <c r="U105" s="1">
        <v>16</v>
      </c>
      <c r="V105" s="1">
        <v>13</v>
      </c>
      <c r="W105" s="1">
        <v>2</v>
      </c>
      <c r="X105" s="1">
        <v>10</v>
      </c>
    </row>
    <row r="106" spans="1:24">
      <c r="A106" s="1">
        <v>105</v>
      </c>
      <c r="B106" s="1" t="s">
        <v>33</v>
      </c>
      <c r="C106" s="1" t="s">
        <v>51</v>
      </c>
      <c r="D106" s="1" t="s">
        <v>26</v>
      </c>
      <c r="E106" s="1" t="s">
        <v>36</v>
      </c>
      <c r="F106" s="1" t="s">
        <v>28</v>
      </c>
      <c r="G106" s="1">
        <v>1</v>
      </c>
      <c r="H106" s="1" t="s">
        <v>37</v>
      </c>
      <c r="I106" s="1" t="s">
        <v>50</v>
      </c>
      <c r="J106" s="1" t="s">
        <v>48</v>
      </c>
      <c r="K106" s="1" t="s">
        <v>33</v>
      </c>
      <c r="L106" s="1">
        <v>37</v>
      </c>
      <c r="M106" s="1">
        <v>2</v>
      </c>
      <c r="N106" s="1" t="s">
        <v>32</v>
      </c>
      <c r="O106" s="1">
        <v>3</v>
      </c>
      <c r="P106" s="1">
        <v>2</v>
      </c>
      <c r="Q106" s="1">
        <v>4</v>
      </c>
      <c r="R106" s="1">
        <v>5163</v>
      </c>
      <c r="S106" s="1">
        <v>17</v>
      </c>
      <c r="T106" s="1">
        <v>4</v>
      </c>
      <c r="U106" s="1">
        <v>1</v>
      </c>
      <c r="V106" s="1">
        <v>0</v>
      </c>
      <c r="W106" s="1">
        <v>0</v>
      </c>
      <c r="X106" s="1">
        <v>0</v>
      </c>
    </row>
    <row r="107" spans="1:24">
      <c r="A107" s="1">
        <v>106</v>
      </c>
      <c r="B107" s="1" t="s">
        <v>33</v>
      </c>
      <c r="C107" s="1" t="s">
        <v>51</v>
      </c>
      <c r="D107" s="1" t="s">
        <v>46</v>
      </c>
      <c r="E107" s="1" t="s">
        <v>59</v>
      </c>
      <c r="F107" s="1" t="s">
        <v>60</v>
      </c>
      <c r="G107" s="1">
        <v>1</v>
      </c>
      <c r="H107" s="1" t="s">
        <v>29</v>
      </c>
      <c r="I107" s="1" t="s">
        <v>53</v>
      </c>
      <c r="J107" s="1" t="s">
        <v>39</v>
      </c>
      <c r="K107" s="1" t="s">
        <v>33</v>
      </c>
      <c r="L107" s="1">
        <v>59</v>
      </c>
      <c r="M107" s="1">
        <v>2</v>
      </c>
      <c r="N107" s="1" t="s">
        <v>44</v>
      </c>
      <c r="O107" s="1">
        <v>3</v>
      </c>
      <c r="P107" s="1">
        <v>5</v>
      </c>
      <c r="Q107" s="1">
        <v>4</v>
      </c>
      <c r="R107" s="1">
        <v>18844</v>
      </c>
      <c r="S107" s="1">
        <v>30</v>
      </c>
      <c r="T107" s="1">
        <v>3</v>
      </c>
      <c r="U107" s="1">
        <v>3</v>
      </c>
      <c r="V107" s="1">
        <v>2</v>
      </c>
      <c r="W107" s="1">
        <v>2</v>
      </c>
      <c r="X107" s="1">
        <v>2</v>
      </c>
    </row>
    <row r="108" spans="1:24">
      <c r="A108" s="1">
        <v>107</v>
      </c>
      <c r="B108" s="1" t="s">
        <v>33</v>
      </c>
      <c r="C108" s="1" t="s">
        <v>34</v>
      </c>
      <c r="D108" s="1" t="s">
        <v>35</v>
      </c>
      <c r="E108" s="1" t="s">
        <v>36</v>
      </c>
      <c r="F108" s="1" t="s">
        <v>28</v>
      </c>
      <c r="G108" s="1">
        <v>1</v>
      </c>
      <c r="H108" s="1" t="s">
        <v>29</v>
      </c>
      <c r="I108" s="1" t="s">
        <v>55</v>
      </c>
      <c r="J108" s="1" t="s">
        <v>39</v>
      </c>
      <c r="K108" s="1" t="s">
        <v>24</v>
      </c>
      <c r="L108" s="1">
        <v>50</v>
      </c>
      <c r="M108" s="1">
        <v>1</v>
      </c>
      <c r="N108" s="1" t="s">
        <v>47</v>
      </c>
      <c r="O108" s="1">
        <v>1</v>
      </c>
      <c r="P108" s="1">
        <v>5</v>
      </c>
      <c r="Q108" s="1">
        <v>2</v>
      </c>
      <c r="R108" s="1">
        <v>18172</v>
      </c>
      <c r="S108" s="1">
        <v>28</v>
      </c>
      <c r="T108" s="1">
        <v>2</v>
      </c>
      <c r="U108" s="1">
        <v>8</v>
      </c>
      <c r="V108" s="1">
        <v>3</v>
      </c>
      <c r="W108" s="1">
        <v>0</v>
      </c>
      <c r="X108" s="1">
        <v>7</v>
      </c>
    </row>
    <row r="109" spans="1:24">
      <c r="A109" s="1">
        <v>108</v>
      </c>
      <c r="B109" s="1" t="s">
        <v>24</v>
      </c>
      <c r="C109" s="1" t="s">
        <v>25</v>
      </c>
      <c r="D109" s="1" t="s">
        <v>43</v>
      </c>
      <c r="E109" s="1" t="s">
        <v>27</v>
      </c>
      <c r="F109" s="1" t="s">
        <v>56</v>
      </c>
      <c r="G109" s="1">
        <v>1</v>
      </c>
      <c r="H109" s="1" t="s">
        <v>37</v>
      </c>
      <c r="I109" s="1" t="s">
        <v>30</v>
      </c>
      <c r="J109" s="1" t="s">
        <v>31</v>
      </c>
      <c r="K109" s="1" t="s">
        <v>24</v>
      </c>
      <c r="L109" s="1">
        <v>25</v>
      </c>
      <c r="M109" s="1">
        <v>5</v>
      </c>
      <c r="N109" s="1" t="s">
        <v>47</v>
      </c>
      <c r="O109" s="1">
        <v>3</v>
      </c>
      <c r="P109" s="1">
        <v>2</v>
      </c>
      <c r="Q109" s="1">
        <v>3</v>
      </c>
      <c r="R109" s="1">
        <v>5744</v>
      </c>
      <c r="S109" s="1">
        <v>6</v>
      </c>
      <c r="T109" s="1">
        <v>3</v>
      </c>
      <c r="U109" s="1">
        <v>6</v>
      </c>
      <c r="V109" s="1">
        <v>4</v>
      </c>
      <c r="W109" s="1">
        <v>0</v>
      </c>
      <c r="X109" s="1">
        <v>3</v>
      </c>
    </row>
    <row r="110" spans="1:24">
      <c r="A110" s="1">
        <v>109</v>
      </c>
      <c r="B110" s="1" t="s">
        <v>33</v>
      </c>
      <c r="C110" s="1" t="s">
        <v>25</v>
      </c>
      <c r="D110" s="1" t="s">
        <v>43</v>
      </c>
      <c r="E110" s="1" t="s">
        <v>36</v>
      </c>
      <c r="F110" s="1" t="s">
        <v>45</v>
      </c>
      <c r="G110" s="1">
        <v>1</v>
      </c>
      <c r="H110" s="1" t="s">
        <v>37</v>
      </c>
      <c r="I110" s="1" t="s">
        <v>38</v>
      </c>
      <c r="J110" s="1" t="s">
        <v>39</v>
      </c>
      <c r="K110" s="1" t="s">
        <v>33</v>
      </c>
      <c r="L110" s="1">
        <v>25</v>
      </c>
      <c r="M110" s="1">
        <v>7</v>
      </c>
      <c r="N110" s="1" t="s">
        <v>40</v>
      </c>
      <c r="O110" s="1">
        <v>4</v>
      </c>
      <c r="P110" s="1">
        <v>1</v>
      </c>
      <c r="Q110" s="1">
        <v>4</v>
      </c>
      <c r="R110" s="1">
        <v>2889</v>
      </c>
      <c r="S110" s="1">
        <v>2</v>
      </c>
      <c r="T110" s="1">
        <v>3</v>
      </c>
      <c r="U110" s="1">
        <v>2</v>
      </c>
      <c r="V110" s="1">
        <v>2</v>
      </c>
      <c r="W110" s="1">
        <v>2</v>
      </c>
      <c r="X110" s="1">
        <v>1</v>
      </c>
    </row>
    <row r="111" spans="1:24">
      <c r="A111" s="1">
        <v>110</v>
      </c>
      <c r="B111" s="1" t="s">
        <v>33</v>
      </c>
      <c r="C111" s="1" t="s">
        <v>25</v>
      </c>
      <c r="D111" s="1" t="s">
        <v>52</v>
      </c>
      <c r="E111" s="1" t="s">
        <v>36</v>
      </c>
      <c r="F111" s="1" t="s">
        <v>45</v>
      </c>
      <c r="G111" s="1">
        <v>1</v>
      </c>
      <c r="H111" s="1" t="s">
        <v>29</v>
      </c>
      <c r="I111" s="1" t="s">
        <v>42</v>
      </c>
      <c r="J111" s="1" t="s">
        <v>31</v>
      </c>
      <c r="K111" s="1" t="s">
        <v>33</v>
      </c>
      <c r="L111" s="1">
        <v>22</v>
      </c>
      <c r="M111" s="1">
        <v>15</v>
      </c>
      <c r="N111" s="1" t="s">
        <v>47</v>
      </c>
      <c r="O111" s="1">
        <v>2</v>
      </c>
      <c r="P111" s="1">
        <v>1</v>
      </c>
      <c r="Q111" s="1">
        <v>4</v>
      </c>
      <c r="R111" s="1">
        <v>2871</v>
      </c>
      <c r="S111" s="1">
        <v>1</v>
      </c>
      <c r="T111" s="1">
        <v>3</v>
      </c>
      <c r="U111" s="1">
        <v>0</v>
      </c>
      <c r="V111" s="1">
        <v>0</v>
      </c>
      <c r="W111" s="1">
        <v>0</v>
      </c>
      <c r="X111" s="1">
        <v>0</v>
      </c>
    </row>
    <row r="112" spans="1:24">
      <c r="A112" s="1">
        <v>111</v>
      </c>
      <c r="B112" s="1" t="s">
        <v>33</v>
      </c>
      <c r="C112" s="1" t="s">
        <v>34</v>
      </c>
      <c r="D112" s="1" t="s">
        <v>35</v>
      </c>
      <c r="E112" s="1" t="s">
        <v>36</v>
      </c>
      <c r="F112" s="1" t="s">
        <v>45</v>
      </c>
      <c r="G112" s="1">
        <v>1</v>
      </c>
      <c r="H112" s="1" t="s">
        <v>29</v>
      </c>
      <c r="I112" s="1" t="s">
        <v>50</v>
      </c>
      <c r="J112" s="1" t="s">
        <v>31</v>
      </c>
      <c r="K112" s="1" t="s">
        <v>33</v>
      </c>
      <c r="L112" s="1">
        <v>51</v>
      </c>
      <c r="M112" s="1">
        <v>1</v>
      </c>
      <c r="N112" s="1" t="s">
        <v>44</v>
      </c>
      <c r="O112" s="1">
        <v>1</v>
      </c>
      <c r="P112" s="1">
        <v>3</v>
      </c>
      <c r="Q112" s="1">
        <v>1</v>
      </c>
      <c r="R112" s="1">
        <v>7484</v>
      </c>
      <c r="S112" s="1">
        <v>23</v>
      </c>
      <c r="T112" s="1">
        <v>2</v>
      </c>
      <c r="U112" s="1">
        <v>13</v>
      </c>
      <c r="V112" s="1">
        <v>12</v>
      </c>
      <c r="W112" s="1">
        <v>12</v>
      </c>
      <c r="X112" s="1">
        <v>8</v>
      </c>
    </row>
    <row r="113" spans="1:24">
      <c r="A113" s="1">
        <v>112</v>
      </c>
      <c r="B113" s="1" t="s">
        <v>24</v>
      </c>
      <c r="C113" s="1" t="s">
        <v>34</v>
      </c>
      <c r="D113" s="1" t="s">
        <v>43</v>
      </c>
      <c r="E113" s="1" t="s">
        <v>36</v>
      </c>
      <c r="F113" s="1" t="s">
        <v>28</v>
      </c>
      <c r="G113" s="1">
        <v>1</v>
      </c>
      <c r="H113" s="1" t="s">
        <v>37</v>
      </c>
      <c r="I113" s="1" t="s">
        <v>42</v>
      </c>
      <c r="J113" s="1" t="s">
        <v>31</v>
      </c>
      <c r="K113" s="1" t="s">
        <v>24</v>
      </c>
      <c r="L113" s="1">
        <v>34</v>
      </c>
      <c r="M113" s="1">
        <v>7</v>
      </c>
      <c r="N113" s="1" t="s">
        <v>47</v>
      </c>
      <c r="O113" s="1">
        <v>1</v>
      </c>
      <c r="P113" s="1">
        <v>2</v>
      </c>
      <c r="Q113" s="1">
        <v>3</v>
      </c>
      <c r="R113" s="1">
        <v>6074</v>
      </c>
      <c r="S113" s="1">
        <v>9</v>
      </c>
      <c r="T113" s="1">
        <v>3</v>
      </c>
      <c r="U113" s="1">
        <v>9</v>
      </c>
      <c r="V113" s="1">
        <v>7</v>
      </c>
      <c r="W113" s="1">
        <v>0</v>
      </c>
      <c r="X113" s="1">
        <v>6</v>
      </c>
    </row>
    <row r="114" spans="1:24">
      <c r="A114" s="1">
        <v>113</v>
      </c>
      <c r="B114" s="1" t="s">
        <v>33</v>
      </c>
      <c r="C114" s="1" t="s">
        <v>51</v>
      </c>
      <c r="D114" s="1" t="s">
        <v>35</v>
      </c>
      <c r="E114" s="1" t="s">
        <v>59</v>
      </c>
      <c r="F114" s="1" t="s">
        <v>60</v>
      </c>
      <c r="G114" s="1">
        <v>1</v>
      </c>
      <c r="H114" s="1" t="s">
        <v>29</v>
      </c>
      <c r="I114" s="1" t="s">
        <v>53</v>
      </c>
      <c r="J114" s="1" t="s">
        <v>31</v>
      </c>
      <c r="K114" s="1" t="s">
        <v>24</v>
      </c>
      <c r="L114" s="1">
        <v>54</v>
      </c>
      <c r="M114" s="1">
        <v>26</v>
      </c>
      <c r="N114" s="1" t="s">
        <v>47</v>
      </c>
      <c r="O114" s="1">
        <v>4</v>
      </c>
      <c r="P114" s="1">
        <v>4</v>
      </c>
      <c r="Q114" s="1">
        <v>4</v>
      </c>
      <c r="R114" s="1">
        <v>17328</v>
      </c>
      <c r="S114" s="1">
        <v>23</v>
      </c>
      <c r="T114" s="1">
        <v>3</v>
      </c>
      <c r="U114" s="1">
        <v>5</v>
      </c>
      <c r="V114" s="1">
        <v>3</v>
      </c>
      <c r="W114" s="1">
        <v>4</v>
      </c>
      <c r="X114" s="1">
        <v>4</v>
      </c>
    </row>
    <row r="115" spans="1:24">
      <c r="A115" s="1">
        <v>114</v>
      </c>
      <c r="B115" s="1" t="s">
        <v>33</v>
      </c>
      <c r="C115" s="1" t="s">
        <v>25</v>
      </c>
      <c r="D115" s="1" t="s">
        <v>52</v>
      </c>
      <c r="E115" s="1" t="s">
        <v>36</v>
      </c>
      <c r="F115" s="1" t="s">
        <v>28</v>
      </c>
      <c r="G115" s="1">
        <v>1</v>
      </c>
      <c r="H115" s="1" t="s">
        <v>37</v>
      </c>
      <c r="I115" s="1" t="s">
        <v>42</v>
      </c>
      <c r="J115" s="1" t="s">
        <v>39</v>
      </c>
      <c r="K115" s="1" t="s">
        <v>33</v>
      </c>
      <c r="L115" s="1">
        <v>24</v>
      </c>
      <c r="M115" s="1">
        <v>18</v>
      </c>
      <c r="N115" s="1" t="s">
        <v>40</v>
      </c>
      <c r="O115" s="1">
        <v>2</v>
      </c>
      <c r="P115" s="1">
        <v>1</v>
      </c>
      <c r="Q115" s="1">
        <v>3</v>
      </c>
      <c r="R115" s="1">
        <v>2774</v>
      </c>
      <c r="S115" s="1">
        <v>6</v>
      </c>
      <c r="T115" s="1">
        <v>3</v>
      </c>
      <c r="U115" s="1">
        <v>5</v>
      </c>
      <c r="V115" s="1">
        <v>3</v>
      </c>
      <c r="W115" s="1">
        <v>1</v>
      </c>
      <c r="X115" s="1">
        <v>2</v>
      </c>
    </row>
    <row r="116" spans="1:24">
      <c r="A116" s="1">
        <v>115</v>
      </c>
      <c r="B116" s="1" t="s">
        <v>33</v>
      </c>
      <c r="C116" s="1" t="s">
        <v>25</v>
      </c>
      <c r="D116" s="1" t="s">
        <v>43</v>
      </c>
      <c r="E116" s="1" t="s">
        <v>36</v>
      </c>
      <c r="F116" s="1" t="s">
        <v>28</v>
      </c>
      <c r="G116" s="1">
        <v>1</v>
      </c>
      <c r="H116" s="1" t="s">
        <v>29</v>
      </c>
      <c r="I116" s="1" t="s">
        <v>38</v>
      </c>
      <c r="J116" s="1" t="s">
        <v>48</v>
      </c>
      <c r="K116" s="1" t="s">
        <v>33</v>
      </c>
      <c r="L116" s="1">
        <v>34</v>
      </c>
      <c r="M116" s="1">
        <v>6</v>
      </c>
      <c r="N116" s="1" t="s">
        <v>44</v>
      </c>
      <c r="O116" s="1">
        <v>3</v>
      </c>
      <c r="P116" s="1">
        <v>2</v>
      </c>
      <c r="Q116" s="1">
        <v>2</v>
      </c>
      <c r="R116" s="1">
        <v>4505</v>
      </c>
      <c r="S116" s="1">
        <v>12</v>
      </c>
      <c r="T116" s="1">
        <v>3</v>
      </c>
      <c r="U116" s="1">
        <v>1</v>
      </c>
      <c r="V116" s="1">
        <v>0</v>
      </c>
      <c r="W116" s="1">
        <v>0</v>
      </c>
      <c r="X116" s="1">
        <v>0</v>
      </c>
    </row>
    <row r="117" spans="1:24">
      <c r="A117" s="1">
        <v>116</v>
      </c>
      <c r="B117" s="1" t="s">
        <v>33</v>
      </c>
      <c r="C117" s="1" t="s">
        <v>25</v>
      </c>
      <c r="D117" s="1" t="s">
        <v>26</v>
      </c>
      <c r="E117" s="1" t="s">
        <v>27</v>
      </c>
      <c r="F117" s="1" t="s">
        <v>28</v>
      </c>
      <c r="G117" s="1">
        <v>1</v>
      </c>
      <c r="H117" s="1" t="s">
        <v>37</v>
      </c>
      <c r="I117" s="1" t="s">
        <v>30</v>
      </c>
      <c r="J117" s="1" t="s">
        <v>31</v>
      </c>
      <c r="K117" s="1" t="s">
        <v>33</v>
      </c>
      <c r="L117" s="1">
        <v>37</v>
      </c>
      <c r="M117" s="1">
        <v>3</v>
      </c>
      <c r="N117" s="1" t="s">
        <v>47</v>
      </c>
      <c r="O117" s="1">
        <v>3</v>
      </c>
      <c r="P117" s="1">
        <v>3</v>
      </c>
      <c r="Q117" s="1">
        <v>4</v>
      </c>
      <c r="R117" s="1">
        <v>7428</v>
      </c>
      <c r="S117" s="1">
        <v>12</v>
      </c>
      <c r="T117" s="1">
        <v>3</v>
      </c>
      <c r="U117" s="1">
        <v>5</v>
      </c>
      <c r="V117" s="1">
        <v>3</v>
      </c>
      <c r="W117" s="1">
        <v>1</v>
      </c>
      <c r="X117" s="1">
        <v>3</v>
      </c>
    </row>
    <row r="118" spans="1:24">
      <c r="A118" s="1">
        <v>117</v>
      </c>
      <c r="B118" s="1" t="s">
        <v>33</v>
      </c>
      <c r="C118" s="1" t="s">
        <v>25</v>
      </c>
      <c r="D118" s="1" t="s">
        <v>43</v>
      </c>
      <c r="E118" s="1" t="s">
        <v>36</v>
      </c>
      <c r="F118" s="1" t="s">
        <v>45</v>
      </c>
      <c r="G118" s="1">
        <v>1</v>
      </c>
      <c r="H118" s="1" t="s">
        <v>29</v>
      </c>
      <c r="I118" s="1" t="s">
        <v>53</v>
      </c>
      <c r="J118" s="1" t="s">
        <v>31</v>
      </c>
      <c r="K118" s="1" t="s">
        <v>33</v>
      </c>
      <c r="L118" s="1">
        <v>34</v>
      </c>
      <c r="M118" s="1">
        <v>5</v>
      </c>
      <c r="N118" s="1" t="s">
        <v>47</v>
      </c>
      <c r="O118" s="1">
        <v>3</v>
      </c>
      <c r="P118" s="1">
        <v>3</v>
      </c>
      <c r="Q118" s="1">
        <v>1</v>
      </c>
      <c r="R118" s="1">
        <v>11631</v>
      </c>
      <c r="S118" s="1">
        <v>14</v>
      </c>
      <c r="T118" s="1">
        <v>3</v>
      </c>
      <c r="U118" s="1">
        <v>11</v>
      </c>
      <c r="V118" s="1">
        <v>10</v>
      </c>
      <c r="W118" s="1">
        <v>5</v>
      </c>
      <c r="X118" s="1">
        <v>8</v>
      </c>
    </row>
    <row r="119" spans="1:24">
      <c r="A119" s="1">
        <v>118</v>
      </c>
      <c r="B119" s="1" t="s">
        <v>33</v>
      </c>
      <c r="C119" s="1" t="s">
        <v>34</v>
      </c>
      <c r="D119" s="1" t="s">
        <v>26</v>
      </c>
      <c r="E119" s="1" t="s">
        <v>27</v>
      </c>
      <c r="F119" s="1" t="s">
        <v>57</v>
      </c>
      <c r="G119" s="1">
        <v>1</v>
      </c>
      <c r="H119" s="1" t="s">
        <v>29</v>
      </c>
      <c r="I119" s="1" t="s">
        <v>30</v>
      </c>
      <c r="J119" s="1" t="s">
        <v>39</v>
      </c>
      <c r="K119" s="1" t="s">
        <v>33</v>
      </c>
      <c r="L119" s="1">
        <v>36</v>
      </c>
      <c r="M119" s="1">
        <v>11</v>
      </c>
      <c r="N119" s="1" t="s">
        <v>32</v>
      </c>
      <c r="O119" s="1">
        <v>2</v>
      </c>
      <c r="P119" s="1">
        <v>3</v>
      </c>
      <c r="Q119" s="1">
        <v>4</v>
      </c>
      <c r="R119" s="1">
        <v>9738</v>
      </c>
      <c r="S119" s="1">
        <v>10</v>
      </c>
      <c r="T119" s="1">
        <v>3</v>
      </c>
      <c r="U119" s="1">
        <v>9</v>
      </c>
      <c r="V119" s="1">
        <v>7</v>
      </c>
      <c r="W119" s="1">
        <v>2</v>
      </c>
      <c r="X119" s="1">
        <v>8</v>
      </c>
    </row>
    <row r="120" spans="1:24">
      <c r="A120" s="1">
        <v>119</v>
      </c>
      <c r="B120" s="1" t="s">
        <v>33</v>
      </c>
      <c r="C120" s="1" t="s">
        <v>25</v>
      </c>
      <c r="D120" s="1" t="s">
        <v>26</v>
      </c>
      <c r="E120" s="1" t="s">
        <v>36</v>
      </c>
      <c r="F120" s="1" t="s">
        <v>28</v>
      </c>
      <c r="G120" s="1">
        <v>1</v>
      </c>
      <c r="H120" s="1" t="s">
        <v>29</v>
      </c>
      <c r="I120" s="1" t="s">
        <v>42</v>
      </c>
      <c r="J120" s="1" t="s">
        <v>48</v>
      </c>
      <c r="K120" s="1" t="s">
        <v>33</v>
      </c>
      <c r="L120" s="1">
        <v>36</v>
      </c>
      <c r="M120" s="1">
        <v>3</v>
      </c>
      <c r="N120" s="1" t="s">
        <v>32</v>
      </c>
      <c r="O120" s="1">
        <v>1</v>
      </c>
      <c r="P120" s="1">
        <v>1</v>
      </c>
      <c r="Q120" s="1">
        <v>4</v>
      </c>
      <c r="R120" s="1">
        <v>2835</v>
      </c>
      <c r="S120" s="1">
        <v>7</v>
      </c>
      <c r="T120" s="1">
        <v>3</v>
      </c>
      <c r="U120" s="1">
        <v>1</v>
      </c>
      <c r="V120" s="1">
        <v>0</v>
      </c>
      <c r="W120" s="1">
        <v>0</v>
      </c>
      <c r="X120" s="1">
        <v>0</v>
      </c>
    </row>
    <row r="121" spans="1:24">
      <c r="A121" s="1">
        <v>120</v>
      </c>
      <c r="B121" s="1" t="s">
        <v>33</v>
      </c>
      <c r="C121" s="1" t="s">
        <v>34</v>
      </c>
      <c r="D121" s="1" t="s">
        <v>26</v>
      </c>
      <c r="E121" s="1" t="s">
        <v>27</v>
      </c>
      <c r="F121" s="1" t="s">
        <v>28</v>
      </c>
      <c r="G121" s="1">
        <v>1</v>
      </c>
      <c r="H121" s="1" t="s">
        <v>37</v>
      </c>
      <c r="I121" s="1" t="s">
        <v>53</v>
      </c>
      <c r="J121" s="1" t="s">
        <v>39</v>
      </c>
      <c r="K121" s="1" t="s">
        <v>24</v>
      </c>
      <c r="L121" s="1">
        <v>43</v>
      </c>
      <c r="M121" s="1">
        <v>26</v>
      </c>
      <c r="N121" s="1" t="s">
        <v>32</v>
      </c>
      <c r="O121" s="1">
        <v>3</v>
      </c>
      <c r="P121" s="1">
        <v>4</v>
      </c>
      <c r="Q121" s="1">
        <v>4</v>
      </c>
      <c r="R121" s="1">
        <v>16959</v>
      </c>
      <c r="S121" s="1">
        <v>25</v>
      </c>
      <c r="T121" s="1">
        <v>4</v>
      </c>
      <c r="U121" s="1">
        <v>25</v>
      </c>
      <c r="V121" s="1">
        <v>12</v>
      </c>
      <c r="W121" s="1">
        <v>4</v>
      </c>
      <c r="X121" s="1">
        <v>12</v>
      </c>
    </row>
    <row r="122" spans="1:24">
      <c r="A122" s="1">
        <v>121</v>
      </c>
      <c r="B122" s="1" t="s">
        <v>33</v>
      </c>
      <c r="C122" s="1" t="s">
        <v>34</v>
      </c>
      <c r="D122" s="1" t="s">
        <v>43</v>
      </c>
      <c r="E122" s="1" t="s">
        <v>36</v>
      </c>
      <c r="F122" s="1" t="s">
        <v>28</v>
      </c>
      <c r="G122" s="1">
        <v>1</v>
      </c>
      <c r="H122" s="1" t="s">
        <v>37</v>
      </c>
      <c r="I122" s="1" t="s">
        <v>38</v>
      </c>
      <c r="J122" s="1" t="s">
        <v>48</v>
      </c>
      <c r="K122" s="1" t="s">
        <v>33</v>
      </c>
      <c r="L122" s="1">
        <v>30</v>
      </c>
      <c r="M122" s="1">
        <v>23</v>
      </c>
      <c r="N122" s="1" t="s">
        <v>47</v>
      </c>
      <c r="O122" s="1">
        <v>1</v>
      </c>
      <c r="P122" s="1">
        <v>1</v>
      </c>
      <c r="Q122" s="1">
        <v>3</v>
      </c>
      <c r="R122" s="1">
        <v>2613</v>
      </c>
      <c r="S122" s="1">
        <v>10</v>
      </c>
      <c r="T122" s="1">
        <v>2</v>
      </c>
      <c r="U122" s="1">
        <v>10</v>
      </c>
      <c r="V122" s="1">
        <v>7</v>
      </c>
      <c r="W122" s="1">
        <v>0</v>
      </c>
      <c r="X122" s="1">
        <v>9</v>
      </c>
    </row>
    <row r="123" spans="1:24">
      <c r="A123" s="1">
        <v>122</v>
      </c>
      <c r="B123" s="1" t="s">
        <v>33</v>
      </c>
      <c r="C123" s="1" t="s">
        <v>51</v>
      </c>
      <c r="D123" s="1" t="s">
        <v>43</v>
      </c>
      <c r="E123" s="1" t="s">
        <v>27</v>
      </c>
      <c r="F123" s="1" t="s">
        <v>56</v>
      </c>
      <c r="G123" s="1">
        <v>1</v>
      </c>
      <c r="H123" s="1" t="s">
        <v>37</v>
      </c>
      <c r="I123" s="1" t="s">
        <v>30</v>
      </c>
      <c r="J123" s="1" t="s">
        <v>39</v>
      </c>
      <c r="K123" s="1" t="s">
        <v>33</v>
      </c>
      <c r="L123" s="1">
        <v>33</v>
      </c>
      <c r="M123" s="1">
        <v>22</v>
      </c>
      <c r="N123" s="1" t="s">
        <v>32</v>
      </c>
      <c r="O123" s="1">
        <v>3</v>
      </c>
      <c r="P123" s="1">
        <v>2</v>
      </c>
      <c r="Q123" s="1">
        <v>2</v>
      </c>
      <c r="R123" s="1">
        <v>6146</v>
      </c>
      <c r="S123" s="1">
        <v>8</v>
      </c>
      <c r="T123" s="1">
        <v>4</v>
      </c>
      <c r="U123" s="1">
        <v>7</v>
      </c>
      <c r="V123" s="1">
        <v>7</v>
      </c>
      <c r="W123" s="1">
        <v>0</v>
      </c>
      <c r="X123" s="1">
        <v>7</v>
      </c>
    </row>
    <row r="124" spans="1:24">
      <c r="A124" s="1">
        <v>123</v>
      </c>
      <c r="B124" s="1" t="s">
        <v>24</v>
      </c>
      <c r="C124" s="1" t="s">
        <v>25</v>
      </c>
      <c r="D124" s="1" t="s">
        <v>46</v>
      </c>
      <c r="E124" s="1" t="s">
        <v>36</v>
      </c>
      <c r="F124" s="1" t="s">
        <v>28</v>
      </c>
      <c r="G124" s="1">
        <v>1</v>
      </c>
      <c r="H124" s="1" t="s">
        <v>29</v>
      </c>
      <c r="I124" s="1" t="s">
        <v>38</v>
      </c>
      <c r="J124" s="1" t="s">
        <v>39</v>
      </c>
      <c r="K124" s="1" t="s">
        <v>24</v>
      </c>
      <c r="L124" s="1">
        <v>56</v>
      </c>
      <c r="M124" s="1">
        <v>14</v>
      </c>
      <c r="N124" s="1" t="s">
        <v>44</v>
      </c>
      <c r="O124" s="1">
        <v>2</v>
      </c>
      <c r="P124" s="1">
        <v>1</v>
      </c>
      <c r="Q124" s="1">
        <v>2</v>
      </c>
      <c r="R124" s="1">
        <v>4963</v>
      </c>
      <c r="S124" s="1">
        <v>7</v>
      </c>
      <c r="T124" s="1">
        <v>3</v>
      </c>
      <c r="U124" s="1">
        <v>5</v>
      </c>
      <c r="V124" s="1">
        <v>4</v>
      </c>
      <c r="W124" s="1">
        <v>4</v>
      </c>
      <c r="X124" s="1">
        <v>3</v>
      </c>
    </row>
    <row r="125" spans="1:24">
      <c r="A125" s="1">
        <v>124</v>
      </c>
      <c r="B125" s="1" t="s">
        <v>33</v>
      </c>
      <c r="C125" s="1" t="s">
        <v>25</v>
      </c>
      <c r="D125" s="1" t="s">
        <v>35</v>
      </c>
      <c r="E125" s="1" t="s">
        <v>36</v>
      </c>
      <c r="F125" s="1" t="s">
        <v>28</v>
      </c>
      <c r="G125" s="1">
        <v>1</v>
      </c>
      <c r="H125" s="1" t="s">
        <v>37</v>
      </c>
      <c r="I125" s="1" t="s">
        <v>55</v>
      </c>
      <c r="J125" s="1" t="s">
        <v>31</v>
      </c>
      <c r="K125" s="1" t="s">
        <v>33</v>
      </c>
      <c r="L125" s="1">
        <v>51</v>
      </c>
      <c r="M125" s="1">
        <v>6</v>
      </c>
      <c r="N125" s="1" t="s">
        <v>47</v>
      </c>
      <c r="O125" s="1">
        <v>1</v>
      </c>
      <c r="P125" s="1">
        <v>5</v>
      </c>
      <c r="Q125" s="1">
        <v>3</v>
      </c>
      <c r="R125" s="1">
        <v>19537</v>
      </c>
      <c r="S125" s="1">
        <v>23</v>
      </c>
      <c r="T125" s="1">
        <v>3</v>
      </c>
      <c r="U125" s="1">
        <v>20</v>
      </c>
      <c r="V125" s="1">
        <v>18</v>
      </c>
      <c r="W125" s="1">
        <v>15</v>
      </c>
      <c r="X125" s="1">
        <v>15</v>
      </c>
    </row>
    <row r="126" spans="1:24">
      <c r="A126" s="1">
        <v>125</v>
      </c>
      <c r="B126" s="1" t="s">
        <v>24</v>
      </c>
      <c r="C126" s="1" t="s">
        <v>25</v>
      </c>
      <c r="D126" s="1" t="s">
        <v>43</v>
      </c>
      <c r="E126" s="1" t="s">
        <v>27</v>
      </c>
      <c r="F126" s="1" t="s">
        <v>28</v>
      </c>
      <c r="G126" s="1">
        <v>1</v>
      </c>
      <c r="H126" s="1" t="s">
        <v>37</v>
      </c>
      <c r="I126" s="1" t="s">
        <v>30</v>
      </c>
      <c r="J126" s="1" t="s">
        <v>39</v>
      </c>
      <c r="K126" s="1" t="s">
        <v>24</v>
      </c>
      <c r="L126" s="1">
        <v>31</v>
      </c>
      <c r="M126" s="1">
        <v>6</v>
      </c>
      <c r="N126" s="1" t="s">
        <v>44</v>
      </c>
      <c r="O126" s="1">
        <v>2</v>
      </c>
      <c r="P126" s="1">
        <v>2</v>
      </c>
      <c r="Q126" s="1">
        <v>3</v>
      </c>
      <c r="R126" s="1">
        <v>6172</v>
      </c>
      <c r="S126" s="1">
        <v>12</v>
      </c>
      <c r="T126" s="1">
        <v>2</v>
      </c>
      <c r="U126" s="1">
        <v>7</v>
      </c>
      <c r="V126" s="1">
        <v>7</v>
      </c>
      <c r="W126" s="1">
        <v>7</v>
      </c>
      <c r="X126" s="1">
        <v>7</v>
      </c>
    </row>
    <row r="127" spans="1:24">
      <c r="A127" s="1">
        <v>126</v>
      </c>
      <c r="B127" s="1" t="s">
        <v>33</v>
      </c>
      <c r="C127" s="1" t="s">
        <v>25</v>
      </c>
      <c r="D127" s="1" t="s">
        <v>43</v>
      </c>
      <c r="E127" s="1" t="s">
        <v>36</v>
      </c>
      <c r="F127" s="1" t="s">
        <v>41</v>
      </c>
      <c r="G127" s="1">
        <v>1</v>
      </c>
      <c r="H127" s="1" t="s">
        <v>29</v>
      </c>
      <c r="I127" s="1" t="s">
        <v>38</v>
      </c>
      <c r="J127" s="1" t="s">
        <v>39</v>
      </c>
      <c r="K127" s="1" t="s">
        <v>33</v>
      </c>
      <c r="L127" s="1">
        <v>26</v>
      </c>
      <c r="M127" s="1">
        <v>6</v>
      </c>
      <c r="N127" s="1" t="s">
        <v>47</v>
      </c>
      <c r="O127" s="1">
        <v>3</v>
      </c>
      <c r="P127" s="1">
        <v>1</v>
      </c>
      <c r="Q127" s="1">
        <v>2</v>
      </c>
      <c r="R127" s="1">
        <v>2368</v>
      </c>
      <c r="S127" s="1">
        <v>5</v>
      </c>
      <c r="T127" s="1">
        <v>2</v>
      </c>
      <c r="U127" s="1">
        <v>5</v>
      </c>
      <c r="V127" s="1">
        <v>4</v>
      </c>
      <c r="W127" s="1">
        <v>4</v>
      </c>
      <c r="X127" s="1">
        <v>3</v>
      </c>
    </row>
    <row r="128" spans="1:24">
      <c r="A128" s="1">
        <v>127</v>
      </c>
      <c r="B128" s="1" t="s">
        <v>24</v>
      </c>
      <c r="C128" s="1" t="s">
        <v>25</v>
      </c>
      <c r="D128" s="1" t="s">
        <v>46</v>
      </c>
      <c r="E128" s="1" t="s">
        <v>36</v>
      </c>
      <c r="F128" s="1" t="s">
        <v>45</v>
      </c>
      <c r="G128" s="1">
        <v>1</v>
      </c>
      <c r="H128" s="1" t="s">
        <v>29</v>
      </c>
      <c r="I128" s="1" t="s">
        <v>50</v>
      </c>
      <c r="J128" s="1" t="s">
        <v>39</v>
      </c>
      <c r="K128" s="1" t="s">
        <v>33</v>
      </c>
      <c r="L128" s="1">
        <v>58</v>
      </c>
      <c r="M128" s="1">
        <v>23</v>
      </c>
      <c r="N128" s="1" t="s">
        <v>44</v>
      </c>
      <c r="O128" s="1">
        <v>4</v>
      </c>
      <c r="P128" s="1">
        <v>3</v>
      </c>
      <c r="Q128" s="1">
        <v>4</v>
      </c>
      <c r="R128" s="1">
        <v>10312</v>
      </c>
      <c r="S128" s="1">
        <v>40</v>
      </c>
      <c r="T128" s="1">
        <v>2</v>
      </c>
      <c r="U128" s="1">
        <v>40</v>
      </c>
      <c r="V128" s="1">
        <v>10</v>
      </c>
      <c r="W128" s="1">
        <v>15</v>
      </c>
      <c r="X128" s="1">
        <v>6</v>
      </c>
    </row>
    <row r="129" spans="1:24">
      <c r="A129" s="1">
        <v>128</v>
      </c>
      <c r="B129" s="1" t="s">
        <v>24</v>
      </c>
      <c r="C129" s="1" t="s">
        <v>25</v>
      </c>
      <c r="D129" s="1" t="s">
        <v>52</v>
      </c>
      <c r="E129" s="1" t="s">
        <v>27</v>
      </c>
      <c r="F129" s="1" t="s">
        <v>56</v>
      </c>
      <c r="G129" s="1">
        <v>1</v>
      </c>
      <c r="H129" s="1" t="s">
        <v>37</v>
      </c>
      <c r="I129" s="1" t="s">
        <v>54</v>
      </c>
      <c r="J129" s="1" t="s">
        <v>31</v>
      </c>
      <c r="K129" s="1" t="s">
        <v>24</v>
      </c>
      <c r="L129" s="1">
        <v>19</v>
      </c>
      <c r="M129" s="1">
        <v>22</v>
      </c>
      <c r="N129" s="1" t="s">
        <v>40</v>
      </c>
      <c r="O129" s="1">
        <v>4</v>
      </c>
      <c r="P129" s="1">
        <v>1</v>
      </c>
      <c r="Q129" s="1">
        <v>3</v>
      </c>
      <c r="R129" s="1">
        <v>1675</v>
      </c>
      <c r="S129" s="1">
        <v>0</v>
      </c>
      <c r="T129" s="1">
        <v>2</v>
      </c>
      <c r="U129" s="1">
        <v>0</v>
      </c>
      <c r="V129" s="1">
        <v>0</v>
      </c>
      <c r="W129" s="1">
        <v>0</v>
      </c>
      <c r="X129" s="1">
        <v>0</v>
      </c>
    </row>
    <row r="130" spans="1:24">
      <c r="A130" s="1">
        <v>129</v>
      </c>
      <c r="B130" s="1" t="s">
        <v>33</v>
      </c>
      <c r="C130" s="1" t="s">
        <v>25</v>
      </c>
      <c r="D130" s="1" t="s">
        <v>52</v>
      </c>
      <c r="E130" s="1" t="s">
        <v>36</v>
      </c>
      <c r="F130" s="1" t="s">
        <v>57</v>
      </c>
      <c r="G130" s="1">
        <v>1</v>
      </c>
      <c r="H130" s="1" t="s">
        <v>37</v>
      </c>
      <c r="I130" s="1" t="s">
        <v>42</v>
      </c>
      <c r="J130" s="1" t="s">
        <v>39</v>
      </c>
      <c r="K130" s="1" t="s">
        <v>33</v>
      </c>
      <c r="L130" s="1">
        <v>22</v>
      </c>
      <c r="M130" s="1">
        <v>2</v>
      </c>
      <c r="N130" s="1" t="s">
        <v>40</v>
      </c>
      <c r="O130" s="1">
        <v>3</v>
      </c>
      <c r="P130" s="1">
        <v>1</v>
      </c>
      <c r="Q130" s="1">
        <v>4</v>
      </c>
      <c r="R130" s="1">
        <v>2523</v>
      </c>
      <c r="S130" s="1">
        <v>3</v>
      </c>
      <c r="T130" s="1">
        <v>3</v>
      </c>
      <c r="U130" s="1">
        <v>2</v>
      </c>
      <c r="V130" s="1">
        <v>1</v>
      </c>
      <c r="W130" s="1">
        <v>2</v>
      </c>
      <c r="X130" s="1">
        <v>1</v>
      </c>
    </row>
    <row r="131" spans="1:24">
      <c r="A131" s="1">
        <v>130</v>
      </c>
      <c r="B131" s="1" t="s">
        <v>33</v>
      </c>
      <c r="C131" s="1" t="s">
        <v>25</v>
      </c>
      <c r="D131" s="1" t="s">
        <v>35</v>
      </c>
      <c r="E131" s="1" t="s">
        <v>36</v>
      </c>
      <c r="F131" s="1" t="s">
        <v>45</v>
      </c>
      <c r="G131" s="1">
        <v>1</v>
      </c>
      <c r="H131" s="1" t="s">
        <v>29</v>
      </c>
      <c r="I131" s="1" t="s">
        <v>49</v>
      </c>
      <c r="J131" s="1" t="s">
        <v>39</v>
      </c>
      <c r="K131" s="1" t="s">
        <v>33</v>
      </c>
      <c r="L131" s="1">
        <v>49</v>
      </c>
      <c r="M131" s="1">
        <v>20</v>
      </c>
      <c r="N131" s="1" t="s">
        <v>44</v>
      </c>
      <c r="O131" s="1">
        <v>3</v>
      </c>
      <c r="P131" s="1">
        <v>2</v>
      </c>
      <c r="Q131" s="1">
        <v>1</v>
      </c>
      <c r="R131" s="1">
        <v>6567</v>
      </c>
      <c r="S131" s="1">
        <v>16</v>
      </c>
      <c r="T131" s="1">
        <v>2</v>
      </c>
      <c r="U131" s="1">
        <v>15</v>
      </c>
      <c r="V131" s="1">
        <v>11</v>
      </c>
      <c r="W131" s="1">
        <v>5</v>
      </c>
      <c r="X131" s="1">
        <v>11</v>
      </c>
    </row>
    <row r="132" spans="1:24">
      <c r="A132" s="1">
        <v>131</v>
      </c>
      <c r="B132" s="1" t="s">
        <v>33</v>
      </c>
      <c r="C132" s="1" t="s">
        <v>34</v>
      </c>
      <c r="D132" s="1" t="s">
        <v>26</v>
      </c>
      <c r="E132" s="1" t="s">
        <v>36</v>
      </c>
      <c r="F132" s="1" t="s">
        <v>45</v>
      </c>
      <c r="G132" s="1">
        <v>1</v>
      </c>
      <c r="H132" s="1" t="s">
        <v>29</v>
      </c>
      <c r="I132" s="1" t="s">
        <v>38</v>
      </c>
      <c r="J132" s="1" t="s">
        <v>31</v>
      </c>
      <c r="K132" s="1" t="s">
        <v>33</v>
      </c>
      <c r="L132" s="1">
        <v>43</v>
      </c>
      <c r="M132" s="1">
        <v>28</v>
      </c>
      <c r="N132" s="1" t="s">
        <v>47</v>
      </c>
      <c r="O132" s="1">
        <v>2</v>
      </c>
      <c r="P132" s="1">
        <v>1</v>
      </c>
      <c r="Q132" s="1">
        <v>3</v>
      </c>
      <c r="R132" s="1">
        <v>4739</v>
      </c>
      <c r="S132" s="1">
        <v>18</v>
      </c>
      <c r="T132" s="1">
        <v>3</v>
      </c>
      <c r="U132" s="1">
        <v>3</v>
      </c>
      <c r="V132" s="1">
        <v>2</v>
      </c>
      <c r="W132" s="1">
        <v>1</v>
      </c>
      <c r="X132" s="1">
        <v>2</v>
      </c>
    </row>
    <row r="133" spans="1:24">
      <c r="A133" s="1">
        <v>132</v>
      </c>
      <c r="B133" s="1" t="s">
        <v>33</v>
      </c>
      <c r="C133" s="1" t="s">
        <v>34</v>
      </c>
      <c r="D133" s="1" t="s">
        <v>35</v>
      </c>
      <c r="E133" s="1" t="s">
        <v>27</v>
      </c>
      <c r="F133" s="1" t="s">
        <v>56</v>
      </c>
      <c r="G133" s="1">
        <v>1</v>
      </c>
      <c r="H133" s="1" t="s">
        <v>29</v>
      </c>
      <c r="I133" s="1" t="s">
        <v>30</v>
      </c>
      <c r="J133" s="1" t="s">
        <v>31</v>
      </c>
      <c r="K133" s="1" t="s">
        <v>33</v>
      </c>
      <c r="L133" s="1">
        <v>50</v>
      </c>
      <c r="M133" s="1">
        <v>12</v>
      </c>
      <c r="N133" s="1" t="s">
        <v>47</v>
      </c>
      <c r="O133" s="1">
        <v>3</v>
      </c>
      <c r="P133" s="1">
        <v>3</v>
      </c>
      <c r="Q133" s="1">
        <v>4</v>
      </c>
      <c r="R133" s="1">
        <v>9208</v>
      </c>
      <c r="S133" s="1">
        <v>16</v>
      </c>
      <c r="T133" s="1">
        <v>3</v>
      </c>
      <c r="U133" s="1">
        <v>2</v>
      </c>
      <c r="V133" s="1">
        <v>2</v>
      </c>
      <c r="W133" s="1">
        <v>2</v>
      </c>
      <c r="X133" s="1">
        <v>1</v>
      </c>
    </row>
    <row r="134" spans="1:24">
      <c r="A134" s="1">
        <v>133</v>
      </c>
      <c r="B134" s="1" t="s">
        <v>24</v>
      </c>
      <c r="C134" s="1" t="s">
        <v>25</v>
      </c>
      <c r="D134" s="1" t="s">
        <v>43</v>
      </c>
      <c r="E134" s="1" t="s">
        <v>27</v>
      </c>
      <c r="F134" s="1" t="s">
        <v>28</v>
      </c>
      <c r="G134" s="1">
        <v>1</v>
      </c>
      <c r="H134" s="1" t="s">
        <v>29</v>
      </c>
      <c r="I134" s="1" t="s">
        <v>30</v>
      </c>
      <c r="J134" s="1" t="s">
        <v>39</v>
      </c>
      <c r="K134" s="1" t="s">
        <v>24</v>
      </c>
      <c r="L134" s="1">
        <v>31</v>
      </c>
      <c r="M134" s="1">
        <v>20</v>
      </c>
      <c r="N134" s="1" t="s">
        <v>47</v>
      </c>
      <c r="O134" s="1">
        <v>2</v>
      </c>
      <c r="P134" s="1">
        <v>2</v>
      </c>
      <c r="Q134" s="1">
        <v>3</v>
      </c>
      <c r="R134" s="1">
        <v>4559</v>
      </c>
      <c r="S134" s="1">
        <v>4</v>
      </c>
      <c r="T134" s="1">
        <v>3</v>
      </c>
      <c r="U134" s="1">
        <v>2</v>
      </c>
      <c r="V134" s="1">
        <v>2</v>
      </c>
      <c r="W134" s="1">
        <v>2</v>
      </c>
      <c r="X134" s="1">
        <v>2</v>
      </c>
    </row>
    <row r="135" spans="1:24">
      <c r="A135" s="1">
        <v>134</v>
      </c>
      <c r="B135" s="1" t="s">
        <v>33</v>
      </c>
      <c r="C135" s="1" t="s">
        <v>25</v>
      </c>
      <c r="D135" s="1" t="s">
        <v>26</v>
      </c>
      <c r="E135" s="1" t="s">
        <v>27</v>
      </c>
      <c r="F135" s="1" t="s">
        <v>28</v>
      </c>
      <c r="G135" s="1">
        <v>1</v>
      </c>
      <c r="H135" s="1" t="s">
        <v>37</v>
      </c>
      <c r="I135" s="1" t="s">
        <v>30</v>
      </c>
      <c r="J135" s="1" t="s">
        <v>48</v>
      </c>
      <c r="K135" s="1" t="s">
        <v>24</v>
      </c>
      <c r="L135" s="1">
        <v>41</v>
      </c>
      <c r="M135" s="1">
        <v>9</v>
      </c>
      <c r="N135" s="1" t="s">
        <v>40</v>
      </c>
      <c r="O135" s="1">
        <v>3</v>
      </c>
      <c r="P135" s="1">
        <v>3</v>
      </c>
      <c r="Q135" s="1">
        <v>3</v>
      </c>
      <c r="R135" s="1">
        <v>8189</v>
      </c>
      <c r="S135" s="1">
        <v>12</v>
      </c>
      <c r="T135" s="1">
        <v>3</v>
      </c>
      <c r="U135" s="1">
        <v>9</v>
      </c>
      <c r="V135" s="1">
        <v>7</v>
      </c>
      <c r="W135" s="1">
        <v>0</v>
      </c>
      <c r="X135" s="1">
        <v>7</v>
      </c>
    </row>
    <row r="136" spans="1:24">
      <c r="A136" s="1">
        <v>135</v>
      </c>
      <c r="B136" s="1" t="s">
        <v>33</v>
      </c>
      <c r="C136" s="1" t="s">
        <v>25</v>
      </c>
      <c r="D136" s="1" t="s">
        <v>43</v>
      </c>
      <c r="E136" s="1" t="s">
        <v>59</v>
      </c>
      <c r="F136" s="1" t="s">
        <v>28</v>
      </c>
      <c r="G136" s="1">
        <v>1</v>
      </c>
      <c r="H136" s="1" t="s">
        <v>29</v>
      </c>
      <c r="I136" s="1" t="s">
        <v>60</v>
      </c>
      <c r="J136" s="1" t="s">
        <v>39</v>
      </c>
      <c r="K136" s="1" t="s">
        <v>33</v>
      </c>
      <c r="L136" s="1">
        <v>26</v>
      </c>
      <c r="M136" s="1">
        <v>25</v>
      </c>
      <c r="N136" s="1" t="s">
        <v>40</v>
      </c>
      <c r="O136" s="1">
        <v>3</v>
      </c>
      <c r="P136" s="1">
        <v>1</v>
      </c>
      <c r="Q136" s="1">
        <v>3</v>
      </c>
      <c r="R136" s="1">
        <v>2942</v>
      </c>
      <c r="S136" s="1">
        <v>8</v>
      </c>
      <c r="T136" s="1">
        <v>3</v>
      </c>
      <c r="U136" s="1">
        <v>8</v>
      </c>
      <c r="V136" s="1">
        <v>7</v>
      </c>
      <c r="W136" s="1">
        <v>5</v>
      </c>
      <c r="X136" s="1">
        <v>7</v>
      </c>
    </row>
    <row r="137" spans="1:24">
      <c r="A137" s="1">
        <v>136</v>
      </c>
      <c r="B137" s="1" t="s">
        <v>33</v>
      </c>
      <c r="C137" s="1" t="s">
        <v>25</v>
      </c>
      <c r="D137" s="1" t="s">
        <v>26</v>
      </c>
      <c r="E137" s="1" t="s">
        <v>36</v>
      </c>
      <c r="F137" s="1" t="s">
        <v>45</v>
      </c>
      <c r="G137" s="1">
        <v>1</v>
      </c>
      <c r="H137" s="1" t="s">
        <v>37</v>
      </c>
      <c r="I137" s="1" t="s">
        <v>49</v>
      </c>
      <c r="J137" s="1" t="s">
        <v>48</v>
      </c>
      <c r="K137" s="1" t="s">
        <v>33</v>
      </c>
      <c r="L137" s="1">
        <v>36</v>
      </c>
      <c r="M137" s="1">
        <v>6</v>
      </c>
      <c r="N137" s="1" t="s">
        <v>32</v>
      </c>
      <c r="O137" s="1">
        <v>2</v>
      </c>
      <c r="P137" s="1">
        <v>2</v>
      </c>
      <c r="Q137" s="1">
        <v>2</v>
      </c>
      <c r="R137" s="1">
        <v>4941</v>
      </c>
      <c r="S137" s="1">
        <v>7</v>
      </c>
      <c r="T137" s="1">
        <v>3</v>
      </c>
      <c r="U137" s="1">
        <v>3</v>
      </c>
      <c r="V137" s="1">
        <v>2</v>
      </c>
      <c r="W137" s="1">
        <v>0</v>
      </c>
      <c r="X137" s="1">
        <v>1</v>
      </c>
    </row>
    <row r="138" spans="1:24">
      <c r="A138" s="1">
        <v>137</v>
      </c>
      <c r="B138" s="1" t="s">
        <v>24</v>
      </c>
      <c r="C138" s="1" t="s">
        <v>34</v>
      </c>
      <c r="D138" s="1" t="s">
        <v>35</v>
      </c>
      <c r="E138" s="1" t="s">
        <v>36</v>
      </c>
      <c r="F138" s="1" t="s">
        <v>28</v>
      </c>
      <c r="G138" s="1">
        <v>1</v>
      </c>
      <c r="H138" s="1" t="s">
        <v>37</v>
      </c>
      <c r="I138" s="1" t="s">
        <v>49</v>
      </c>
      <c r="J138" s="1" t="s">
        <v>31</v>
      </c>
      <c r="K138" s="1" t="s">
        <v>33</v>
      </c>
      <c r="L138" s="1">
        <v>51</v>
      </c>
      <c r="M138" s="1">
        <v>8</v>
      </c>
      <c r="N138" s="1" t="s">
        <v>44</v>
      </c>
      <c r="O138" s="1">
        <v>1</v>
      </c>
      <c r="P138" s="1">
        <v>3</v>
      </c>
      <c r="Q138" s="1">
        <v>4</v>
      </c>
      <c r="R138" s="1">
        <v>10650</v>
      </c>
      <c r="S138" s="1">
        <v>18</v>
      </c>
      <c r="T138" s="1">
        <v>3</v>
      </c>
      <c r="U138" s="1">
        <v>4</v>
      </c>
      <c r="V138" s="1">
        <v>2</v>
      </c>
      <c r="W138" s="1">
        <v>0</v>
      </c>
      <c r="X138" s="1">
        <v>3</v>
      </c>
    </row>
    <row r="139" spans="1:24">
      <c r="A139" s="1">
        <v>138</v>
      </c>
      <c r="B139" s="1" t="s">
        <v>33</v>
      </c>
      <c r="C139" s="1" t="s">
        <v>25</v>
      </c>
      <c r="D139" s="1" t="s">
        <v>26</v>
      </c>
      <c r="E139" s="1" t="s">
        <v>27</v>
      </c>
      <c r="F139" s="1" t="s">
        <v>28</v>
      </c>
      <c r="G139" s="1">
        <v>1</v>
      </c>
      <c r="H139" s="1" t="s">
        <v>29</v>
      </c>
      <c r="I139" s="1" t="s">
        <v>30</v>
      </c>
      <c r="J139" s="1" t="s">
        <v>39</v>
      </c>
      <c r="K139" s="1" t="s">
        <v>33</v>
      </c>
      <c r="L139" s="1">
        <v>39</v>
      </c>
      <c r="M139" s="1">
        <v>4</v>
      </c>
      <c r="N139" s="1" t="s">
        <v>44</v>
      </c>
      <c r="O139" s="1">
        <v>4</v>
      </c>
      <c r="P139" s="1">
        <v>2</v>
      </c>
      <c r="Q139" s="1">
        <v>3</v>
      </c>
      <c r="R139" s="1">
        <v>5902</v>
      </c>
      <c r="S139" s="1">
        <v>17</v>
      </c>
      <c r="T139" s="1">
        <v>4</v>
      </c>
      <c r="U139" s="1">
        <v>15</v>
      </c>
      <c r="V139" s="1">
        <v>11</v>
      </c>
      <c r="W139" s="1">
        <v>5</v>
      </c>
      <c r="X139" s="1">
        <v>9</v>
      </c>
    </row>
    <row r="140" spans="1:24">
      <c r="A140" s="1">
        <v>139</v>
      </c>
      <c r="B140" s="1" t="s">
        <v>33</v>
      </c>
      <c r="C140" s="1" t="s">
        <v>25</v>
      </c>
      <c r="D140" s="1" t="s">
        <v>43</v>
      </c>
      <c r="E140" s="1" t="s">
        <v>27</v>
      </c>
      <c r="F140" s="1" t="s">
        <v>28</v>
      </c>
      <c r="G140" s="1">
        <v>1</v>
      </c>
      <c r="H140" s="1" t="s">
        <v>37</v>
      </c>
      <c r="I140" s="1" t="s">
        <v>30</v>
      </c>
      <c r="J140" s="1" t="s">
        <v>39</v>
      </c>
      <c r="K140" s="1" t="s">
        <v>33</v>
      </c>
      <c r="L140" s="1">
        <v>25</v>
      </c>
      <c r="M140" s="1">
        <v>28</v>
      </c>
      <c r="N140" s="1" t="s">
        <v>47</v>
      </c>
      <c r="O140" s="1">
        <v>1</v>
      </c>
      <c r="P140" s="1">
        <v>2</v>
      </c>
      <c r="Q140" s="1">
        <v>3</v>
      </c>
      <c r="R140" s="1">
        <v>8639</v>
      </c>
      <c r="S140" s="1">
        <v>6</v>
      </c>
      <c r="T140" s="1">
        <v>3</v>
      </c>
      <c r="U140" s="1">
        <v>2</v>
      </c>
      <c r="V140" s="1">
        <v>2</v>
      </c>
      <c r="W140" s="1">
        <v>2</v>
      </c>
      <c r="X140" s="1">
        <v>2</v>
      </c>
    </row>
    <row r="141" spans="1:24">
      <c r="A141" s="1">
        <v>140</v>
      </c>
      <c r="B141" s="1" t="s">
        <v>33</v>
      </c>
      <c r="C141" s="1" t="s">
        <v>25</v>
      </c>
      <c r="D141" s="1" t="s">
        <v>43</v>
      </c>
      <c r="E141" s="1" t="s">
        <v>59</v>
      </c>
      <c r="F141" s="1" t="s">
        <v>60</v>
      </c>
      <c r="G141" s="1">
        <v>1</v>
      </c>
      <c r="H141" s="1" t="s">
        <v>37</v>
      </c>
      <c r="I141" s="1" t="s">
        <v>60</v>
      </c>
      <c r="J141" s="1" t="s">
        <v>39</v>
      </c>
      <c r="K141" s="1" t="s">
        <v>24</v>
      </c>
      <c r="L141" s="1">
        <v>30</v>
      </c>
      <c r="M141" s="1">
        <v>9</v>
      </c>
      <c r="N141" s="1" t="s">
        <v>47</v>
      </c>
      <c r="O141" s="1">
        <v>3</v>
      </c>
      <c r="P141" s="1">
        <v>2</v>
      </c>
      <c r="Q141" s="1">
        <v>4</v>
      </c>
      <c r="R141" s="1">
        <v>6347</v>
      </c>
      <c r="S141" s="1">
        <v>12</v>
      </c>
      <c r="T141" s="1">
        <v>1</v>
      </c>
      <c r="U141" s="1">
        <v>11</v>
      </c>
      <c r="V141" s="1">
        <v>9</v>
      </c>
      <c r="W141" s="1">
        <v>4</v>
      </c>
      <c r="X141" s="1">
        <v>7</v>
      </c>
    </row>
    <row r="142" spans="1:24">
      <c r="A142" s="1">
        <v>141</v>
      </c>
      <c r="B142" s="1" t="s">
        <v>24</v>
      </c>
      <c r="C142" s="1" t="s">
        <v>25</v>
      </c>
      <c r="D142" s="1" t="s">
        <v>43</v>
      </c>
      <c r="E142" s="1" t="s">
        <v>36</v>
      </c>
      <c r="F142" s="1" t="s">
        <v>45</v>
      </c>
      <c r="G142" s="1">
        <v>1</v>
      </c>
      <c r="H142" s="1" t="s">
        <v>29</v>
      </c>
      <c r="I142" s="1" t="s">
        <v>42</v>
      </c>
      <c r="J142" s="1" t="s">
        <v>31</v>
      </c>
      <c r="K142" s="1" t="s">
        <v>33</v>
      </c>
      <c r="L142" s="1">
        <v>32</v>
      </c>
      <c r="M142" s="1">
        <v>9</v>
      </c>
      <c r="N142" s="1" t="s">
        <v>47</v>
      </c>
      <c r="O142" s="1">
        <v>1</v>
      </c>
      <c r="P142" s="1">
        <v>1</v>
      </c>
      <c r="Q142" s="1">
        <v>1</v>
      </c>
      <c r="R142" s="1">
        <v>4200</v>
      </c>
      <c r="S142" s="1">
        <v>10</v>
      </c>
      <c r="T142" s="1">
        <v>4</v>
      </c>
      <c r="U142" s="1">
        <v>5</v>
      </c>
      <c r="V142" s="1">
        <v>4</v>
      </c>
      <c r="W142" s="1">
        <v>0</v>
      </c>
      <c r="X142" s="1">
        <v>4</v>
      </c>
    </row>
    <row r="143" spans="1:24">
      <c r="A143" s="1">
        <v>142</v>
      </c>
      <c r="B143" s="1" t="s">
        <v>33</v>
      </c>
      <c r="C143" s="1" t="s">
        <v>25</v>
      </c>
      <c r="D143" s="1" t="s">
        <v>35</v>
      </c>
      <c r="E143" s="1" t="s">
        <v>36</v>
      </c>
      <c r="F143" s="1" t="s">
        <v>45</v>
      </c>
      <c r="G143" s="1">
        <v>1</v>
      </c>
      <c r="H143" s="1" t="s">
        <v>37</v>
      </c>
      <c r="I143" s="1" t="s">
        <v>38</v>
      </c>
      <c r="J143" s="1" t="s">
        <v>31</v>
      </c>
      <c r="K143" s="1" t="s">
        <v>33</v>
      </c>
      <c r="L143" s="1">
        <v>45</v>
      </c>
      <c r="M143" s="1">
        <v>29</v>
      </c>
      <c r="N143" s="1" t="s">
        <v>47</v>
      </c>
      <c r="O143" s="1">
        <v>3</v>
      </c>
      <c r="P143" s="1">
        <v>1</v>
      </c>
      <c r="Q143" s="1">
        <v>4</v>
      </c>
      <c r="R143" s="1">
        <v>3452</v>
      </c>
      <c r="S143" s="1">
        <v>9</v>
      </c>
      <c r="T143" s="1">
        <v>2</v>
      </c>
      <c r="U143" s="1">
        <v>6</v>
      </c>
      <c r="V143" s="1">
        <v>5</v>
      </c>
      <c r="W143" s="1">
        <v>0</v>
      </c>
      <c r="X143" s="1">
        <v>3</v>
      </c>
    </row>
    <row r="144" spans="1:24">
      <c r="A144" s="1">
        <v>143</v>
      </c>
      <c r="B144" s="1" t="s">
        <v>33</v>
      </c>
      <c r="C144" s="1" t="s">
        <v>25</v>
      </c>
      <c r="D144" s="1" t="s">
        <v>26</v>
      </c>
      <c r="E144" s="1" t="s">
        <v>36</v>
      </c>
      <c r="F144" s="1" t="s">
        <v>57</v>
      </c>
      <c r="G144" s="1">
        <v>1</v>
      </c>
      <c r="H144" s="1" t="s">
        <v>29</v>
      </c>
      <c r="I144" s="1" t="s">
        <v>38</v>
      </c>
      <c r="J144" s="1" t="s">
        <v>31</v>
      </c>
      <c r="K144" s="1" t="s">
        <v>24</v>
      </c>
      <c r="L144" s="1">
        <v>38</v>
      </c>
      <c r="M144" s="1">
        <v>3</v>
      </c>
      <c r="N144" s="1" t="s">
        <v>58</v>
      </c>
      <c r="O144" s="1">
        <v>4</v>
      </c>
      <c r="P144" s="1">
        <v>2</v>
      </c>
      <c r="Q144" s="1">
        <v>3</v>
      </c>
      <c r="R144" s="1">
        <v>4317</v>
      </c>
      <c r="S144" s="1">
        <v>19</v>
      </c>
      <c r="T144" s="1">
        <v>3</v>
      </c>
      <c r="U144" s="1">
        <v>3</v>
      </c>
      <c r="V144" s="1">
        <v>2</v>
      </c>
      <c r="W144" s="1">
        <v>2</v>
      </c>
      <c r="X144" s="1">
        <v>2</v>
      </c>
    </row>
    <row r="145" spans="1:24">
      <c r="A145" s="1">
        <v>144</v>
      </c>
      <c r="B145" s="1" t="s">
        <v>33</v>
      </c>
      <c r="C145" s="1" t="s">
        <v>25</v>
      </c>
      <c r="D145" s="1" t="s">
        <v>43</v>
      </c>
      <c r="E145" s="1" t="s">
        <v>36</v>
      </c>
      <c r="F145" s="1" t="s">
        <v>28</v>
      </c>
      <c r="G145" s="1">
        <v>1</v>
      </c>
      <c r="H145" s="1" t="s">
        <v>29</v>
      </c>
      <c r="I145" s="1" t="s">
        <v>38</v>
      </c>
      <c r="J145" s="1" t="s">
        <v>31</v>
      </c>
      <c r="K145" s="1" t="s">
        <v>33</v>
      </c>
      <c r="L145" s="1">
        <v>30</v>
      </c>
      <c r="M145" s="1">
        <v>18</v>
      </c>
      <c r="N145" s="1" t="s">
        <v>47</v>
      </c>
      <c r="O145" s="1">
        <v>1</v>
      </c>
      <c r="P145" s="1">
        <v>1</v>
      </c>
      <c r="Q145" s="1">
        <v>3</v>
      </c>
      <c r="R145" s="1">
        <v>2632</v>
      </c>
      <c r="S145" s="1">
        <v>5</v>
      </c>
      <c r="T145" s="1">
        <v>2</v>
      </c>
      <c r="U145" s="1">
        <v>5</v>
      </c>
      <c r="V145" s="1">
        <v>4</v>
      </c>
      <c r="W145" s="1">
        <v>0</v>
      </c>
      <c r="X145" s="1">
        <v>4</v>
      </c>
    </row>
    <row r="146" spans="1:24">
      <c r="A146" s="1">
        <v>145</v>
      </c>
      <c r="B146" s="1" t="s">
        <v>33</v>
      </c>
      <c r="C146" s="1" t="s">
        <v>34</v>
      </c>
      <c r="D146" s="1" t="s">
        <v>43</v>
      </c>
      <c r="E146" s="1" t="s">
        <v>27</v>
      </c>
      <c r="F146" s="1" t="s">
        <v>45</v>
      </c>
      <c r="G146" s="1">
        <v>1</v>
      </c>
      <c r="H146" s="1" t="s">
        <v>37</v>
      </c>
      <c r="I146" s="1" t="s">
        <v>30</v>
      </c>
      <c r="J146" s="1" t="s">
        <v>48</v>
      </c>
      <c r="K146" s="1" t="s">
        <v>33</v>
      </c>
      <c r="L146" s="1">
        <v>32</v>
      </c>
      <c r="M146" s="1">
        <v>9</v>
      </c>
      <c r="N146" s="1" t="s">
        <v>32</v>
      </c>
      <c r="O146" s="1">
        <v>4</v>
      </c>
      <c r="P146" s="1">
        <v>2</v>
      </c>
      <c r="Q146" s="1">
        <v>4</v>
      </c>
      <c r="R146" s="1">
        <v>4668</v>
      </c>
      <c r="S146" s="1">
        <v>9</v>
      </c>
      <c r="T146" s="1">
        <v>4</v>
      </c>
      <c r="U146" s="1">
        <v>8</v>
      </c>
      <c r="V146" s="1">
        <v>7</v>
      </c>
      <c r="W146" s="1">
        <v>0</v>
      </c>
      <c r="X146" s="1">
        <v>7</v>
      </c>
    </row>
    <row r="147" spans="1:24">
      <c r="A147" s="1">
        <v>146</v>
      </c>
      <c r="B147" s="1" t="s">
        <v>33</v>
      </c>
      <c r="C147" s="1" t="s">
        <v>25</v>
      </c>
      <c r="D147" s="1" t="s">
        <v>43</v>
      </c>
      <c r="E147" s="1" t="s">
        <v>36</v>
      </c>
      <c r="F147" s="1" t="s">
        <v>57</v>
      </c>
      <c r="G147" s="1">
        <v>1</v>
      </c>
      <c r="H147" s="1" t="s">
        <v>29</v>
      </c>
      <c r="I147" s="1" t="s">
        <v>38</v>
      </c>
      <c r="J147" s="1" t="s">
        <v>48</v>
      </c>
      <c r="K147" s="1" t="s">
        <v>33</v>
      </c>
      <c r="L147" s="1">
        <v>30</v>
      </c>
      <c r="M147" s="1">
        <v>5</v>
      </c>
      <c r="N147" s="1" t="s">
        <v>47</v>
      </c>
      <c r="O147" s="1">
        <v>4</v>
      </c>
      <c r="P147" s="1">
        <v>1</v>
      </c>
      <c r="Q147" s="1">
        <v>1</v>
      </c>
      <c r="R147" s="1">
        <v>3204</v>
      </c>
      <c r="S147" s="1">
        <v>8</v>
      </c>
      <c r="T147" s="1">
        <v>3</v>
      </c>
      <c r="U147" s="1">
        <v>3</v>
      </c>
      <c r="V147" s="1">
        <v>2</v>
      </c>
      <c r="W147" s="1">
        <v>2</v>
      </c>
      <c r="X147" s="1">
        <v>2</v>
      </c>
    </row>
    <row r="148" spans="1:24">
      <c r="A148" s="1">
        <v>147</v>
      </c>
      <c r="B148" s="1" t="s">
        <v>33</v>
      </c>
      <c r="C148" s="1" t="s">
        <v>25</v>
      </c>
      <c r="D148" s="1" t="s">
        <v>43</v>
      </c>
      <c r="E148" s="1" t="s">
        <v>36</v>
      </c>
      <c r="F148" s="1" t="s">
        <v>45</v>
      </c>
      <c r="G148" s="1">
        <v>1</v>
      </c>
      <c r="H148" s="1" t="s">
        <v>37</v>
      </c>
      <c r="I148" s="1" t="s">
        <v>42</v>
      </c>
      <c r="J148" s="1" t="s">
        <v>31</v>
      </c>
      <c r="K148" s="1" t="s">
        <v>33</v>
      </c>
      <c r="L148" s="1">
        <v>30</v>
      </c>
      <c r="M148" s="1">
        <v>2</v>
      </c>
      <c r="N148" s="1" t="s">
        <v>40</v>
      </c>
      <c r="O148" s="1">
        <v>2</v>
      </c>
      <c r="P148" s="1">
        <v>1</v>
      </c>
      <c r="Q148" s="1">
        <v>4</v>
      </c>
      <c r="R148" s="1">
        <v>2720</v>
      </c>
      <c r="S148" s="1">
        <v>6</v>
      </c>
      <c r="T148" s="1">
        <v>3</v>
      </c>
      <c r="U148" s="1">
        <v>5</v>
      </c>
      <c r="V148" s="1">
        <v>3</v>
      </c>
      <c r="W148" s="1">
        <v>1</v>
      </c>
      <c r="X148" s="1">
        <v>2</v>
      </c>
    </row>
    <row r="149" spans="1:24">
      <c r="A149" s="1">
        <v>148</v>
      </c>
      <c r="B149" s="1" t="s">
        <v>33</v>
      </c>
      <c r="C149" s="1" t="s">
        <v>34</v>
      </c>
      <c r="D149" s="1" t="s">
        <v>26</v>
      </c>
      <c r="E149" s="1" t="s">
        <v>36</v>
      </c>
      <c r="F149" s="1" t="s">
        <v>28</v>
      </c>
      <c r="G149" s="1">
        <v>1</v>
      </c>
      <c r="H149" s="1" t="s">
        <v>37</v>
      </c>
      <c r="I149" s="1" t="s">
        <v>53</v>
      </c>
      <c r="J149" s="1" t="s">
        <v>48</v>
      </c>
      <c r="K149" s="1" t="s">
        <v>33</v>
      </c>
      <c r="L149" s="1">
        <v>41</v>
      </c>
      <c r="M149" s="1">
        <v>10</v>
      </c>
      <c r="N149" s="1" t="s">
        <v>47</v>
      </c>
      <c r="O149" s="1">
        <v>4</v>
      </c>
      <c r="P149" s="1">
        <v>4</v>
      </c>
      <c r="Q149" s="1">
        <v>1</v>
      </c>
      <c r="R149" s="1">
        <v>17181</v>
      </c>
      <c r="S149" s="1">
        <v>21</v>
      </c>
      <c r="T149" s="1">
        <v>2</v>
      </c>
      <c r="U149" s="1">
        <v>7</v>
      </c>
      <c r="V149" s="1">
        <v>6</v>
      </c>
      <c r="W149" s="1">
        <v>7</v>
      </c>
      <c r="X149" s="1">
        <v>7</v>
      </c>
    </row>
    <row r="150" spans="1:24">
      <c r="A150" s="1">
        <v>149</v>
      </c>
      <c r="B150" s="1" t="s">
        <v>33</v>
      </c>
      <c r="C150" s="1" t="s">
        <v>25</v>
      </c>
      <c r="D150" s="1" t="s">
        <v>26</v>
      </c>
      <c r="E150" s="1" t="s">
        <v>36</v>
      </c>
      <c r="F150" s="1" t="s">
        <v>28</v>
      </c>
      <c r="G150" s="1">
        <v>1</v>
      </c>
      <c r="H150" s="1" t="s">
        <v>37</v>
      </c>
      <c r="I150" s="1" t="s">
        <v>42</v>
      </c>
      <c r="J150" s="1" t="s">
        <v>39</v>
      </c>
      <c r="K150" s="1" t="s">
        <v>33</v>
      </c>
      <c r="L150" s="1">
        <v>41</v>
      </c>
      <c r="M150" s="1">
        <v>9</v>
      </c>
      <c r="N150" s="1" t="s">
        <v>44</v>
      </c>
      <c r="O150" s="1">
        <v>3</v>
      </c>
      <c r="P150" s="1">
        <v>1</v>
      </c>
      <c r="Q150" s="1">
        <v>1</v>
      </c>
      <c r="R150" s="1">
        <v>2238</v>
      </c>
      <c r="S150" s="1">
        <v>7</v>
      </c>
      <c r="T150" s="1">
        <v>3</v>
      </c>
      <c r="U150" s="1">
        <v>5</v>
      </c>
      <c r="V150" s="1">
        <v>0</v>
      </c>
      <c r="W150" s="1">
        <v>1</v>
      </c>
      <c r="X150" s="1">
        <v>4</v>
      </c>
    </row>
    <row r="151" spans="1:24">
      <c r="A151" s="1">
        <v>150</v>
      </c>
      <c r="B151" s="1" t="s">
        <v>33</v>
      </c>
      <c r="C151" s="1" t="s">
        <v>25</v>
      </c>
      <c r="D151" s="1" t="s">
        <v>52</v>
      </c>
      <c r="E151" s="1" t="s">
        <v>36</v>
      </c>
      <c r="F151" s="1" t="s">
        <v>45</v>
      </c>
      <c r="G151" s="1">
        <v>1</v>
      </c>
      <c r="H151" s="1" t="s">
        <v>29</v>
      </c>
      <c r="I151" s="1" t="s">
        <v>42</v>
      </c>
      <c r="J151" s="1" t="s">
        <v>31</v>
      </c>
      <c r="K151" s="1" t="s">
        <v>33</v>
      </c>
      <c r="L151" s="1">
        <v>19</v>
      </c>
      <c r="M151" s="1">
        <v>3</v>
      </c>
      <c r="N151" s="1" t="s">
        <v>40</v>
      </c>
      <c r="O151" s="1">
        <v>2</v>
      </c>
      <c r="P151" s="1">
        <v>1</v>
      </c>
      <c r="Q151" s="1">
        <v>2</v>
      </c>
      <c r="R151" s="1">
        <v>1483</v>
      </c>
      <c r="S151" s="1">
        <v>1</v>
      </c>
      <c r="T151" s="1">
        <v>3</v>
      </c>
      <c r="U151" s="1">
        <v>1</v>
      </c>
      <c r="V151" s="1">
        <v>0</v>
      </c>
      <c r="W151" s="1">
        <v>0</v>
      </c>
      <c r="X151" s="1">
        <v>0</v>
      </c>
    </row>
    <row r="152" spans="1:24">
      <c r="A152" s="1">
        <v>151</v>
      </c>
      <c r="B152" s="1" t="s">
        <v>33</v>
      </c>
      <c r="C152" s="1" t="s">
        <v>34</v>
      </c>
      <c r="D152" s="1" t="s">
        <v>26</v>
      </c>
      <c r="E152" s="1" t="s">
        <v>36</v>
      </c>
      <c r="F152" s="1" t="s">
        <v>45</v>
      </c>
      <c r="G152" s="1">
        <v>1</v>
      </c>
      <c r="H152" s="1" t="s">
        <v>29</v>
      </c>
      <c r="I152" s="1" t="s">
        <v>38</v>
      </c>
      <c r="J152" s="1" t="s">
        <v>48</v>
      </c>
      <c r="K152" s="1" t="s">
        <v>33</v>
      </c>
      <c r="L152" s="1">
        <v>40</v>
      </c>
      <c r="M152" s="1">
        <v>26</v>
      </c>
      <c r="N152" s="1" t="s">
        <v>47</v>
      </c>
      <c r="O152" s="1">
        <v>2</v>
      </c>
      <c r="P152" s="1">
        <v>2</v>
      </c>
      <c r="Q152" s="1">
        <v>2</v>
      </c>
      <c r="R152" s="1">
        <v>5605</v>
      </c>
      <c r="S152" s="1">
        <v>20</v>
      </c>
      <c r="T152" s="1">
        <v>3</v>
      </c>
      <c r="U152" s="1">
        <v>20</v>
      </c>
      <c r="V152" s="1">
        <v>7</v>
      </c>
      <c r="W152" s="1">
        <v>2</v>
      </c>
      <c r="X152" s="1">
        <v>13</v>
      </c>
    </row>
    <row r="153" spans="1:24">
      <c r="A153" s="1">
        <v>152</v>
      </c>
      <c r="B153" s="1" t="s">
        <v>33</v>
      </c>
      <c r="C153" s="1" t="s">
        <v>25</v>
      </c>
      <c r="D153" s="1" t="s">
        <v>26</v>
      </c>
      <c r="E153" s="1" t="s">
        <v>27</v>
      </c>
      <c r="F153" s="1" t="s">
        <v>56</v>
      </c>
      <c r="G153" s="1">
        <v>1</v>
      </c>
      <c r="H153" s="1" t="s">
        <v>37</v>
      </c>
      <c r="I153" s="1" t="s">
        <v>30</v>
      </c>
      <c r="J153" s="1" t="s">
        <v>39</v>
      </c>
      <c r="K153" s="1" t="s">
        <v>33</v>
      </c>
      <c r="L153" s="1">
        <v>35</v>
      </c>
      <c r="M153" s="1">
        <v>1</v>
      </c>
      <c r="N153" s="1" t="s">
        <v>58</v>
      </c>
      <c r="O153" s="1">
        <v>3</v>
      </c>
      <c r="P153" s="1">
        <v>3</v>
      </c>
      <c r="Q153" s="1">
        <v>2</v>
      </c>
      <c r="R153" s="1">
        <v>7295</v>
      </c>
      <c r="S153" s="1">
        <v>10</v>
      </c>
      <c r="T153" s="1">
        <v>3</v>
      </c>
      <c r="U153" s="1">
        <v>10</v>
      </c>
      <c r="V153" s="1">
        <v>8</v>
      </c>
      <c r="W153" s="1">
        <v>0</v>
      </c>
      <c r="X153" s="1">
        <v>6</v>
      </c>
    </row>
    <row r="154" spans="1:24">
      <c r="A154" s="1">
        <v>153</v>
      </c>
      <c r="B154" s="1" t="s">
        <v>33</v>
      </c>
      <c r="C154" s="1" t="s">
        <v>25</v>
      </c>
      <c r="D154" s="1" t="s">
        <v>35</v>
      </c>
      <c r="E154" s="1" t="s">
        <v>27</v>
      </c>
      <c r="F154" s="1" t="s">
        <v>56</v>
      </c>
      <c r="G154" s="1">
        <v>1</v>
      </c>
      <c r="H154" s="1" t="s">
        <v>37</v>
      </c>
      <c r="I154" s="1" t="s">
        <v>54</v>
      </c>
      <c r="J154" s="1" t="s">
        <v>39</v>
      </c>
      <c r="K154" s="1" t="s">
        <v>24</v>
      </c>
      <c r="L154" s="1">
        <v>53</v>
      </c>
      <c r="M154" s="1">
        <v>6</v>
      </c>
      <c r="N154" s="1" t="s">
        <v>32</v>
      </c>
      <c r="O154" s="1">
        <v>2</v>
      </c>
      <c r="P154" s="1">
        <v>2</v>
      </c>
      <c r="Q154" s="1">
        <v>3</v>
      </c>
      <c r="R154" s="1">
        <v>2306</v>
      </c>
      <c r="S154" s="1">
        <v>13</v>
      </c>
      <c r="T154" s="1">
        <v>1</v>
      </c>
      <c r="U154" s="1">
        <v>7</v>
      </c>
      <c r="V154" s="1">
        <v>7</v>
      </c>
      <c r="W154" s="1">
        <v>4</v>
      </c>
      <c r="X154" s="1">
        <v>5</v>
      </c>
    </row>
    <row r="155" spans="1:24">
      <c r="A155" s="1">
        <v>154</v>
      </c>
      <c r="B155" s="1" t="s">
        <v>33</v>
      </c>
      <c r="C155" s="1" t="s">
        <v>25</v>
      </c>
      <c r="D155" s="1" t="s">
        <v>35</v>
      </c>
      <c r="E155" s="1" t="s">
        <v>36</v>
      </c>
      <c r="F155" s="1" t="s">
        <v>28</v>
      </c>
      <c r="G155" s="1">
        <v>1</v>
      </c>
      <c r="H155" s="1" t="s">
        <v>37</v>
      </c>
      <c r="I155" s="1" t="s">
        <v>42</v>
      </c>
      <c r="J155" s="1" t="s">
        <v>48</v>
      </c>
      <c r="K155" s="1" t="s">
        <v>33</v>
      </c>
      <c r="L155" s="1">
        <v>45</v>
      </c>
      <c r="M155" s="1">
        <v>9</v>
      </c>
      <c r="N155" s="1" t="s">
        <v>47</v>
      </c>
      <c r="O155" s="1">
        <v>2</v>
      </c>
      <c r="P155" s="1">
        <v>2</v>
      </c>
      <c r="Q155" s="1">
        <v>2</v>
      </c>
      <c r="R155" s="1">
        <v>2348</v>
      </c>
      <c r="S155" s="1">
        <v>20</v>
      </c>
      <c r="T155" s="1">
        <v>1</v>
      </c>
      <c r="U155" s="1">
        <v>17</v>
      </c>
      <c r="V155" s="1">
        <v>9</v>
      </c>
      <c r="W155" s="1">
        <v>0</v>
      </c>
      <c r="X155" s="1">
        <v>15</v>
      </c>
    </row>
    <row r="156" spans="1:24">
      <c r="A156" s="1">
        <v>155</v>
      </c>
      <c r="B156" s="1" t="s">
        <v>33</v>
      </c>
      <c r="C156" s="1" t="s">
        <v>34</v>
      </c>
      <c r="D156" s="1" t="s">
        <v>43</v>
      </c>
      <c r="E156" s="1" t="s">
        <v>27</v>
      </c>
      <c r="F156" s="1" t="s">
        <v>56</v>
      </c>
      <c r="G156" s="1">
        <v>1</v>
      </c>
      <c r="H156" s="1" t="s">
        <v>29</v>
      </c>
      <c r="I156" s="1" t="s">
        <v>30</v>
      </c>
      <c r="J156" s="1" t="s">
        <v>31</v>
      </c>
      <c r="K156" s="1" t="s">
        <v>33</v>
      </c>
      <c r="L156" s="1">
        <v>32</v>
      </c>
      <c r="M156" s="1">
        <v>8</v>
      </c>
      <c r="N156" s="1" t="s">
        <v>47</v>
      </c>
      <c r="O156" s="1">
        <v>2</v>
      </c>
      <c r="P156" s="1">
        <v>3</v>
      </c>
      <c r="Q156" s="1">
        <v>4</v>
      </c>
      <c r="R156" s="1">
        <v>8998</v>
      </c>
      <c r="S156" s="1">
        <v>9</v>
      </c>
      <c r="T156" s="1">
        <v>3</v>
      </c>
      <c r="U156" s="1">
        <v>9</v>
      </c>
      <c r="V156" s="1">
        <v>8</v>
      </c>
      <c r="W156" s="1">
        <v>3</v>
      </c>
      <c r="X156" s="1">
        <v>7</v>
      </c>
    </row>
    <row r="157" spans="1:24">
      <c r="A157" s="1">
        <v>156</v>
      </c>
      <c r="B157" s="1" t="s">
        <v>33</v>
      </c>
      <c r="C157" s="1" t="s">
        <v>51</v>
      </c>
      <c r="D157" s="1" t="s">
        <v>43</v>
      </c>
      <c r="E157" s="1" t="s">
        <v>36</v>
      </c>
      <c r="F157" s="1" t="s">
        <v>57</v>
      </c>
      <c r="G157" s="1">
        <v>1</v>
      </c>
      <c r="H157" s="1" t="s">
        <v>37</v>
      </c>
      <c r="I157" s="1" t="s">
        <v>49</v>
      </c>
      <c r="J157" s="1" t="s">
        <v>39</v>
      </c>
      <c r="K157" s="1" t="s">
        <v>33</v>
      </c>
      <c r="L157" s="1">
        <v>29</v>
      </c>
      <c r="M157" s="1">
        <v>1</v>
      </c>
      <c r="N157" s="1" t="s">
        <v>40</v>
      </c>
      <c r="O157" s="1">
        <v>4</v>
      </c>
      <c r="P157" s="1">
        <v>2</v>
      </c>
      <c r="Q157" s="1">
        <v>3</v>
      </c>
      <c r="R157" s="1">
        <v>4319</v>
      </c>
      <c r="S157" s="1">
        <v>10</v>
      </c>
      <c r="T157" s="1">
        <v>3</v>
      </c>
      <c r="U157" s="1">
        <v>10</v>
      </c>
      <c r="V157" s="1">
        <v>7</v>
      </c>
      <c r="W157" s="1">
        <v>0</v>
      </c>
      <c r="X157" s="1">
        <v>9</v>
      </c>
    </row>
    <row r="158" spans="1:24">
      <c r="A158" s="1">
        <v>157</v>
      </c>
      <c r="B158" s="1" t="s">
        <v>33</v>
      </c>
      <c r="C158" s="1" t="s">
        <v>25</v>
      </c>
      <c r="D158" s="1" t="s">
        <v>35</v>
      </c>
      <c r="E158" s="1" t="s">
        <v>36</v>
      </c>
      <c r="F158" s="1" t="s">
        <v>45</v>
      </c>
      <c r="G158" s="1">
        <v>1</v>
      </c>
      <c r="H158" s="1" t="s">
        <v>37</v>
      </c>
      <c r="I158" s="1" t="s">
        <v>49</v>
      </c>
      <c r="J158" s="1" t="s">
        <v>39</v>
      </c>
      <c r="K158" s="1" t="s">
        <v>33</v>
      </c>
      <c r="L158" s="1">
        <v>51</v>
      </c>
      <c r="M158" s="1">
        <v>7</v>
      </c>
      <c r="N158" s="1" t="s">
        <v>44</v>
      </c>
      <c r="O158" s="1">
        <v>2</v>
      </c>
      <c r="P158" s="1">
        <v>2</v>
      </c>
      <c r="Q158" s="1">
        <v>3</v>
      </c>
      <c r="R158" s="1">
        <v>6132</v>
      </c>
      <c r="S158" s="1">
        <v>10</v>
      </c>
      <c r="T158" s="1">
        <v>3</v>
      </c>
      <c r="U158" s="1">
        <v>1</v>
      </c>
      <c r="V158" s="1">
        <v>0</v>
      </c>
      <c r="W158" s="1">
        <v>0</v>
      </c>
      <c r="X158" s="1">
        <v>0</v>
      </c>
    </row>
    <row r="159" spans="1:24">
      <c r="A159" s="1">
        <v>158</v>
      </c>
      <c r="B159" s="1" t="s">
        <v>33</v>
      </c>
      <c r="C159" s="1" t="s">
        <v>25</v>
      </c>
      <c r="D159" s="1" t="s">
        <v>46</v>
      </c>
      <c r="E159" s="1" t="s">
        <v>36</v>
      </c>
      <c r="F159" s="1" t="s">
        <v>45</v>
      </c>
      <c r="G159" s="1">
        <v>1</v>
      </c>
      <c r="H159" s="1" t="s">
        <v>29</v>
      </c>
      <c r="I159" s="1" t="s">
        <v>38</v>
      </c>
      <c r="J159" s="1" t="s">
        <v>39</v>
      </c>
      <c r="K159" s="1" t="s">
        <v>24</v>
      </c>
      <c r="L159" s="1">
        <v>58</v>
      </c>
      <c r="M159" s="1">
        <v>9</v>
      </c>
      <c r="N159" s="1" t="s">
        <v>47</v>
      </c>
      <c r="O159" s="1">
        <v>2</v>
      </c>
      <c r="P159" s="1">
        <v>1</v>
      </c>
      <c r="Q159" s="1">
        <v>2</v>
      </c>
      <c r="R159" s="1">
        <v>3346</v>
      </c>
      <c r="S159" s="1">
        <v>9</v>
      </c>
      <c r="T159" s="1">
        <v>2</v>
      </c>
      <c r="U159" s="1">
        <v>1</v>
      </c>
      <c r="V159" s="1">
        <v>0</v>
      </c>
      <c r="W159" s="1">
        <v>0</v>
      </c>
      <c r="X159" s="1">
        <v>0</v>
      </c>
    </row>
    <row r="160" spans="1:24">
      <c r="A160" s="1">
        <v>159</v>
      </c>
      <c r="B160" s="1" t="s">
        <v>33</v>
      </c>
      <c r="C160" s="1" t="s">
        <v>25</v>
      </c>
      <c r="D160" s="1" t="s">
        <v>26</v>
      </c>
      <c r="E160" s="1" t="s">
        <v>27</v>
      </c>
      <c r="F160" s="1" t="s">
        <v>56</v>
      </c>
      <c r="G160" s="1">
        <v>1</v>
      </c>
      <c r="H160" s="1" t="s">
        <v>37</v>
      </c>
      <c r="I160" s="1" t="s">
        <v>30</v>
      </c>
      <c r="J160" s="1" t="s">
        <v>39</v>
      </c>
      <c r="K160" s="1" t="s">
        <v>33</v>
      </c>
      <c r="L160" s="1">
        <v>40</v>
      </c>
      <c r="M160" s="1">
        <v>4</v>
      </c>
      <c r="N160" s="1" t="s">
        <v>44</v>
      </c>
      <c r="O160" s="1">
        <v>3</v>
      </c>
      <c r="P160" s="1">
        <v>3</v>
      </c>
      <c r="Q160" s="1">
        <v>4</v>
      </c>
      <c r="R160" s="1">
        <v>10855</v>
      </c>
      <c r="S160" s="1">
        <v>15</v>
      </c>
      <c r="T160" s="1">
        <v>2</v>
      </c>
      <c r="U160" s="1">
        <v>12</v>
      </c>
      <c r="V160" s="1">
        <v>11</v>
      </c>
      <c r="W160" s="1">
        <v>2</v>
      </c>
      <c r="X160" s="1">
        <v>11</v>
      </c>
    </row>
    <row r="161" spans="1:24">
      <c r="A161" s="1">
        <v>160</v>
      </c>
      <c r="B161" s="1" t="s">
        <v>33</v>
      </c>
      <c r="C161" s="1" t="s">
        <v>34</v>
      </c>
      <c r="D161" s="1" t="s">
        <v>43</v>
      </c>
      <c r="E161" s="1" t="s">
        <v>27</v>
      </c>
      <c r="F161" s="1" t="s">
        <v>56</v>
      </c>
      <c r="G161" s="1">
        <v>1</v>
      </c>
      <c r="H161" s="1" t="s">
        <v>29</v>
      </c>
      <c r="I161" s="1" t="s">
        <v>54</v>
      </c>
      <c r="J161" s="1" t="s">
        <v>39</v>
      </c>
      <c r="K161" s="1" t="s">
        <v>33</v>
      </c>
      <c r="L161" s="1">
        <v>34</v>
      </c>
      <c r="M161" s="1">
        <v>2</v>
      </c>
      <c r="N161" s="1" t="s">
        <v>44</v>
      </c>
      <c r="O161" s="1">
        <v>3</v>
      </c>
      <c r="P161" s="1">
        <v>1</v>
      </c>
      <c r="Q161" s="1">
        <v>3</v>
      </c>
      <c r="R161" s="1">
        <v>2231</v>
      </c>
      <c r="S161" s="1">
        <v>6</v>
      </c>
      <c r="T161" s="1">
        <v>3</v>
      </c>
      <c r="U161" s="1">
        <v>4</v>
      </c>
      <c r="V161" s="1">
        <v>3</v>
      </c>
      <c r="W161" s="1">
        <v>1</v>
      </c>
      <c r="X161" s="1">
        <v>2</v>
      </c>
    </row>
    <row r="162" spans="1:24">
      <c r="A162" s="1">
        <v>161</v>
      </c>
      <c r="B162" s="1" t="s">
        <v>33</v>
      </c>
      <c r="C162" s="1" t="s">
        <v>25</v>
      </c>
      <c r="D162" s="1" t="s">
        <v>52</v>
      </c>
      <c r="E162" s="1" t="s">
        <v>36</v>
      </c>
      <c r="F162" s="1" t="s">
        <v>45</v>
      </c>
      <c r="G162" s="1">
        <v>1</v>
      </c>
      <c r="H162" s="1" t="s">
        <v>37</v>
      </c>
      <c r="I162" s="1" t="s">
        <v>38</v>
      </c>
      <c r="J162" s="1" t="s">
        <v>39</v>
      </c>
      <c r="K162" s="1" t="s">
        <v>33</v>
      </c>
      <c r="L162" s="1">
        <v>22</v>
      </c>
      <c r="M162" s="1">
        <v>19</v>
      </c>
      <c r="N162" s="1" t="s">
        <v>40</v>
      </c>
      <c r="O162" s="1">
        <v>3</v>
      </c>
      <c r="P162" s="1">
        <v>1</v>
      </c>
      <c r="Q162" s="1">
        <v>4</v>
      </c>
      <c r="R162" s="1">
        <v>2323</v>
      </c>
      <c r="S162" s="1">
        <v>2</v>
      </c>
      <c r="T162" s="1">
        <v>3</v>
      </c>
      <c r="U162" s="1">
        <v>2</v>
      </c>
      <c r="V162" s="1">
        <v>2</v>
      </c>
      <c r="W162" s="1">
        <v>2</v>
      </c>
      <c r="X162" s="1">
        <v>2</v>
      </c>
    </row>
    <row r="163" spans="1:24">
      <c r="A163" s="1">
        <v>162</v>
      </c>
      <c r="B163" s="1" t="s">
        <v>33</v>
      </c>
      <c r="C163" s="1" t="s">
        <v>51</v>
      </c>
      <c r="D163" s="1" t="s">
        <v>43</v>
      </c>
      <c r="E163" s="1" t="s">
        <v>36</v>
      </c>
      <c r="F163" s="1" t="s">
        <v>45</v>
      </c>
      <c r="G163" s="1">
        <v>1</v>
      </c>
      <c r="H163" s="1" t="s">
        <v>37</v>
      </c>
      <c r="I163" s="1" t="s">
        <v>38</v>
      </c>
      <c r="J163" s="1" t="s">
        <v>48</v>
      </c>
      <c r="K163" s="1" t="s">
        <v>33</v>
      </c>
      <c r="L163" s="1">
        <v>27</v>
      </c>
      <c r="M163" s="1">
        <v>9</v>
      </c>
      <c r="N163" s="1" t="s">
        <v>47</v>
      </c>
      <c r="O163" s="1">
        <v>4</v>
      </c>
      <c r="P163" s="1">
        <v>1</v>
      </c>
      <c r="Q163" s="1">
        <v>2</v>
      </c>
      <c r="R163" s="1">
        <v>2024</v>
      </c>
      <c r="S163" s="1">
        <v>6</v>
      </c>
      <c r="T163" s="1">
        <v>1</v>
      </c>
      <c r="U163" s="1">
        <v>2</v>
      </c>
      <c r="V163" s="1">
        <v>2</v>
      </c>
      <c r="W163" s="1">
        <v>2</v>
      </c>
      <c r="X163" s="1">
        <v>2</v>
      </c>
    </row>
    <row r="164" spans="1:24">
      <c r="A164" s="1">
        <v>163</v>
      </c>
      <c r="B164" s="1" t="s">
        <v>33</v>
      </c>
      <c r="C164" s="1" t="s">
        <v>25</v>
      </c>
      <c r="D164" s="1" t="s">
        <v>43</v>
      </c>
      <c r="E164" s="1" t="s">
        <v>36</v>
      </c>
      <c r="F164" s="1" t="s">
        <v>45</v>
      </c>
      <c r="G164" s="1">
        <v>1</v>
      </c>
      <c r="H164" s="1" t="s">
        <v>37</v>
      </c>
      <c r="I164" s="1" t="s">
        <v>38</v>
      </c>
      <c r="J164" s="1" t="s">
        <v>39</v>
      </c>
      <c r="K164" s="1" t="s">
        <v>33</v>
      </c>
      <c r="L164" s="1">
        <v>28</v>
      </c>
      <c r="M164" s="1">
        <v>21</v>
      </c>
      <c r="N164" s="1" t="s">
        <v>47</v>
      </c>
      <c r="O164" s="1">
        <v>3</v>
      </c>
      <c r="P164" s="1">
        <v>1</v>
      </c>
      <c r="Q164" s="1">
        <v>4</v>
      </c>
      <c r="R164" s="1">
        <v>2713</v>
      </c>
      <c r="S164" s="1">
        <v>5</v>
      </c>
      <c r="T164" s="1">
        <v>1</v>
      </c>
      <c r="U164" s="1">
        <v>5</v>
      </c>
      <c r="V164" s="1">
        <v>2</v>
      </c>
      <c r="W164" s="1">
        <v>0</v>
      </c>
      <c r="X164" s="1">
        <v>2</v>
      </c>
    </row>
    <row r="165" spans="1:24">
      <c r="A165" s="1">
        <v>164</v>
      </c>
      <c r="B165" s="1" t="s">
        <v>33</v>
      </c>
      <c r="C165" s="1" t="s">
        <v>25</v>
      </c>
      <c r="D165" s="1" t="s">
        <v>46</v>
      </c>
      <c r="E165" s="1" t="s">
        <v>36</v>
      </c>
      <c r="F165" s="1" t="s">
        <v>28</v>
      </c>
      <c r="G165" s="1">
        <v>1</v>
      </c>
      <c r="H165" s="1" t="s">
        <v>37</v>
      </c>
      <c r="I165" s="1" t="s">
        <v>50</v>
      </c>
      <c r="J165" s="1" t="s">
        <v>48</v>
      </c>
      <c r="K165" s="1" t="s">
        <v>24</v>
      </c>
      <c r="L165" s="1">
        <v>57</v>
      </c>
      <c r="M165" s="1">
        <v>24</v>
      </c>
      <c r="N165" s="1" t="s">
        <v>32</v>
      </c>
      <c r="O165" s="1">
        <v>3</v>
      </c>
      <c r="P165" s="1">
        <v>3</v>
      </c>
      <c r="Q165" s="1">
        <v>4</v>
      </c>
      <c r="R165" s="1">
        <v>9439</v>
      </c>
      <c r="S165" s="1">
        <v>12</v>
      </c>
      <c r="T165" s="1">
        <v>1</v>
      </c>
      <c r="U165" s="1">
        <v>5</v>
      </c>
      <c r="V165" s="1">
        <v>3</v>
      </c>
      <c r="W165" s="1">
        <v>1</v>
      </c>
      <c r="X165" s="1">
        <v>4</v>
      </c>
    </row>
    <row r="166" spans="1:24">
      <c r="A166" s="1">
        <v>165</v>
      </c>
      <c r="B166" s="1" t="s">
        <v>33</v>
      </c>
      <c r="C166" s="1" t="s">
        <v>51</v>
      </c>
      <c r="D166" s="1" t="s">
        <v>43</v>
      </c>
      <c r="E166" s="1" t="s">
        <v>36</v>
      </c>
      <c r="F166" s="1" t="s">
        <v>45</v>
      </c>
      <c r="G166" s="1">
        <v>1</v>
      </c>
      <c r="H166" s="1" t="s">
        <v>37</v>
      </c>
      <c r="I166" s="1" t="s">
        <v>38</v>
      </c>
      <c r="J166" s="1" t="s">
        <v>48</v>
      </c>
      <c r="K166" s="1" t="s">
        <v>24</v>
      </c>
      <c r="L166" s="1">
        <v>27</v>
      </c>
      <c r="M166" s="1">
        <v>3</v>
      </c>
      <c r="N166" s="1" t="s">
        <v>47</v>
      </c>
      <c r="O166" s="1">
        <v>3</v>
      </c>
      <c r="P166" s="1">
        <v>1</v>
      </c>
      <c r="Q166" s="1">
        <v>3</v>
      </c>
      <c r="R166" s="1">
        <v>2566</v>
      </c>
      <c r="S166" s="1">
        <v>1</v>
      </c>
      <c r="T166" s="1">
        <v>2</v>
      </c>
      <c r="U166" s="1">
        <v>1</v>
      </c>
      <c r="V166" s="1">
        <v>1</v>
      </c>
      <c r="W166" s="1">
        <v>0</v>
      </c>
      <c r="X166" s="1">
        <v>1</v>
      </c>
    </row>
    <row r="167" spans="1:24">
      <c r="A167" s="1">
        <v>166</v>
      </c>
      <c r="B167" s="1" t="s">
        <v>33</v>
      </c>
      <c r="C167" s="1" t="s">
        <v>25</v>
      </c>
      <c r="D167" s="1" t="s">
        <v>35</v>
      </c>
      <c r="E167" s="1" t="s">
        <v>36</v>
      </c>
      <c r="F167" s="1" t="s">
        <v>28</v>
      </c>
      <c r="G167" s="1">
        <v>1</v>
      </c>
      <c r="H167" s="1" t="s">
        <v>29</v>
      </c>
      <c r="I167" s="1" t="s">
        <v>53</v>
      </c>
      <c r="J167" s="1" t="s">
        <v>31</v>
      </c>
      <c r="K167" s="1" t="s">
        <v>33</v>
      </c>
      <c r="L167" s="1">
        <v>50</v>
      </c>
      <c r="M167" s="1">
        <v>11</v>
      </c>
      <c r="N167" s="1" t="s">
        <v>47</v>
      </c>
      <c r="O167" s="1">
        <v>3</v>
      </c>
      <c r="P167" s="1">
        <v>5</v>
      </c>
      <c r="Q167" s="1">
        <v>2</v>
      </c>
      <c r="R167" s="1">
        <v>19926</v>
      </c>
      <c r="S167" s="1">
        <v>21</v>
      </c>
      <c r="T167" s="1">
        <v>3</v>
      </c>
      <c r="U167" s="1">
        <v>5</v>
      </c>
      <c r="V167" s="1">
        <v>4</v>
      </c>
      <c r="W167" s="1">
        <v>4</v>
      </c>
      <c r="X167" s="1">
        <v>4</v>
      </c>
    </row>
    <row r="168" spans="1:24">
      <c r="A168" s="1">
        <v>167</v>
      </c>
      <c r="B168" s="1" t="s">
        <v>33</v>
      </c>
      <c r="C168" s="1" t="s">
        <v>25</v>
      </c>
      <c r="D168" s="1" t="s">
        <v>26</v>
      </c>
      <c r="E168" s="1" t="s">
        <v>36</v>
      </c>
      <c r="F168" s="1" t="s">
        <v>28</v>
      </c>
      <c r="G168" s="1">
        <v>1</v>
      </c>
      <c r="H168" s="1" t="s">
        <v>37</v>
      </c>
      <c r="I168" s="1" t="s">
        <v>38</v>
      </c>
      <c r="J168" s="1" t="s">
        <v>48</v>
      </c>
      <c r="K168" s="1" t="s">
        <v>33</v>
      </c>
      <c r="L168" s="1">
        <v>41</v>
      </c>
      <c r="M168" s="1">
        <v>14</v>
      </c>
      <c r="N168" s="1" t="s">
        <v>47</v>
      </c>
      <c r="O168" s="1">
        <v>1</v>
      </c>
      <c r="P168" s="1">
        <v>1</v>
      </c>
      <c r="Q168" s="1">
        <v>3</v>
      </c>
      <c r="R168" s="1">
        <v>2451</v>
      </c>
      <c r="S168" s="1">
        <v>13</v>
      </c>
      <c r="T168" s="1">
        <v>3</v>
      </c>
      <c r="U168" s="1">
        <v>9</v>
      </c>
      <c r="V168" s="1">
        <v>8</v>
      </c>
      <c r="W168" s="1">
        <v>1</v>
      </c>
      <c r="X168" s="1">
        <v>8</v>
      </c>
    </row>
    <row r="169" spans="1:24">
      <c r="A169" s="1">
        <v>168</v>
      </c>
      <c r="B169" s="1" t="s">
        <v>33</v>
      </c>
      <c r="C169" s="1" t="s">
        <v>25</v>
      </c>
      <c r="D169" s="1" t="s">
        <v>43</v>
      </c>
      <c r="E169" s="1" t="s">
        <v>27</v>
      </c>
      <c r="F169" s="1" t="s">
        <v>28</v>
      </c>
      <c r="G169" s="1">
        <v>1</v>
      </c>
      <c r="H169" s="1" t="s">
        <v>29</v>
      </c>
      <c r="I169" s="1" t="s">
        <v>30</v>
      </c>
      <c r="J169" s="1" t="s">
        <v>39</v>
      </c>
      <c r="K169" s="1" t="s">
        <v>33</v>
      </c>
      <c r="L169" s="1">
        <v>30</v>
      </c>
      <c r="M169" s="1">
        <v>5</v>
      </c>
      <c r="N169" s="1" t="s">
        <v>47</v>
      </c>
      <c r="O169" s="1">
        <v>2</v>
      </c>
      <c r="P169" s="1">
        <v>3</v>
      </c>
      <c r="Q169" s="1">
        <v>4</v>
      </c>
      <c r="R169" s="1">
        <v>9419</v>
      </c>
      <c r="S169" s="1">
        <v>12</v>
      </c>
      <c r="T169" s="1">
        <v>3</v>
      </c>
      <c r="U169" s="1">
        <v>10</v>
      </c>
      <c r="V169" s="1">
        <v>9</v>
      </c>
      <c r="W169" s="1">
        <v>7</v>
      </c>
      <c r="X169" s="1">
        <v>4</v>
      </c>
    </row>
    <row r="170" spans="1:24">
      <c r="A170" s="1">
        <v>169</v>
      </c>
      <c r="B170" s="1" t="s">
        <v>33</v>
      </c>
      <c r="C170" s="1" t="s">
        <v>25</v>
      </c>
      <c r="D170" s="1" t="s">
        <v>26</v>
      </c>
      <c r="E170" s="1" t="s">
        <v>27</v>
      </c>
      <c r="F170" s="1" t="s">
        <v>28</v>
      </c>
      <c r="G170" s="1">
        <v>1</v>
      </c>
      <c r="H170" s="1" t="s">
        <v>29</v>
      </c>
      <c r="I170" s="1" t="s">
        <v>30</v>
      </c>
      <c r="J170" s="1" t="s">
        <v>31</v>
      </c>
      <c r="K170" s="1" t="s">
        <v>33</v>
      </c>
      <c r="L170" s="1">
        <v>38</v>
      </c>
      <c r="M170" s="1">
        <v>1</v>
      </c>
      <c r="N170" s="1" t="s">
        <v>44</v>
      </c>
      <c r="O170" s="1">
        <v>1</v>
      </c>
      <c r="P170" s="1">
        <v>2</v>
      </c>
      <c r="Q170" s="1">
        <v>4</v>
      </c>
      <c r="R170" s="1">
        <v>8686</v>
      </c>
      <c r="S170" s="1">
        <v>12</v>
      </c>
      <c r="T170" s="1">
        <v>4</v>
      </c>
      <c r="U170" s="1">
        <v>8</v>
      </c>
      <c r="V170" s="1">
        <v>3</v>
      </c>
      <c r="W170" s="1">
        <v>0</v>
      </c>
      <c r="X170" s="1">
        <v>7</v>
      </c>
    </row>
    <row r="171" spans="1:24">
      <c r="A171" s="1">
        <v>170</v>
      </c>
      <c r="B171" s="1" t="s">
        <v>33</v>
      </c>
      <c r="C171" s="1" t="s">
        <v>25</v>
      </c>
      <c r="D171" s="1" t="s">
        <v>43</v>
      </c>
      <c r="E171" s="1" t="s">
        <v>36</v>
      </c>
      <c r="F171" s="1" t="s">
        <v>28</v>
      </c>
      <c r="G171" s="1">
        <v>1</v>
      </c>
      <c r="H171" s="1" t="s">
        <v>37</v>
      </c>
      <c r="I171" s="1" t="s">
        <v>38</v>
      </c>
      <c r="J171" s="1" t="s">
        <v>31</v>
      </c>
      <c r="K171" s="1" t="s">
        <v>33</v>
      </c>
      <c r="L171" s="1">
        <v>32</v>
      </c>
      <c r="M171" s="1">
        <v>6</v>
      </c>
      <c r="N171" s="1" t="s">
        <v>58</v>
      </c>
      <c r="O171" s="1">
        <v>3</v>
      </c>
      <c r="P171" s="1">
        <v>1</v>
      </c>
      <c r="Q171" s="1">
        <v>3</v>
      </c>
      <c r="R171" s="1">
        <v>3038</v>
      </c>
      <c r="S171" s="1">
        <v>8</v>
      </c>
      <c r="T171" s="1">
        <v>3</v>
      </c>
      <c r="U171" s="1">
        <v>5</v>
      </c>
      <c r="V171" s="1">
        <v>4</v>
      </c>
      <c r="W171" s="1">
        <v>1</v>
      </c>
      <c r="X171" s="1">
        <v>4</v>
      </c>
    </row>
    <row r="172" spans="1:24">
      <c r="A172" s="1">
        <v>171</v>
      </c>
      <c r="B172" s="1" t="s">
        <v>33</v>
      </c>
      <c r="C172" s="1" t="s">
        <v>25</v>
      </c>
      <c r="D172" s="1" t="s">
        <v>43</v>
      </c>
      <c r="E172" s="1" t="s">
        <v>36</v>
      </c>
      <c r="F172" s="1" t="s">
        <v>57</v>
      </c>
      <c r="G172" s="1">
        <v>1</v>
      </c>
      <c r="H172" s="1" t="s">
        <v>37</v>
      </c>
      <c r="I172" s="1" t="s">
        <v>38</v>
      </c>
      <c r="J172" s="1" t="s">
        <v>39</v>
      </c>
      <c r="K172" s="1" t="s">
        <v>24</v>
      </c>
      <c r="L172" s="1">
        <v>27</v>
      </c>
      <c r="M172" s="1">
        <v>17</v>
      </c>
      <c r="N172" s="1" t="s">
        <v>47</v>
      </c>
      <c r="O172" s="1">
        <v>3</v>
      </c>
      <c r="P172" s="1">
        <v>1</v>
      </c>
      <c r="Q172" s="1">
        <v>2</v>
      </c>
      <c r="R172" s="1">
        <v>3058</v>
      </c>
      <c r="S172" s="1">
        <v>6</v>
      </c>
      <c r="T172" s="1">
        <v>2</v>
      </c>
      <c r="U172" s="1">
        <v>5</v>
      </c>
      <c r="V172" s="1">
        <v>2</v>
      </c>
      <c r="W172" s="1">
        <v>1</v>
      </c>
      <c r="X172" s="1">
        <v>1</v>
      </c>
    </row>
    <row r="173" spans="1:24">
      <c r="A173" s="1">
        <v>172</v>
      </c>
      <c r="B173" s="1" t="s">
        <v>24</v>
      </c>
      <c r="C173" s="1" t="s">
        <v>34</v>
      </c>
      <c r="D173" s="1" t="s">
        <v>52</v>
      </c>
      <c r="E173" s="1" t="s">
        <v>27</v>
      </c>
      <c r="F173" s="1" t="s">
        <v>57</v>
      </c>
      <c r="G173" s="1">
        <v>1</v>
      </c>
      <c r="H173" s="1" t="s">
        <v>29</v>
      </c>
      <c r="I173" s="1" t="s">
        <v>54</v>
      </c>
      <c r="J173" s="1" t="s">
        <v>31</v>
      </c>
      <c r="K173" s="1" t="s">
        <v>33</v>
      </c>
      <c r="L173" s="1">
        <v>19</v>
      </c>
      <c r="M173" s="1">
        <v>1</v>
      </c>
      <c r="N173" s="1" t="s">
        <v>40</v>
      </c>
      <c r="O173" s="1">
        <v>3</v>
      </c>
      <c r="P173" s="1">
        <v>1</v>
      </c>
      <c r="Q173" s="1">
        <v>1</v>
      </c>
      <c r="R173" s="1">
        <v>2325</v>
      </c>
      <c r="S173" s="1">
        <v>1</v>
      </c>
      <c r="T173" s="1">
        <v>4</v>
      </c>
      <c r="U173" s="1">
        <v>0</v>
      </c>
      <c r="V173" s="1">
        <v>0</v>
      </c>
      <c r="W173" s="1">
        <v>0</v>
      </c>
      <c r="X173" s="1">
        <v>0</v>
      </c>
    </row>
    <row r="174" spans="1:24">
      <c r="A174" s="1">
        <v>173</v>
      </c>
      <c r="B174" s="1" t="s">
        <v>33</v>
      </c>
      <c r="C174" s="1" t="s">
        <v>34</v>
      </c>
      <c r="D174" s="1" t="s">
        <v>26</v>
      </c>
      <c r="E174" s="1" t="s">
        <v>36</v>
      </c>
      <c r="F174" s="1" t="s">
        <v>45</v>
      </c>
      <c r="G174" s="1">
        <v>1</v>
      </c>
      <c r="H174" s="1" t="s">
        <v>37</v>
      </c>
      <c r="I174" s="1" t="s">
        <v>42</v>
      </c>
      <c r="J174" s="1" t="s">
        <v>31</v>
      </c>
      <c r="K174" s="1" t="s">
        <v>33</v>
      </c>
      <c r="L174" s="1">
        <v>36</v>
      </c>
      <c r="M174" s="1">
        <v>3</v>
      </c>
      <c r="N174" s="1" t="s">
        <v>32</v>
      </c>
      <c r="O174" s="1">
        <v>4</v>
      </c>
      <c r="P174" s="1">
        <v>1</v>
      </c>
      <c r="Q174" s="1">
        <v>2</v>
      </c>
      <c r="R174" s="1">
        <v>2088</v>
      </c>
      <c r="S174" s="1">
        <v>13</v>
      </c>
      <c r="T174" s="1">
        <v>2</v>
      </c>
      <c r="U174" s="1">
        <v>8</v>
      </c>
      <c r="V174" s="1">
        <v>7</v>
      </c>
      <c r="W174" s="1">
        <v>7</v>
      </c>
      <c r="X174" s="1">
        <v>2</v>
      </c>
    </row>
    <row r="175" spans="1:24">
      <c r="A175" s="1">
        <v>174</v>
      </c>
      <c r="B175" s="1" t="s">
        <v>33</v>
      </c>
      <c r="C175" s="1" t="s">
        <v>51</v>
      </c>
      <c r="D175" s="1" t="s">
        <v>43</v>
      </c>
      <c r="E175" s="1" t="s">
        <v>36</v>
      </c>
      <c r="F175" s="1" t="s">
        <v>45</v>
      </c>
      <c r="G175" s="1">
        <v>1</v>
      </c>
      <c r="H175" s="1" t="s">
        <v>37</v>
      </c>
      <c r="I175" s="1" t="s">
        <v>42</v>
      </c>
      <c r="J175" s="1" t="s">
        <v>48</v>
      </c>
      <c r="K175" s="1" t="s">
        <v>33</v>
      </c>
      <c r="L175" s="1">
        <v>30</v>
      </c>
      <c r="M175" s="1">
        <v>9</v>
      </c>
      <c r="N175" s="1" t="s">
        <v>47</v>
      </c>
      <c r="O175" s="1">
        <v>3</v>
      </c>
      <c r="P175" s="1">
        <v>2</v>
      </c>
      <c r="Q175" s="1">
        <v>1</v>
      </c>
      <c r="R175" s="1">
        <v>3072</v>
      </c>
      <c r="S175" s="1">
        <v>12</v>
      </c>
      <c r="T175" s="1">
        <v>3</v>
      </c>
      <c r="U175" s="1">
        <v>12</v>
      </c>
      <c r="V175" s="1">
        <v>9</v>
      </c>
      <c r="W175" s="1">
        <v>6</v>
      </c>
      <c r="X175" s="1">
        <v>10</v>
      </c>
    </row>
    <row r="176" spans="1:24">
      <c r="A176" s="1">
        <v>175</v>
      </c>
      <c r="B176" s="1" t="s">
        <v>33</v>
      </c>
      <c r="C176" s="1" t="s">
        <v>25</v>
      </c>
      <c r="D176" s="1" t="s">
        <v>35</v>
      </c>
      <c r="E176" s="1" t="s">
        <v>27</v>
      </c>
      <c r="F176" s="1" t="s">
        <v>28</v>
      </c>
      <c r="G176" s="1">
        <v>1</v>
      </c>
      <c r="H176" s="1" t="s">
        <v>29</v>
      </c>
      <c r="I176" s="1" t="s">
        <v>30</v>
      </c>
      <c r="J176" s="1" t="s">
        <v>48</v>
      </c>
      <c r="K176" s="1" t="s">
        <v>24</v>
      </c>
      <c r="L176" s="1">
        <v>45</v>
      </c>
      <c r="M176" s="1">
        <v>4</v>
      </c>
      <c r="N176" s="1" t="s">
        <v>32</v>
      </c>
      <c r="O176" s="1">
        <v>3</v>
      </c>
      <c r="P176" s="1">
        <v>2</v>
      </c>
      <c r="Q176" s="1">
        <v>1</v>
      </c>
      <c r="R176" s="1">
        <v>5006</v>
      </c>
      <c r="S176" s="1">
        <v>9</v>
      </c>
      <c r="T176" s="1">
        <v>4</v>
      </c>
      <c r="U176" s="1">
        <v>5</v>
      </c>
      <c r="V176" s="1">
        <v>4</v>
      </c>
      <c r="W176" s="1">
        <v>0</v>
      </c>
      <c r="X176" s="1">
        <v>3</v>
      </c>
    </row>
    <row r="177" spans="1:24">
      <c r="A177" s="1">
        <v>176</v>
      </c>
      <c r="B177" s="1" t="s">
        <v>33</v>
      </c>
      <c r="C177" s="1" t="s">
        <v>25</v>
      </c>
      <c r="D177" s="1" t="s">
        <v>46</v>
      </c>
      <c r="E177" s="1" t="s">
        <v>36</v>
      </c>
      <c r="F177" s="1" t="s">
        <v>28</v>
      </c>
      <c r="G177" s="1">
        <v>1</v>
      </c>
      <c r="H177" s="1" t="s">
        <v>29</v>
      </c>
      <c r="I177" s="1" t="s">
        <v>38</v>
      </c>
      <c r="J177" s="1" t="s">
        <v>48</v>
      </c>
      <c r="K177" s="1" t="s">
        <v>24</v>
      </c>
      <c r="L177" s="1">
        <v>56</v>
      </c>
      <c r="M177" s="1">
        <v>8</v>
      </c>
      <c r="N177" s="1" t="s">
        <v>47</v>
      </c>
      <c r="O177" s="1">
        <v>3</v>
      </c>
      <c r="P177" s="1">
        <v>1</v>
      </c>
      <c r="Q177" s="1">
        <v>1</v>
      </c>
      <c r="R177" s="1">
        <v>4257</v>
      </c>
      <c r="S177" s="1">
        <v>19</v>
      </c>
      <c r="T177" s="1">
        <v>3</v>
      </c>
      <c r="U177" s="1">
        <v>2</v>
      </c>
      <c r="V177" s="1">
        <v>2</v>
      </c>
      <c r="W177" s="1">
        <v>2</v>
      </c>
      <c r="X177" s="1">
        <v>2</v>
      </c>
    </row>
    <row r="178" spans="1:24">
      <c r="A178" s="1">
        <v>177</v>
      </c>
      <c r="B178" s="1" t="s">
        <v>33</v>
      </c>
      <c r="C178" s="1" t="s">
        <v>25</v>
      </c>
      <c r="D178" s="1" t="s">
        <v>43</v>
      </c>
      <c r="E178" s="1" t="s">
        <v>36</v>
      </c>
      <c r="F178" s="1" t="s">
        <v>28</v>
      </c>
      <c r="G178" s="1">
        <v>1</v>
      </c>
      <c r="H178" s="1" t="s">
        <v>37</v>
      </c>
      <c r="I178" s="1" t="s">
        <v>38</v>
      </c>
      <c r="J178" s="1" t="s">
        <v>31</v>
      </c>
      <c r="K178" s="1" t="s">
        <v>33</v>
      </c>
      <c r="L178" s="1">
        <v>33</v>
      </c>
      <c r="M178" s="1">
        <v>2</v>
      </c>
      <c r="N178" s="1" t="s">
        <v>47</v>
      </c>
      <c r="O178" s="1">
        <v>3</v>
      </c>
      <c r="P178" s="1">
        <v>1</v>
      </c>
      <c r="Q178" s="1">
        <v>4</v>
      </c>
      <c r="R178" s="1">
        <v>2500</v>
      </c>
      <c r="S178" s="1">
        <v>4</v>
      </c>
      <c r="T178" s="1">
        <v>4</v>
      </c>
      <c r="U178" s="1">
        <v>3</v>
      </c>
      <c r="V178" s="1">
        <v>1</v>
      </c>
      <c r="W178" s="1">
        <v>0</v>
      </c>
      <c r="X178" s="1">
        <v>2</v>
      </c>
    </row>
    <row r="179" spans="1:24">
      <c r="A179" s="1">
        <v>178</v>
      </c>
      <c r="B179" s="1" t="s">
        <v>24</v>
      </c>
      <c r="C179" s="1" t="s">
        <v>25</v>
      </c>
      <c r="D179" s="1" t="s">
        <v>52</v>
      </c>
      <c r="E179" s="1" t="s">
        <v>36</v>
      </c>
      <c r="F179" s="1" t="s">
        <v>28</v>
      </c>
      <c r="G179" s="1">
        <v>1</v>
      </c>
      <c r="H179" s="1" t="s">
        <v>37</v>
      </c>
      <c r="I179" s="1" t="s">
        <v>42</v>
      </c>
      <c r="J179" s="1" t="s">
        <v>31</v>
      </c>
      <c r="K179" s="1" t="s">
        <v>33</v>
      </c>
      <c r="L179" s="1">
        <v>19</v>
      </c>
      <c r="M179" s="1">
        <v>2</v>
      </c>
      <c r="N179" s="1" t="s">
        <v>47</v>
      </c>
      <c r="O179" s="1">
        <v>2</v>
      </c>
      <c r="P179" s="1">
        <v>1</v>
      </c>
      <c r="Q179" s="1">
        <v>4</v>
      </c>
      <c r="R179" s="1">
        <v>1102</v>
      </c>
      <c r="S179" s="1">
        <v>1</v>
      </c>
      <c r="T179" s="1">
        <v>2</v>
      </c>
      <c r="U179" s="1">
        <v>1</v>
      </c>
      <c r="V179" s="1">
        <v>0</v>
      </c>
      <c r="W179" s="1">
        <v>1</v>
      </c>
      <c r="X179" s="1">
        <v>0</v>
      </c>
    </row>
    <row r="180" spans="1:24">
      <c r="A180" s="1">
        <v>179</v>
      </c>
      <c r="B180" s="1" t="s">
        <v>33</v>
      </c>
      <c r="C180" s="1" t="s">
        <v>25</v>
      </c>
      <c r="D180" s="1" t="s">
        <v>35</v>
      </c>
      <c r="E180" s="1" t="s">
        <v>27</v>
      </c>
      <c r="F180" s="1" t="s">
        <v>56</v>
      </c>
      <c r="G180" s="1">
        <v>1</v>
      </c>
      <c r="H180" s="1" t="s">
        <v>29</v>
      </c>
      <c r="I180" s="1" t="s">
        <v>30</v>
      </c>
      <c r="J180" s="1" t="s">
        <v>48</v>
      </c>
      <c r="K180" s="1" t="s">
        <v>33</v>
      </c>
      <c r="L180" s="1">
        <v>46</v>
      </c>
      <c r="M180" s="1">
        <v>1</v>
      </c>
      <c r="N180" s="1" t="s">
        <v>32</v>
      </c>
      <c r="O180" s="1">
        <v>2</v>
      </c>
      <c r="P180" s="1">
        <v>3</v>
      </c>
      <c r="Q180" s="1">
        <v>1</v>
      </c>
      <c r="R180" s="1">
        <v>10453</v>
      </c>
      <c r="S180" s="1">
        <v>24</v>
      </c>
      <c r="T180" s="1">
        <v>3</v>
      </c>
      <c r="U180" s="1">
        <v>24</v>
      </c>
      <c r="V180" s="1">
        <v>13</v>
      </c>
      <c r="W180" s="1">
        <v>15</v>
      </c>
      <c r="X180" s="1">
        <v>7</v>
      </c>
    </row>
    <row r="181" spans="1:24">
      <c r="A181" s="1">
        <v>180</v>
      </c>
      <c r="B181" s="1" t="s">
        <v>33</v>
      </c>
      <c r="C181" s="1" t="s">
        <v>25</v>
      </c>
      <c r="D181" s="1" t="s">
        <v>26</v>
      </c>
      <c r="E181" s="1" t="s">
        <v>36</v>
      </c>
      <c r="F181" s="1" t="s">
        <v>28</v>
      </c>
      <c r="G181" s="1">
        <v>1</v>
      </c>
      <c r="H181" s="1" t="s">
        <v>29</v>
      </c>
      <c r="I181" s="1" t="s">
        <v>42</v>
      </c>
      <c r="J181" s="1" t="s">
        <v>31</v>
      </c>
      <c r="K181" s="1" t="s">
        <v>33</v>
      </c>
      <c r="L181" s="1">
        <v>38</v>
      </c>
      <c r="M181" s="1">
        <v>9</v>
      </c>
      <c r="N181" s="1" t="s">
        <v>32</v>
      </c>
      <c r="O181" s="1">
        <v>3</v>
      </c>
      <c r="P181" s="1">
        <v>1</v>
      </c>
      <c r="Q181" s="1">
        <v>4</v>
      </c>
      <c r="R181" s="1">
        <v>2288</v>
      </c>
      <c r="S181" s="1">
        <v>2</v>
      </c>
      <c r="T181" s="1">
        <v>3</v>
      </c>
      <c r="U181" s="1">
        <v>2</v>
      </c>
      <c r="V181" s="1">
        <v>2</v>
      </c>
      <c r="W181" s="1">
        <v>2</v>
      </c>
      <c r="X181" s="1">
        <v>1</v>
      </c>
    </row>
    <row r="182" spans="1:24">
      <c r="A182" s="1">
        <v>181</v>
      </c>
      <c r="B182" s="1" t="s">
        <v>33</v>
      </c>
      <c r="C182" s="1" t="s">
        <v>25</v>
      </c>
      <c r="D182" s="1" t="s">
        <v>43</v>
      </c>
      <c r="E182" s="1" t="s">
        <v>36</v>
      </c>
      <c r="F182" s="1" t="s">
        <v>45</v>
      </c>
      <c r="G182" s="1">
        <v>1</v>
      </c>
      <c r="H182" s="1" t="s">
        <v>29</v>
      </c>
      <c r="I182" s="1" t="s">
        <v>38</v>
      </c>
      <c r="J182" s="1" t="s">
        <v>39</v>
      </c>
      <c r="K182" s="1" t="s">
        <v>24</v>
      </c>
      <c r="L182" s="1">
        <v>31</v>
      </c>
      <c r="M182" s="1">
        <v>12</v>
      </c>
      <c r="N182" s="1" t="s">
        <v>40</v>
      </c>
      <c r="O182" s="1">
        <v>3</v>
      </c>
      <c r="P182" s="1">
        <v>1</v>
      </c>
      <c r="Q182" s="1">
        <v>4</v>
      </c>
      <c r="R182" s="1">
        <v>3929</v>
      </c>
      <c r="S182" s="1">
        <v>7</v>
      </c>
      <c r="T182" s="1">
        <v>3</v>
      </c>
      <c r="U182" s="1">
        <v>4</v>
      </c>
      <c r="V182" s="1">
        <v>2</v>
      </c>
      <c r="W182" s="1">
        <v>0</v>
      </c>
      <c r="X182" s="1">
        <v>2</v>
      </c>
    </row>
    <row r="183" spans="1:24">
      <c r="A183" s="1">
        <v>182</v>
      </c>
      <c r="B183" s="1" t="s">
        <v>33</v>
      </c>
      <c r="C183" s="1" t="s">
        <v>25</v>
      </c>
      <c r="D183" s="1" t="s">
        <v>43</v>
      </c>
      <c r="E183" s="1" t="s">
        <v>36</v>
      </c>
      <c r="F183" s="1" t="s">
        <v>45</v>
      </c>
      <c r="G183" s="1">
        <v>1</v>
      </c>
      <c r="H183" s="1" t="s">
        <v>29</v>
      </c>
      <c r="I183" s="1" t="s">
        <v>38</v>
      </c>
      <c r="J183" s="1" t="s">
        <v>31</v>
      </c>
      <c r="K183" s="1" t="s">
        <v>33</v>
      </c>
      <c r="L183" s="1">
        <v>34</v>
      </c>
      <c r="M183" s="1">
        <v>27</v>
      </c>
      <c r="N183" s="1" t="s">
        <v>32</v>
      </c>
      <c r="O183" s="1">
        <v>4</v>
      </c>
      <c r="P183" s="1">
        <v>1</v>
      </c>
      <c r="Q183" s="1">
        <v>2</v>
      </c>
      <c r="R183" s="1">
        <v>2311</v>
      </c>
      <c r="S183" s="1">
        <v>9</v>
      </c>
      <c r="T183" s="1">
        <v>3</v>
      </c>
      <c r="U183" s="1">
        <v>3</v>
      </c>
      <c r="V183" s="1">
        <v>2</v>
      </c>
      <c r="W183" s="1">
        <v>1</v>
      </c>
      <c r="X183" s="1">
        <v>2</v>
      </c>
    </row>
    <row r="184" spans="1:24">
      <c r="A184" s="1">
        <v>183</v>
      </c>
      <c r="B184" s="1" t="s">
        <v>24</v>
      </c>
      <c r="C184" s="1" t="s">
        <v>25</v>
      </c>
      <c r="D184" s="1" t="s">
        <v>26</v>
      </c>
      <c r="E184" s="1" t="s">
        <v>27</v>
      </c>
      <c r="F184" s="1" t="s">
        <v>56</v>
      </c>
      <c r="G184" s="1">
        <v>1</v>
      </c>
      <c r="H184" s="1" t="s">
        <v>29</v>
      </c>
      <c r="I184" s="1" t="s">
        <v>54</v>
      </c>
      <c r="J184" s="1" t="s">
        <v>31</v>
      </c>
      <c r="K184" s="1" t="s">
        <v>24</v>
      </c>
      <c r="L184" s="1">
        <v>41</v>
      </c>
      <c r="M184" s="1">
        <v>20</v>
      </c>
      <c r="N184" s="1" t="s">
        <v>32</v>
      </c>
      <c r="O184" s="1">
        <v>2</v>
      </c>
      <c r="P184" s="1">
        <v>1</v>
      </c>
      <c r="Q184" s="1">
        <v>2</v>
      </c>
      <c r="R184" s="1">
        <v>3140</v>
      </c>
      <c r="S184" s="1">
        <v>4</v>
      </c>
      <c r="T184" s="1">
        <v>2</v>
      </c>
      <c r="U184" s="1">
        <v>4</v>
      </c>
      <c r="V184" s="1">
        <v>3</v>
      </c>
      <c r="W184" s="1">
        <v>0</v>
      </c>
      <c r="X184" s="1">
        <v>2</v>
      </c>
    </row>
    <row r="185" spans="1:24">
      <c r="A185" s="1">
        <v>184</v>
      </c>
      <c r="B185" s="1" t="s">
        <v>33</v>
      </c>
      <c r="C185" s="1" t="s">
        <v>25</v>
      </c>
      <c r="D185" s="1" t="s">
        <v>35</v>
      </c>
      <c r="E185" s="1" t="s">
        <v>36</v>
      </c>
      <c r="F185" s="1" t="s">
        <v>45</v>
      </c>
      <c r="G185" s="1">
        <v>1</v>
      </c>
      <c r="H185" s="1" t="s">
        <v>37</v>
      </c>
      <c r="I185" s="1" t="s">
        <v>42</v>
      </c>
      <c r="J185" s="1" t="s">
        <v>39</v>
      </c>
      <c r="K185" s="1" t="s">
        <v>33</v>
      </c>
      <c r="L185" s="1">
        <v>50</v>
      </c>
      <c r="M185" s="1">
        <v>1</v>
      </c>
      <c r="N185" s="1" t="s">
        <v>47</v>
      </c>
      <c r="O185" s="1">
        <v>3</v>
      </c>
      <c r="P185" s="1">
        <v>1</v>
      </c>
      <c r="Q185" s="1">
        <v>3</v>
      </c>
      <c r="R185" s="1">
        <v>3690</v>
      </c>
      <c r="S185" s="1">
        <v>5</v>
      </c>
      <c r="T185" s="1">
        <v>2</v>
      </c>
      <c r="U185" s="1">
        <v>3</v>
      </c>
      <c r="V185" s="1">
        <v>2</v>
      </c>
      <c r="W185" s="1">
        <v>0</v>
      </c>
      <c r="X185" s="1">
        <v>2</v>
      </c>
    </row>
    <row r="186" spans="1:24">
      <c r="A186" s="1">
        <v>185</v>
      </c>
      <c r="B186" s="1" t="s">
        <v>33</v>
      </c>
      <c r="C186" s="1" t="s">
        <v>25</v>
      </c>
      <c r="D186" s="1" t="s">
        <v>35</v>
      </c>
      <c r="E186" s="1" t="s">
        <v>36</v>
      </c>
      <c r="F186" s="1" t="s">
        <v>45</v>
      </c>
      <c r="G186" s="1">
        <v>1</v>
      </c>
      <c r="H186" s="1" t="s">
        <v>29</v>
      </c>
      <c r="I186" s="1" t="s">
        <v>49</v>
      </c>
      <c r="J186" s="1" t="s">
        <v>48</v>
      </c>
      <c r="K186" s="1" t="s">
        <v>33</v>
      </c>
      <c r="L186" s="1">
        <v>53</v>
      </c>
      <c r="M186" s="1">
        <v>13</v>
      </c>
      <c r="N186" s="1" t="s">
        <v>32</v>
      </c>
      <c r="O186" s="1">
        <v>4</v>
      </c>
      <c r="P186" s="1">
        <v>2</v>
      </c>
      <c r="Q186" s="1">
        <v>1</v>
      </c>
      <c r="R186" s="1">
        <v>4450</v>
      </c>
      <c r="S186" s="1">
        <v>5</v>
      </c>
      <c r="T186" s="1">
        <v>3</v>
      </c>
      <c r="U186" s="1">
        <v>4</v>
      </c>
      <c r="V186" s="1">
        <v>2</v>
      </c>
      <c r="W186" s="1">
        <v>1</v>
      </c>
      <c r="X186" s="1">
        <v>3</v>
      </c>
    </row>
    <row r="187" spans="1:24">
      <c r="A187" s="1">
        <v>186</v>
      </c>
      <c r="B187" s="1" t="s">
        <v>33</v>
      </c>
      <c r="C187" s="1" t="s">
        <v>25</v>
      </c>
      <c r="D187" s="1" t="s">
        <v>43</v>
      </c>
      <c r="E187" s="1" t="s">
        <v>36</v>
      </c>
      <c r="F187" s="1" t="s">
        <v>45</v>
      </c>
      <c r="G187" s="1">
        <v>1</v>
      </c>
      <c r="H187" s="1" t="s">
        <v>29</v>
      </c>
      <c r="I187" s="1" t="s">
        <v>38</v>
      </c>
      <c r="J187" s="1" t="s">
        <v>39</v>
      </c>
      <c r="K187" s="1" t="s">
        <v>33</v>
      </c>
      <c r="L187" s="1">
        <v>33</v>
      </c>
      <c r="M187" s="1">
        <v>14</v>
      </c>
      <c r="N187" s="1" t="s">
        <v>47</v>
      </c>
      <c r="O187" s="1">
        <v>4</v>
      </c>
      <c r="P187" s="1">
        <v>1</v>
      </c>
      <c r="Q187" s="1">
        <v>2</v>
      </c>
      <c r="R187" s="1">
        <v>2756</v>
      </c>
      <c r="S187" s="1">
        <v>8</v>
      </c>
      <c r="T187" s="1">
        <v>3</v>
      </c>
      <c r="U187" s="1">
        <v>8</v>
      </c>
      <c r="V187" s="1">
        <v>7</v>
      </c>
      <c r="W187" s="1">
        <v>1</v>
      </c>
      <c r="X187" s="1">
        <v>6</v>
      </c>
    </row>
    <row r="188" spans="1:24">
      <c r="A188" s="1">
        <v>187</v>
      </c>
      <c r="B188" s="1" t="s">
        <v>33</v>
      </c>
      <c r="C188" s="1" t="s">
        <v>25</v>
      </c>
      <c r="D188" s="1" t="s">
        <v>26</v>
      </c>
      <c r="E188" s="1" t="s">
        <v>36</v>
      </c>
      <c r="F188" s="1" t="s">
        <v>45</v>
      </c>
      <c r="G188" s="1">
        <v>1</v>
      </c>
      <c r="H188" s="1" t="s">
        <v>29</v>
      </c>
      <c r="I188" s="1" t="s">
        <v>53</v>
      </c>
      <c r="J188" s="1" t="s">
        <v>39</v>
      </c>
      <c r="K188" s="1" t="s">
        <v>33</v>
      </c>
      <c r="L188" s="1">
        <v>40</v>
      </c>
      <c r="M188" s="1">
        <v>4</v>
      </c>
      <c r="N188" s="1" t="s">
        <v>40</v>
      </c>
      <c r="O188" s="1">
        <v>4</v>
      </c>
      <c r="P188" s="1">
        <v>5</v>
      </c>
      <c r="Q188" s="1">
        <v>3</v>
      </c>
      <c r="R188" s="1">
        <v>19033</v>
      </c>
      <c r="S188" s="1">
        <v>21</v>
      </c>
      <c r="T188" s="1">
        <v>3</v>
      </c>
      <c r="U188" s="1">
        <v>20</v>
      </c>
      <c r="V188" s="1">
        <v>8</v>
      </c>
      <c r="W188" s="1">
        <v>9</v>
      </c>
      <c r="X188" s="1">
        <v>9</v>
      </c>
    </row>
    <row r="189" spans="1:24">
      <c r="A189" s="1">
        <v>188</v>
      </c>
      <c r="B189" s="1" t="s">
        <v>33</v>
      </c>
      <c r="C189" s="1" t="s">
        <v>25</v>
      </c>
      <c r="D189" s="1" t="s">
        <v>46</v>
      </c>
      <c r="E189" s="1" t="s">
        <v>36</v>
      </c>
      <c r="F189" s="1" t="s">
        <v>45</v>
      </c>
      <c r="G189" s="1">
        <v>1</v>
      </c>
      <c r="H189" s="1" t="s">
        <v>37</v>
      </c>
      <c r="I189" s="1" t="s">
        <v>55</v>
      </c>
      <c r="J189" s="1" t="s">
        <v>31</v>
      </c>
      <c r="K189" s="1" t="s">
        <v>33</v>
      </c>
      <c r="L189" s="1">
        <v>55</v>
      </c>
      <c r="M189" s="1">
        <v>14</v>
      </c>
      <c r="N189" s="1" t="s">
        <v>44</v>
      </c>
      <c r="O189" s="1">
        <v>3</v>
      </c>
      <c r="P189" s="1">
        <v>5</v>
      </c>
      <c r="Q189" s="1">
        <v>2</v>
      </c>
      <c r="R189" s="1">
        <v>18722</v>
      </c>
      <c r="S189" s="1">
        <v>36</v>
      </c>
      <c r="T189" s="1">
        <v>3</v>
      </c>
      <c r="U189" s="1">
        <v>24</v>
      </c>
      <c r="V189" s="1">
        <v>15</v>
      </c>
      <c r="W189" s="1">
        <v>2</v>
      </c>
      <c r="X189" s="1">
        <v>15</v>
      </c>
    </row>
    <row r="190" spans="1:24">
      <c r="A190" s="1">
        <v>189</v>
      </c>
      <c r="B190" s="1" t="s">
        <v>33</v>
      </c>
      <c r="C190" s="1" t="s">
        <v>34</v>
      </c>
      <c r="D190" s="1" t="s">
        <v>43</v>
      </c>
      <c r="E190" s="1" t="s">
        <v>36</v>
      </c>
      <c r="F190" s="1" t="s">
        <v>28</v>
      </c>
      <c r="G190" s="1">
        <v>1</v>
      </c>
      <c r="H190" s="1" t="s">
        <v>37</v>
      </c>
      <c r="I190" s="1" t="s">
        <v>49</v>
      </c>
      <c r="J190" s="1" t="s">
        <v>39</v>
      </c>
      <c r="K190" s="1" t="s">
        <v>33</v>
      </c>
      <c r="L190" s="1">
        <v>34</v>
      </c>
      <c r="M190" s="1">
        <v>2</v>
      </c>
      <c r="N190" s="1" t="s">
        <v>40</v>
      </c>
      <c r="O190" s="1">
        <v>4</v>
      </c>
      <c r="P190" s="1">
        <v>2</v>
      </c>
      <c r="Q190" s="1">
        <v>3</v>
      </c>
      <c r="R190" s="1">
        <v>9547</v>
      </c>
      <c r="S190" s="1">
        <v>10</v>
      </c>
      <c r="T190" s="1">
        <v>2</v>
      </c>
      <c r="U190" s="1">
        <v>10</v>
      </c>
      <c r="V190" s="1">
        <v>9</v>
      </c>
      <c r="W190" s="1">
        <v>1</v>
      </c>
      <c r="X190" s="1">
        <v>9</v>
      </c>
    </row>
    <row r="191" spans="1:24">
      <c r="A191" s="1">
        <v>190</v>
      </c>
      <c r="B191" s="1" t="s">
        <v>33</v>
      </c>
      <c r="C191" s="1" t="s">
        <v>25</v>
      </c>
      <c r="D191" s="1" t="s">
        <v>35</v>
      </c>
      <c r="E191" s="1" t="s">
        <v>36</v>
      </c>
      <c r="F191" s="1" t="s">
        <v>45</v>
      </c>
      <c r="G191" s="1">
        <v>1</v>
      </c>
      <c r="H191" s="1" t="s">
        <v>29</v>
      </c>
      <c r="I191" s="1" t="s">
        <v>50</v>
      </c>
      <c r="J191" s="1" t="s">
        <v>31</v>
      </c>
      <c r="K191" s="1" t="s">
        <v>33</v>
      </c>
      <c r="L191" s="1">
        <v>51</v>
      </c>
      <c r="M191" s="1">
        <v>3</v>
      </c>
      <c r="N191" s="1" t="s">
        <v>47</v>
      </c>
      <c r="O191" s="1">
        <v>4</v>
      </c>
      <c r="P191" s="1">
        <v>4</v>
      </c>
      <c r="Q191" s="1">
        <v>2</v>
      </c>
      <c r="R191" s="1">
        <v>13734</v>
      </c>
      <c r="S191" s="1">
        <v>21</v>
      </c>
      <c r="T191" s="1">
        <v>3</v>
      </c>
      <c r="U191" s="1">
        <v>7</v>
      </c>
      <c r="V191" s="1">
        <v>7</v>
      </c>
      <c r="W191" s="1">
        <v>1</v>
      </c>
      <c r="X191" s="1">
        <v>0</v>
      </c>
    </row>
    <row r="192" spans="1:24">
      <c r="A192" s="1">
        <v>191</v>
      </c>
      <c r="B192" s="1" t="s">
        <v>33</v>
      </c>
      <c r="C192" s="1" t="s">
        <v>25</v>
      </c>
      <c r="D192" s="1" t="s">
        <v>35</v>
      </c>
      <c r="E192" s="1" t="s">
        <v>36</v>
      </c>
      <c r="F192" s="1" t="s">
        <v>28</v>
      </c>
      <c r="G192" s="1">
        <v>1</v>
      </c>
      <c r="H192" s="1" t="s">
        <v>37</v>
      </c>
      <c r="I192" s="1" t="s">
        <v>53</v>
      </c>
      <c r="J192" s="1" t="s">
        <v>39</v>
      </c>
      <c r="K192" s="1" t="s">
        <v>33</v>
      </c>
      <c r="L192" s="1">
        <v>52</v>
      </c>
      <c r="M192" s="1">
        <v>1</v>
      </c>
      <c r="N192" s="1" t="s">
        <v>44</v>
      </c>
      <c r="O192" s="1">
        <v>3</v>
      </c>
      <c r="P192" s="1">
        <v>5</v>
      </c>
      <c r="Q192" s="1">
        <v>3</v>
      </c>
      <c r="R192" s="1">
        <v>19999</v>
      </c>
      <c r="S192" s="1">
        <v>34</v>
      </c>
      <c r="T192" s="1">
        <v>3</v>
      </c>
      <c r="U192" s="1">
        <v>33</v>
      </c>
      <c r="V192" s="1">
        <v>18</v>
      </c>
      <c r="W192" s="1">
        <v>11</v>
      </c>
      <c r="X192" s="1">
        <v>9</v>
      </c>
    </row>
    <row r="193" spans="1:24">
      <c r="A193" s="1">
        <v>192</v>
      </c>
      <c r="B193" s="1" t="s">
        <v>33</v>
      </c>
      <c r="C193" s="1" t="s">
        <v>25</v>
      </c>
      <c r="D193" s="1" t="s">
        <v>43</v>
      </c>
      <c r="E193" s="1" t="s">
        <v>36</v>
      </c>
      <c r="F193" s="1" t="s">
        <v>45</v>
      </c>
      <c r="G193" s="1">
        <v>1</v>
      </c>
      <c r="H193" s="1" t="s">
        <v>29</v>
      </c>
      <c r="I193" s="1" t="s">
        <v>38</v>
      </c>
      <c r="J193" s="1" t="s">
        <v>31</v>
      </c>
      <c r="K193" s="1" t="s">
        <v>33</v>
      </c>
      <c r="L193" s="1">
        <v>27</v>
      </c>
      <c r="M193" s="1">
        <v>9</v>
      </c>
      <c r="N193" s="1" t="s">
        <v>47</v>
      </c>
      <c r="O193" s="1">
        <v>4</v>
      </c>
      <c r="P193" s="1">
        <v>1</v>
      </c>
      <c r="Q193" s="1">
        <v>2</v>
      </c>
      <c r="R193" s="1">
        <v>2279</v>
      </c>
      <c r="S193" s="1">
        <v>7</v>
      </c>
      <c r="T193" s="1">
        <v>2</v>
      </c>
      <c r="U193" s="1">
        <v>7</v>
      </c>
      <c r="V193" s="1">
        <v>7</v>
      </c>
      <c r="W193" s="1">
        <v>0</v>
      </c>
      <c r="X193" s="1">
        <v>3</v>
      </c>
    </row>
    <row r="194" spans="1:24">
      <c r="A194" s="1">
        <v>193</v>
      </c>
      <c r="B194" s="1" t="s">
        <v>24</v>
      </c>
      <c r="C194" s="1" t="s">
        <v>25</v>
      </c>
      <c r="D194" s="1" t="s">
        <v>26</v>
      </c>
      <c r="E194" s="1" t="s">
        <v>36</v>
      </c>
      <c r="F194" s="1" t="s">
        <v>28</v>
      </c>
      <c r="G194" s="1">
        <v>1</v>
      </c>
      <c r="H194" s="1" t="s">
        <v>37</v>
      </c>
      <c r="I194" s="1" t="s">
        <v>49</v>
      </c>
      <c r="J194" s="1" t="s">
        <v>39</v>
      </c>
      <c r="K194" s="1" t="s">
        <v>24</v>
      </c>
      <c r="L194" s="1">
        <v>35</v>
      </c>
      <c r="M194" s="1">
        <v>23</v>
      </c>
      <c r="N194" s="1" t="s">
        <v>32</v>
      </c>
      <c r="O194" s="1">
        <v>2</v>
      </c>
      <c r="P194" s="1">
        <v>2</v>
      </c>
      <c r="Q194" s="1">
        <v>3</v>
      </c>
      <c r="R194" s="1">
        <v>5916</v>
      </c>
      <c r="S194" s="1">
        <v>8</v>
      </c>
      <c r="T194" s="1">
        <v>3</v>
      </c>
      <c r="U194" s="1">
        <v>1</v>
      </c>
      <c r="V194" s="1">
        <v>0</v>
      </c>
      <c r="W194" s="1">
        <v>0</v>
      </c>
      <c r="X194" s="1">
        <v>1</v>
      </c>
    </row>
    <row r="195" spans="1:24">
      <c r="A195" s="1">
        <v>194</v>
      </c>
      <c r="B195" s="1" t="s">
        <v>33</v>
      </c>
      <c r="C195" s="1" t="s">
        <v>51</v>
      </c>
      <c r="D195" s="1" t="s">
        <v>26</v>
      </c>
      <c r="E195" s="1" t="s">
        <v>36</v>
      </c>
      <c r="F195" s="1" t="s">
        <v>45</v>
      </c>
      <c r="G195" s="1">
        <v>1</v>
      </c>
      <c r="H195" s="1" t="s">
        <v>37</v>
      </c>
      <c r="I195" s="1" t="s">
        <v>38</v>
      </c>
      <c r="J195" s="1" t="s">
        <v>48</v>
      </c>
      <c r="K195" s="1" t="s">
        <v>33</v>
      </c>
      <c r="L195" s="1">
        <v>43</v>
      </c>
      <c r="M195" s="1">
        <v>7</v>
      </c>
      <c r="N195" s="1" t="s">
        <v>47</v>
      </c>
      <c r="O195" s="1">
        <v>4</v>
      </c>
      <c r="P195" s="1">
        <v>1</v>
      </c>
      <c r="Q195" s="1">
        <v>4</v>
      </c>
      <c r="R195" s="1">
        <v>2089</v>
      </c>
      <c r="S195" s="1">
        <v>7</v>
      </c>
      <c r="T195" s="1">
        <v>4</v>
      </c>
      <c r="U195" s="1">
        <v>5</v>
      </c>
      <c r="V195" s="1">
        <v>4</v>
      </c>
      <c r="W195" s="1">
        <v>2</v>
      </c>
      <c r="X195" s="1">
        <v>2</v>
      </c>
    </row>
    <row r="196" spans="1:24">
      <c r="A196" s="1">
        <v>195</v>
      </c>
      <c r="B196" s="1" t="s">
        <v>33</v>
      </c>
      <c r="C196" s="1" t="s">
        <v>51</v>
      </c>
      <c r="D196" s="1" t="s">
        <v>35</v>
      </c>
      <c r="E196" s="1" t="s">
        <v>36</v>
      </c>
      <c r="F196" s="1" t="s">
        <v>45</v>
      </c>
      <c r="G196" s="1">
        <v>1</v>
      </c>
      <c r="H196" s="1" t="s">
        <v>37</v>
      </c>
      <c r="I196" s="1" t="s">
        <v>53</v>
      </c>
      <c r="J196" s="1" t="s">
        <v>39</v>
      </c>
      <c r="K196" s="1" t="s">
        <v>33</v>
      </c>
      <c r="L196" s="1">
        <v>45</v>
      </c>
      <c r="M196" s="1">
        <v>2</v>
      </c>
      <c r="N196" s="1" t="s">
        <v>32</v>
      </c>
      <c r="O196" s="1">
        <v>1</v>
      </c>
      <c r="P196" s="1">
        <v>4</v>
      </c>
      <c r="Q196" s="1">
        <v>4</v>
      </c>
      <c r="R196" s="1">
        <v>16792</v>
      </c>
      <c r="S196" s="1">
        <v>22</v>
      </c>
      <c r="T196" s="1">
        <v>3</v>
      </c>
      <c r="U196" s="1">
        <v>20</v>
      </c>
      <c r="V196" s="1">
        <v>8</v>
      </c>
      <c r="W196" s="1">
        <v>11</v>
      </c>
      <c r="X196" s="1">
        <v>8</v>
      </c>
    </row>
    <row r="197" spans="1:24">
      <c r="A197" s="1">
        <v>196</v>
      </c>
      <c r="B197" s="1" t="s">
        <v>33</v>
      </c>
      <c r="C197" s="1" t="s">
        <v>25</v>
      </c>
      <c r="D197" s="1" t="s">
        <v>26</v>
      </c>
      <c r="E197" s="1" t="s">
        <v>36</v>
      </c>
      <c r="F197" s="1" t="s">
        <v>28</v>
      </c>
      <c r="G197" s="1">
        <v>1</v>
      </c>
      <c r="H197" s="1" t="s">
        <v>37</v>
      </c>
      <c r="I197" s="1" t="s">
        <v>38</v>
      </c>
      <c r="J197" s="1" t="s">
        <v>39</v>
      </c>
      <c r="K197" s="1" t="s">
        <v>24</v>
      </c>
      <c r="L197" s="1">
        <v>37</v>
      </c>
      <c r="M197" s="1">
        <v>21</v>
      </c>
      <c r="N197" s="1" t="s">
        <v>47</v>
      </c>
      <c r="O197" s="1">
        <v>2</v>
      </c>
      <c r="P197" s="1">
        <v>1</v>
      </c>
      <c r="Q197" s="1">
        <v>1</v>
      </c>
      <c r="R197" s="1">
        <v>3564</v>
      </c>
      <c r="S197" s="1">
        <v>8</v>
      </c>
      <c r="T197" s="1">
        <v>2</v>
      </c>
      <c r="U197" s="1">
        <v>8</v>
      </c>
      <c r="V197" s="1">
        <v>7</v>
      </c>
      <c r="W197" s="1">
        <v>1</v>
      </c>
      <c r="X197" s="1">
        <v>7</v>
      </c>
    </row>
    <row r="198" spans="1:24">
      <c r="A198" s="1">
        <v>197</v>
      </c>
      <c r="B198" s="1" t="s">
        <v>33</v>
      </c>
      <c r="C198" s="1" t="s">
        <v>34</v>
      </c>
      <c r="D198" s="1" t="s">
        <v>26</v>
      </c>
      <c r="E198" s="1" t="s">
        <v>36</v>
      </c>
      <c r="F198" s="1" t="s">
        <v>45</v>
      </c>
      <c r="G198" s="1">
        <v>1</v>
      </c>
      <c r="H198" s="1" t="s">
        <v>29</v>
      </c>
      <c r="I198" s="1" t="s">
        <v>42</v>
      </c>
      <c r="J198" s="1" t="s">
        <v>31</v>
      </c>
      <c r="K198" s="1" t="s">
        <v>33</v>
      </c>
      <c r="L198" s="1">
        <v>35</v>
      </c>
      <c r="M198" s="1">
        <v>2</v>
      </c>
      <c r="N198" s="1" t="s">
        <v>47</v>
      </c>
      <c r="O198" s="1">
        <v>2</v>
      </c>
      <c r="P198" s="1">
        <v>2</v>
      </c>
      <c r="Q198" s="1">
        <v>2</v>
      </c>
      <c r="R198" s="1">
        <v>4425</v>
      </c>
      <c r="S198" s="1">
        <v>10</v>
      </c>
      <c r="T198" s="1">
        <v>3</v>
      </c>
      <c r="U198" s="1">
        <v>6</v>
      </c>
      <c r="V198" s="1">
        <v>2</v>
      </c>
      <c r="W198" s="1">
        <v>1</v>
      </c>
      <c r="X198" s="1">
        <v>2</v>
      </c>
    </row>
    <row r="199" spans="1:24">
      <c r="A199" s="1">
        <v>198</v>
      </c>
      <c r="B199" s="1" t="s">
        <v>33</v>
      </c>
      <c r="C199" s="1" t="s">
        <v>51</v>
      </c>
      <c r="D199" s="1" t="s">
        <v>26</v>
      </c>
      <c r="E199" s="1" t="s">
        <v>36</v>
      </c>
      <c r="F199" s="1" t="s">
        <v>45</v>
      </c>
      <c r="G199" s="1">
        <v>1</v>
      </c>
      <c r="H199" s="1" t="s">
        <v>29</v>
      </c>
      <c r="I199" s="1" t="s">
        <v>49</v>
      </c>
      <c r="J199" s="1" t="s">
        <v>48</v>
      </c>
      <c r="K199" s="1" t="s">
        <v>33</v>
      </c>
      <c r="L199" s="1">
        <v>42</v>
      </c>
      <c r="M199" s="1">
        <v>21</v>
      </c>
      <c r="N199" s="1" t="s">
        <v>32</v>
      </c>
      <c r="O199" s="1">
        <v>3</v>
      </c>
      <c r="P199" s="1">
        <v>2</v>
      </c>
      <c r="Q199" s="1">
        <v>3</v>
      </c>
      <c r="R199" s="1">
        <v>5265</v>
      </c>
      <c r="S199" s="1">
        <v>11</v>
      </c>
      <c r="T199" s="1">
        <v>3</v>
      </c>
      <c r="U199" s="1">
        <v>5</v>
      </c>
      <c r="V199" s="1">
        <v>3</v>
      </c>
      <c r="W199" s="1">
        <v>0</v>
      </c>
      <c r="X199" s="1">
        <v>2</v>
      </c>
    </row>
    <row r="200" spans="1:24">
      <c r="A200" s="1">
        <v>199</v>
      </c>
      <c r="B200" s="1" t="s">
        <v>33</v>
      </c>
      <c r="C200" s="1" t="s">
        <v>25</v>
      </c>
      <c r="D200" s="1" t="s">
        <v>26</v>
      </c>
      <c r="E200" s="1" t="s">
        <v>36</v>
      </c>
      <c r="F200" s="1" t="s">
        <v>28</v>
      </c>
      <c r="G200" s="1">
        <v>1</v>
      </c>
      <c r="H200" s="1" t="s">
        <v>37</v>
      </c>
      <c r="I200" s="1" t="s">
        <v>49</v>
      </c>
      <c r="J200" s="1" t="s">
        <v>39</v>
      </c>
      <c r="K200" s="1" t="s">
        <v>33</v>
      </c>
      <c r="L200" s="1">
        <v>38</v>
      </c>
      <c r="M200" s="1">
        <v>2</v>
      </c>
      <c r="N200" s="1" t="s">
        <v>44</v>
      </c>
      <c r="O200" s="1">
        <v>4</v>
      </c>
      <c r="P200" s="1">
        <v>2</v>
      </c>
      <c r="Q200" s="1">
        <v>3</v>
      </c>
      <c r="R200" s="1">
        <v>6553</v>
      </c>
      <c r="S200" s="1">
        <v>14</v>
      </c>
      <c r="T200" s="1">
        <v>3</v>
      </c>
      <c r="U200" s="1">
        <v>1</v>
      </c>
      <c r="V200" s="1">
        <v>0</v>
      </c>
      <c r="W200" s="1">
        <v>0</v>
      </c>
      <c r="X200" s="1">
        <v>0</v>
      </c>
    </row>
    <row r="201" spans="1:24">
      <c r="A201" s="1">
        <v>200</v>
      </c>
      <c r="B201" s="1" t="s">
        <v>33</v>
      </c>
      <c r="C201" s="1" t="s">
        <v>25</v>
      </c>
      <c r="D201" s="1" t="s">
        <v>26</v>
      </c>
      <c r="E201" s="1" t="s">
        <v>36</v>
      </c>
      <c r="F201" s="1" t="s">
        <v>57</v>
      </c>
      <c r="G201" s="1">
        <v>1</v>
      </c>
      <c r="H201" s="1" t="s">
        <v>37</v>
      </c>
      <c r="I201" s="1" t="s">
        <v>49</v>
      </c>
      <c r="J201" s="1" t="s">
        <v>39</v>
      </c>
      <c r="K201" s="1" t="s">
        <v>33</v>
      </c>
      <c r="L201" s="1">
        <v>38</v>
      </c>
      <c r="M201" s="1">
        <v>29</v>
      </c>
      <c r="N201" s="1" t="s">
        <v>47</v>
      </c>
      <c r="O201" s="1">
        <v>4</v>
      </c>
      <c r="P201" s="1">
        <v>2</v>
      </c>
      <c r="Q201" s="1">
        <v>4</v>
      </c>
      <c r="R201" s="1">
        <v>6261</v>
      </c>
      <c r="S201" s="1">
        <v>9</v>
      </c>
      <c r="T201" s="1">
        <v>1</v>
      </c>
      <c r="U201" s="1">
        <v>7</v>
      </c>
      <c r="V201" s="1">
        <v>7</v>
      </c>
      <c r="W201" s="1">
        <v>1</v>
      </c>
      <c r="X201" s="1">
        <v>7</v>
      </c>
    </row>
    <row r="202" spans="1:24">
      <c r="A202" s="1">
        <v>201</v>
      </c>
      <c r="B202" s="1" t="s">
        <v>33</v>
      </c>
      <c r="C202" s="1" t="s">
        <v>34</v>
      </c>
      <c r="D202" s="1" t="s">
        <v>43</v>
      </c>
      <c r="E202" s="1" t="s">
        <v>36</v>
      </c>
      <c r="F202" s="1" t="s">
        <v>57</v>
      </c>
      <c r="G202" s="1">
        <v>1</v>
      </c>
      <c r="H202" s="1" t="s">
        <v>37</v>
      </c>
      <c r="I202" s="1" t="s">
        <v>49</v>
      </c>
      <c r="J202" s="1" t="s">
        <v>39</v>
      </c>
      <c r="K202" s="1" t="s">
        <v>33</v>
      </c>
      <c r="L202" s="1">
        <v>27</v>
      </c>
      <c r="M202" s="1">
        <v>1</v>
      </c>
      <c r="N202" s="1" t="s">
        <v>40</v>
      </c>
      <c r="O202" s="1">
        <v>3</v>
      </c>
      <c r="P202" s="1">
        <v>2</v>
      </c>
      <c r="Q202" s="1">
        <v>1</v>
      </c>
      <c r="R202" s="1">
        <v>4298</v>
      </c>
      <c r="S202" s="1">
        <v>6</v>
      </c>
      <c r="T202" s="1">
        <v>3</v>
      </c>
      <c r="U202" s="1">
        <v>2</v>
      </c>
      <c r="V202" s="1">
        <v>2</v>
      </c>
      <c r="W202" s="1">
        <v>2</v>
      </c>
      <c r="X202" s="1">
        <v>0</v>
      </c>
    </row>
    <row r="203" spans="1:24">
      <c r="A203" s="1">
        <v>202</v>
      </c>
      <c r="B203" s="1" t="s">
        <v>33</v>
      </c>
      <c r="C203" s="1" t="s">
        <v>51</v>
      </c>
      <c r="D203" s="1" t="s">
        <v>35</v>
      </c>
      <c r="E203" s="1" t="s">
        <v>36</v>
      </c>
      <c r="F203" s="1" t="s">
        <v>28</v>
      </c>
      <c r="G203" s="1">
        <v>1</v>
      </c>
      <c r="H203" s="1" t="s">
        <v>37</v>
      </c>
      <c r="I203" s="1" t="s">
        <v>49</v>
      </c>
      <c r="J203" s="1" t="s">
        <v>48</v>
      </c>
      <c r="K203" s="1" t="s">
        <v>24</v>
      </c>
      <c r="L203" s="1">
        <v>49</v>
      </c>
      <c r="M203" s="1">
        <v>18</v>
      </c>
      <c r="N203" s="1" t="s">
        <v>44</v>
      </c>
      <c r="O203" s="1">
        <v>4</v>
      </c>
      <c r="P203" s="1">
        <v>2</v>
      </c>
      <c r="Q203" s="1">
        <v>4</v>
      </c>
      <c r="R203" s="1">
        <v>6804</v>
      </c>
      <c r="S203" s="1">
        <v>7</v>
      </c>
      <c r="T203" s="1">
        <v>3</v>
      </c>
      <c r="U203" s="1">
        <v>7</v>
      </c>
      <c r="V203" s="1">
        <v>7</v>
      </c>
      <c r="W203" s="1">
        <v>1</v>
      </c>
      <c r="X203" s="1">
        <v>7</v>
      </c>
    </row>
    <row r="204" spans="1:24">
      <c r="A204" s="1">
        <v>203</v>
      </c>
      <c r="B204" s="1" t="s">
        <v>33</v>
      </c>
      <c r="C204" s="1" t="s">
        <v>34</v>
      </c>
      <c r="D204" s="1" t="s">
        <v>43</v>
      </c>
      <c r="E204" s="1" t="s">
        <v>36</v>
      </c>
      <c r="F204" s="1" t="s">
        <v>45</v>
      </c>
      <c r="G204" s="1">
        <v>1</v>
      </c>
      <c r="H204" s="1" t="s">
        <v>37</v>
      </c>
      <c r="I204" s="1" t="s">
        <v>38</v>
      </c>
      <c r="J204" s="1" t="s">
        <v>48</v>
      </c>
      <c r="K204" s="1" t="s">
        <v>24</v>
      </c>
      <c r="L204" s="1">
        <v>34</v>
      </c>
      <c r="M204" s="1">
        <v>10</v>
      </c>
      <c r="N204" s="1" t="s">
        <v>44</v>
      </c>
      <c r="O204" s="1">
        <v>4</v>
      </c>
      <c r="P204" s="1">
        <v>1</v>
      </c>
      <c r="Q204" s="1">
        <v>3</v>
      </c>
      <c r="R204" s="1">
        <v>3815</v>
      </c>
      <c r="S204" s="1">
        <v>5</v>
      </c>
      <c r="T204" s="1">
        <v>4</v>
      </c>
      <c r="U204" s="1">
        <v>5</v>
      </c>
      <c r="V204" s="1">
        <v>3</v>
      </c>
      <c r="W204" s="1">
        <v>2</v>
      </c>
      <c r="X204" s="1">
        <v>0</v>
      </c>
    </row>
    <row r="205" spans="1:24">
      <c r="A205" s="1">
        <v>204</v>
      </c>
      <c r="B205" s="1" t="s">
        <v>33</v>
      </c>
      <c r="C205" s="1" t="s">
        <v>25</v>
      </c>
      <c r="D205" s="1" t="s">
        <v>26</v>
      </c>
      <c r="E205" s="1" t="s">
        <v>36</v>
      </c>
      <c r="F205" s="1" t="s">
        <v>45</v>
      </c>
      <c r="G205" s="1">
        <v>1</v>
      </c>
      <c r="H205" s="1" t="s">
        <v>37</v>
      </c>
      <c r="I205" s="1" t="s">
        <v>42</v>
      </c>
      <c r="J205" s="1" t="s">
        <v>39</v>
      </c>
      <c r="K205" s="1" t="s">
        <v>24</v>
      </c>
      <c r="L205" s="1">
        <v>40</v>
      </c>
      <c r="M205" s="1">
        <v>19</v>
      </c>
      <c r="N205" s="1" t="s">
        <v>32</v>
      </c>
      <c r="O205" s="1">
        <v>3</v>
      </c>
      <c r="P205" s="1">
        <v>2</v>
      </c>
      <c r="Q205" s="1">
        <v>4</v>
      </c>
      <c r="R205" s="1">
        <v>2741</v>
      </c>
      <c r="S205" s="1">
        <v>15</v>
      </c>
      <c r="T205" s="1">
        <v>4</v>
      </c>
      <c r="U205" s="1">
        <v>7</v>
      </c>
      <c r="V205" s="1">
        <v>2</v>
      </c>
      <c r="W205" s="1">
        <v>3</v>
      </c>
      <c r="X205" s="1">
        <v>7</v>
      </c>
    </row>
    <row r="206" spans="1:24">
      <c r="A206" s="1">
        <v>205</v>
      </c>
      <c r="B206" s="1" t="s">
        <v>24</v>
      </c>
      <c r="C206" s="1" t="s">
        <v>25</v>
      </c>
      <c r="D206" s="1" t="s">
        <v>26</v>
      </c>
      <c r="E206" s="1" t="s">
        <v>36</v>
      </c>
      <c r="F206" s="1" t="s">
        <v>45</v>
      </c>
      <c r="G206" s="1">
        <v>1</v>
      </c>
      <c r="H206" s="1" t="s">
        <v>37</v>
      </c>
      <c r="I206" s="1" t="s">
        <v>50</v>
      </c>
      <c r="J206" s="1" t="s">
        <v>39</v>
      </c>
      <c r="K206" s="1" t="s">
        <v>24</v>
      </c>
      <c r="L206" s="1">
        <v>38</v>
      </c>
      <c r="M206" s="1">
        <v>29</v>
      </c>
      <c r="N206" s="1" t="s">
        <v>40</v>
      </c>
      <c r="O206" s="1">
        <v>2</v>
      </c>
      <c r="P206" s="1">
        <v>2</v>
      </c>
      <c r="Q206" s="1">
        <v>1</v>
      </c>
      <c r="R206" s="1">
        <v>6673</v>
      </c>
      <c r="S206" s="1">
        <v>17</v>
      </c>
      <c r="T206" s="1">
        <v>3</v>
      </c>
      <c r="U206" s="1">
        <v>1</v>
      </c>
      <c r="V206" s="1">
        <v>0</v>
      </c>
      <c r="W206" s="1">
        <v>0</v>
      </c>
      <c r="X206" s="1">
        <v>0</v>
      </c>
    </row>
    <row r="207" spans="1:24">
      <c r="A207" s="1">
        <v>206</v>
      </c>
      <c r="B207" s="1" t="s">
        <v>24</v>
      </c>
      <c r="C207" s="1" t="s">
        <v>25</v>
      </c>
      <c r="D207" s="1" t="s">
        <v>43</v>
      </c>
      <c r="E207" s="1" t="s">
        <v>27</v>
      </c>
      <c r="F207" s="1" t="s">
        <v>56</v>
      </c>
      <c r="G207" s="1">
        <v>1</v>
      </c>
      <c r="H207" s="1" t="s">
        <v>29</v>
      </c>
      <c r="I207" s="1" t="s">
        <v>30</v>
      </c>
      <c r="J207" s="1" t="s">
        <v>39</v>
      </c>
      <c r="K207" s="1" t="s">
        <v>33</v>
      </c>
      <c r="L207" s="1">
        <v>29</v>
      </c>
      <c r="M207" s="1">
        <v>27</v>
      </c>
      <c r="N207" s="1" t="s">
        <v>47</v>
      </c>
      <c r="O207" s="1">
        <v>2</v>
      </c>
      <c r="P207" s="1">
        <v>3</v>
      </c>
      <c r="Q207" s="1">
        <v>4</v>
      </c>
      <c r="R207" s="1">
        <v>7639</v>
      </c>
      <c r="S207" s="1">
        <v>10</v>
      </c>
      <c r="T207" s="1">
        <v>2</v>
      </c>
      <c r="U207" s="1">
        <v>10</v>
      </c>
      <c r="V207" s="1">
        <v>4</v>
      </c>
      <c r="W207" s="1">
        <v>1</v>
      </c>
      <c r="X207" s="1">
        <v>9</v>
      </c>
    </row>
    <row r="208" spans="1:24">
      <c r="A208" s="1">
        <v>207</v>
      </c>
      <c r="B208" s="1" t="s">
        <v>33</v>
      </c>
      <c r="C208" s="1" t="s">
        <v>25</v>
      </c>
      <c r="D208" s="1" t="s">
        <v>52</v>
      </c>
      <c r="E208" s="1" t="s">
        <v>36</v>
      </c>
      <c r="F208" s="1" t="s">
        <v>28</v>
      </c>
      <c r="G208" s="1">
        <v>1</v>
      </c>
      <c r="H208" s="1" t="s">
        <v>37</v>
      </c>
      <c r="I208" s="1" t="s">
        <v>38</v>
      </c>
      <c r="J208" s="1" t="s">
        <v>48</v>
      </c>
      <c r="K208" s="1" t="s">
        <v>24</v>
      </c>
      <c r="L208" s="1">
        <v>22</v>
      </c>
      <c r="M208" s="1">
        <v>5</v>
      </c>
      <c r="N208" s="1" t="s">
        <v>47</v>
      </c>
      <c r="O208" s="1">
        <v>4</v>
      </c>
      <c r="P208" s="1">
        <v>1</v>
      </c>
      <c r="Q208" s="1">
        <v>2</v>
      </c>
      <c r="R208" s="1">
        <v>2328</v>
      </c>
      <c r="S208" s="1">
        <v>4</v>
      </c>
      <c r="T208" s="1">
        <v>2</v>
      </c>
      <c r="U208" s="1">
        <v>4</v>
      </c>
      <c r="V208" s="1">
        <v>2</v>
      </c>
      <c r="W208" s="1">
        <v>2</v>
      </c>
      <c r="X208" s="1">
        <v>2</v>
      </c>
    </row>
    <row r="209" spans="1:24">
      <c r="A209" s="1">
        <v>208</v>
      </c>
      <c r="B209" s="1" t="s">
        <v>33</v>
      </c>
      <c r="C209" s="1" t="s">
        <v>34</v>
      </c>
      <c r="D209" s="1" t="s">
        <v>26</v>
      </c>
      <c r="E209" s="1" t="s">
        <v>36</v>
      </c>
      <c r="F209" s="1" t="s">
        <v>45</v>
      </c>
      <c r="G209" s="1">
        <v>1</v>
      </c>
      <c r="H209" s="1" t="s">
        <v>29</v>
      </c>
      <c r="I209" s="1" t="s">
        <v>42</v>
      </c>
      <c r="J209" s="1" t="s">
        <v>31</v>
      </c>
      <c r="K209" s="1" t="s">
        <v>33</v>
      </c>
      <c r="L209" s="1">
        <v>36</v>
      </c>
      <c r="M209" s="1">
        <v>18</v>
      </c>
      <c r="N209" s="1" t="s">
        <v>40</v>
      </c>
      <c r="O209" s="1">
        <v>2</v>
      </c>
      <c r="P209" s="1">
        <v>1</v>
      </c>
      <c r="Q209" s="1">
        <v>4</v>
      </c>
      <c r="R209" s="1">
        <v>2153</v>
      </c>
      <c r="S209" s="1">
        <v>8</v>
      </c>
      <c r="T209" s="1">
        <v>3</v>
      </c>
      <c r="U209" s="1">
        <v>8</v>
      </c>
      <c r="V209" s="1">
        <v>1</v>
      </c>
      <c r="W209" s="1">
        <v>1</v>
      </c>
      <c r="X209" s="1">
        <v>7</v>
      </c>
    </row>
    <row r="210" spans="1:24">
      <c r="A210" s="1">
        <v>209</v>
      </c>
      <c r="B210" s="1" t="s">
        <v>33</v>
      </c>
      <c r="C210" s="1" t="s">
        <v>51</v>
      </c>
      <c r="D210" s="1" t="s">
        <v>26</v>
      </c>
      <c r="E210" s="1" t="s">
        <v>36</v>
      </c>
      <c r="F210" s="1" t="s">
        <v>28</v>
      </c>
      <c r="G210" s="1">
        <v>1</v>
      </c>
      <c r="H210" s="1" t="s">
        <v>37</v>
      </c>
      <c r="I210" s="1" t="s">
        <v>50</v>
      </c>
      <c r="J210" s="1" t="s">
        <v>39</v>
      </c>
      <c r="K210" s="1" t="s">
        <v>33</v>
      </c>
      <c r="L210" s="1">
        <v>40</v>
      </c>
      <c r="M210" s="1">
        <v>9</v>
      </c>
      <c r="N210" s="1" t="s">
        <v>58</v>
      </c>
      <c r="O210" s="1">
        <v>4</v>
      </c>
      <c r="P210" s="1">
        <v>2</v>
      </c>
      <c r="Q210" s="1">
        <v>4</v>
      </c>
      <c r="R210" s="1">
        <v>4876</v>
      </c>
      <c r="S210" s="1">
        <v>5</v>
      </c>
      <c r="T210" s="1">
        <v>1</v>
      </c>
      <c r="U210" s="1">
        <v>3</v>
      </c>
      <c r="V210" s="1">
        <v>2</v>
      </c>
      <c r="W210" s="1">
        <v>0</v>
      </c>
      <c r="X210" s="1">
        <v>2</v>
      </c>
    </row>
    <row r="211" spans="1:24">
      <c r="A211" s="1">
        <v>210</v>
      </c>
      <c r="B211" s="1" t="s">
        <v>33</v>
      </c>
      <c r="C211" s="1" t="s">
        <v>25</v>
      </c>
      <c r="D211" s="1" t="s">
        <v>35</v>
      </c>
      <c r="E211" s="1" t="s">
        <v>36</v>
      </c>
      <c r="F211" s="1" t="s">
        <v>45</v>
      </c>
      <c r="G211" s="1">
        <v>1</v>
      </c>
      <c r="H211" s="1" t="s">
        <v>37</v>
      </c>
      <c r="I211" s="1" t="s">
        <v>50</v>
      </c>
      <c r="J211" s="1" t="s">
        <v>48</v>
      </c>
      <c r="K211" s="1" t="s">
        <v>33</v>
      </c>
      <c r="L211" s="1">
        <v>46</v>
      </c>
      <c r="M211" s="1">
        <v>1</v>
      </c>
      <c r="N211" s="1" t="s">
        <v>44</v>
      </c>
      <c r="O211" s="1">
        <v>4</v>
      </c>
      <c r="P211" s="1">
        <v>3</v>
      </c>
      <c r="Q211" s="1">
        <v>1</v>
      </c>
      <c r="R211" s="1">
        <v>9396</v>
      </c>
      <c r="S211" s="1">
        <v>17</v>
      </c>
      <c r="T211" s="1">
        <v>3</v>
      </c>
      <c r="U211" s="1">
        <v>4</v>
      </c>
      <c r="V211" s="1">
        <v>2</v>
      </c>
      <c r="W211" s="1">
        <v>0</v>
      </c>
      <c r="X211" s="1">
        <v>3</v>
      </c>
    </row>
    <row r="212" spans="1:24">
      <c r="A212" s="1">
        <v>211</v>
      </c>
      <c r="B212" s="1" t="s">
        <v>24</v>
      </c>
      <c r="C212" s="1" t="s">
        <v>25</v>
      </c>
      <c r="D212" s="1" t="s">
        <v>43</v>
      </c>
      <c r="E212" s="1" t="s">
        <v>27</v>
      </c>
      <c r="F212" s="1" t="s">
        <v>45</v>
      </c>
      <c r="G212" s="1">
        <v>1</v>
      </c>
      <c r="H212" s="1" t="s">
        <v>37</v>
      </c>
      <c r="I212" s="1" t="s">
        <v>30</v>
      </c>
      <c r="J212" s="1" t="s">
        <v>39</v>
      </c>
      <c r="K212" s="1" t="s">
        <v>33</v>
      </c>
      <c r="L212" s="1">
        <v>32</v>
      </c>
      <c r="M212" s="1">
        <v>4</v>
      </c>
      <c r="N212" s="1" t="s">
        <v>44</v>
      </c>
      <c r="O212" s="1">
        <v>4</v>
      </c>
      <c r="P212" s="1">
        <v>3</v>
      </c>
      <c r="Q212" s="1">
        <v>4</v>
      </c>
      <c r="R212" s="1">
        <v>10400</v>
      </c>
      <c r="S212" s="1">
        <v>14</v>
      </c>
      <c r="T212" s="1">
        <v>2</v>
      </c>
      <c r="U212" s="1">
        <v>14</v>
      </c>
      <c r="V212" s="1">
        <v>8</v>
      </c>
      <c r="W212" s="1">
        <v>9</v>
      </c>
      <c r="X212" s="1">
        <v>8</v>
      </c>
    </row>
    <row r="213" spans="1:24">
      <c r="A213" s="1">
        <v>212</v>
      </c>
      <c r="B213" s="1" t="s">
        <v>33</v>
      </c>
      <c r="C213" s="1" t="s">
        <v>51</v>
      </c>
      <c r="D213" s="1" t="s">
        <v>43</v>
      </c>
      <c r="E213" s="1" t="s">
        <v>36</v>
      </c>
      <c r="F213" s="1" t="s">
        <v>28</v>
      </c>
      <c r="G213" s="1">
        <v>1</v>
      </c>
      <c r="H213" s="1" t="s">
        <v>37</v>
      </c>
      <c r="I213" s="1" t="s">
        <v>49</v>
      </c>
      <c r="J213" s="1" t="s">
        <v>31</v>
      </c>
      <c r="K213" s="1" t="s">
        <v>33</v>
      </c>
      <c r="L213" s="1">
        <v>30</v>
      </c>
      <c r="M213" s="1">
        <v>1</v>
      </c>
      <c r="N213" s="1" t="s">
        <v>40</v>
      </c>
      <c r="O213" s="1">
        <v>3</v>
      </c>
      <c r="P213" s="1">
        <v>3</v>
      </c>
      <c r="Q213" s="1">
        <v>3</v>
      </c>
      <c r="R213" s="1">
        <v>8474</v>
      </c>
      <c r="S213" s="1">
        <v>12</v>
      </c>
      <c r="T213" s="1">
        <v>3</v>
      </c>
      <c r="U213" s="1">
        <v>11</v>
      </c>
      <c r="V213" s="1">
        <v>8</v>
      </c>
      <c r="W213" s="1">
        <v>5</v>
      </c>
      <c r="X213" s="1">
        <v>8</v>
      </c>
    </row>
    <row r="214" spans="1:24">
      <c r="A214" s="1">
        <v>213</v>
      </c>
      <c r="B214" s="1" t="s">
        <v>33</v>
      </c>
      <c r="C214" s="1" t="s">
        <v>34</v>
      </c>
      <c r="D214" s="1" t="s">
        <v>43</v>
      </c>
      <c r="E214" s="1" t="s">
        <v>27</v>
      </c>
      <c r="F214" s="1" t="s">
        <v>28</v>
      </c>
      <c r="G214" s="1">
        <v>1</v>
      </c>
      <c r="H214" s="1" t="s">
        <v>29</v>
      </c>
      <c r="I214" s="1" t="s">
        <v>30</v>
      </c>
      <c r="J214" s="1" t="s">
        <v>31</v>
      </c>
      <c r="K214" s="1" t="s">
        <v>33</v>
      </c>
      <c r="L214" s="1">
        <v>27</v>
      </c>
      <c r="M214" s="1">
        <v>20</v>
      </c>
      <c r="N214" s="1" t="s">
        <v>47</v>
      </c>
      <c r="O214" s="1">
        <v>4</v>
      </c>
      <c r="P214" s="1">
        <v>2</v>
      </c>
      <c r="Q214" s="1">
        <v>3</v>
      </c>
      <c r="R214" s="1">
        <v>9981</v>
      </c>
      <c r="S214" s="1">
        <v>7</v>
      </c>
      <c r="T214" s="1">
        <v>3</v>
      </c>
      <c r="U214" s="1">
        <v>7</v>
      </c>
      <c r="V214" s="1">
        <v>7</v>
      </c>
      <c r="W214" s="1">
        <v>0</v>
      </c>
      <c r="X214" s="1">
        <v>7</v>
      </c>
    </row>
    <row r="215" spans="1:24">
      <c r="A215" s="1">
        <v>214</v>
      </c>
      <c r="B215" s="1" t="s">
        <v>33</v>
      </c>
      <c r="C215" s="1" t="s">
        <v>25</v>
      </c>
      <c r="D215" s="1" t="s">
        <v>35</v>
      </c>
      <c r="E215" s="1" t="s">
        <v>36</v>
      </c>
      <c r="F215" s="1" t="s">
        <v>28</v>
      </c>
      <c r="G215" s="1">
        <v>1</v>
      </c>
      <c r="H215" s="1" t="s">
        <v>37</v>
      </c>
      <c r="I215" s="1" t="s">
        <v>55</v>
      </c>
      <c r="J215" s="1" t="s">
        <v>39</v>
      </c>
      <c r="K215" s="1" t="s">
        <v>33</v>
      </c>
      <c r="L215" s="1">
        <v>51</v>
      </c>
      <c r="M215" s="1">
        <v>8</v>
      </c>
      <c r="N215" s="1" t="s">
        <v>44</v>
      </c>
      <c r="O215" s="1">
        <v>2</v>
      </c>
      <c r="P215" s="1">
        <v>3</v>
      </c>
      <c r="Q215" s="1">
        <v>2</v>
      </c>
      <c r="R215" s="1">
        <v>12490</v>
      </c>
      <c r="S215" s="1">
        <v>16</v>
      </c>
      <c r="T215" s="1">
        <v>1</v>
      </c>
      <c r="U215" s="1">
        <v>10</v>
      </c>
      <c r="V215" s="1">
        <v>9</v>
      </c>
      <c r="W215" s="1">
        <v>4</v>
      </c>
      <c r="X215" s="1">
        <v>7</v>
      </c>
    </row>
    <row r="216" spans="1:24">
      <c r="A216" s="1">
        <v>215</v>
      </c>
      <c r="B216" s="1" t="s">
        <v>24</v>
      </c>
      <c r="C216" s="1" t="s">
        <v>25</v>
      </c>
      <c r="D216" s="1" t="s">
        <v>43</v>
      </c>
      <c r="E216" s="1" t="s">
        <v>36</v>
      </c>
      <c r="F216" s="1" t="s">
        <v>57</v>
      </c>
      <c r="G216" s="1">
        <v>1</v>
      </c>
      <c r="H216" s="1" t="s">
        <v>29</v>
      </c>
      <c r="I216" s="1" t="s">
        <v>38</v>
      </c>
      <c r="J216" s="1" t="s">
        <v>31</v>
      </c>
      <c r="K216" s="1" t="s">
        <v>24</v>
      </c>
      <c r="L216" s="1">
        <v>30</v>
      </c>
      <c r="M216" s="1">
        <v>3</v>
      </c>
      <c r="N216" s="1" t="s">
        <v>47</v>
      </c>
      <c r="O216" s="1">
        <v>4</v>
      </c>
      <c r="P216" s="1">
        <v>1</v>
      </c>
      <c r="Q216" s="1">
        <v>1</v>
      </c>
      <c r="R216" s="1">
        <v>2657</v>
      </c>
      <c r="S216" s="1">
        <v>8</v>
      </c>
      <c r="T216" s="1">
        <v>3</v>
      </c>
      <c r="U216" s="1">
        <v>5</v>
      </c>
      <c r="V216" s="1">
        <v>2</v>
      </c>
      <c r="W216" s="1">
        <v>0</v>
      </c>
      <c r="X216" s="1">
        <v>4</v>
      </c>
    </row>
    <row r="217" spans="1:24">
      <c r="A217" s="1">
        <v>216</v>
      </c>
      <c r="B217" s="1" t="s">
        <v>33</v>
      </c>
      <c r="C217" s="1" t="s">
        <v>25</v>
      </c>
      <c r="D217" s="1" t="s">
        <v>26</v>
      </c>
      <c r="E217" s="1" t="s">
        <v>27</v>
      </c>
      <c r="F217" s="1" t="s">
        <v>28</v>
      </c>
      <c r="G217" s="1">
        <v>1</v>
      </c>
      <c r="H217" s="1" t="s">
        <v>29</v>
      </c>
      <c r="I217" s="1" t="s">
        <v>53</v>
      </c>
      <c r="J217" s="1" t="s">
        <v>31</v>
      </c>
      <c r="K217" s="1" t="s">
        <v>24</v>
      </c>
      <c r="L217" s="1">
        <v>41</v>
      </c>
      <c r="M217" s="1">
        <v>6</v>
      </c>
      <c r="N217" s="1" t="s">
        <v>47</v>
      </c>
      <c r="O217" s="1">
        <v>4</v>
      </c>
      <c r="P217" s="1">
        <v>3</v>
      </c>
      <c r="Q217" s="1">
        <v>4</v>
      </c>
      <c r="R217" s="1">
        <v>13591</v>
      </c>
      <c r="S217" s="1">
        <v>16</v>
      </c>
      <c r="T217" s="1">
        <v>3</v>
      </c>
      <c r="U217" s="1">
        <v>1</v>
      </c>
      <c r="V217" s="1">
        <v>0</v>
      </c>
      <c r="W217" s="1">
        <v>0</v>
      </c>
      <c r="X217" s="1">
        <v>0</v>
      </c>
    </row>
    <row r="218" spans="1:24">
      <c r="A218" s="1">
        <v>217</v>
      </c>
      <c r="B218" s="1" t="s">
        <v>24</v>
      </c>
      <c r="C218" s="1" t="s">
        <v>34</v>
      </c>
      <c r="D218" s="1" t="s">
        <v>43</v>
      </c>
      <c r="E218" s="1" t="s">
        <v>27</v>
      </c>
      <c r="F218" s="1" t="s">
        <v>56</v>
      </c>
      <c r="G218" s="1">
        <v>1</v>
      </c>
      <c r="H218" s="1" t="s">
        <v>29</v>
      </c>
      <c r="I218" s="1" t="s">
        <v>30</v>
      </c>
      <c r="J218" s="1" t="s">
        <v>31</v>
      </c>
      <c r="K218" s="1" t="s">
        <v>33</v>
      </c>
      <c r="L218" s="1">
        <v>30</v>
      </c>
      <c r="M218" s="1">
        <v>26</v>
      </c>
      <c r="N218" s="1" t="s">
        <v>44</v>
      </c>
      <c r="O218" s="1">
        <v>3</v>
      </c>
      <c r="P218" s="1">
        <v>2</v>
      </c>
      <c r="Q218" s="1">
        <v>1</v>
      </c>
      <c r="R218" s="1">
        <v>6696</v>
      </c>
      <c r="S218" s="1">
        <v>9</v>
      </c>
      <c r="T218" s="1">
        <v>2</v>
      </c>
      <c r="U218" s="1">
        <v>6</v>
      </c>
      <c r="V218" s="1">
        <v>3</v>
      </c>
      <c r="W218" s="1">
        <v>0</v>
      </c>
      <c r="X218" s="1">
        <v>1</v>
      </c>
    </row>
    <row r="219" spans="1:24">
      <c r="A219" s="1">
        <v>218</v>
      </c>
      <c r="B219" s="1" t="s">
        <v>24</v>
      </c>
      <c r="C219" s="1" t="s">
        <v>25</v>
      </c>
      <c r="D219" s="1" t="s">
        <v>43</v>
      </c>
      <c r="E219" s="1" t="s">
        <v>36</v>
      </c>
      <c r="F219" s="1" t="s">
        <v>57</v>
      </c>
      <c r="G219" s="1">
        <v>1</v>
      </c>
      <c r="H219" s="1" t="s">
        <v>37</v>
      </c>
      <c r="I219" s="1" t="s">
        <v>38</v>
      </c>
      <c r="J219" s="1" t="s">
        <v>31</v>
      </c>
      <c r="K219" s="1" t="s">
        <v>33</v>
      </c>
      <c r="L219" s="1">
        <v>29</v>
      </c>
      <c r="M219" s="1">
        <v>1</v>
      </c>
      <c r="N219" s="1" t="s">
        <v>47</v>
      </c>
      <c r="O219" s="1">
        <v>3</v>
      </c>
      <c r="P219" s="1">
        <v>1</v>
      </c>
      <c r="Q219" s="1">
        <v>3</v>
      </c>
      <c r="R219" s="1">
        <v>2058</v>
      </c>
      <c r="S219" s="1">
        <v>7</v>
      </c>
      <c r="T219" s="1">
        <v>2</v>
      </c>
      <c r="U219" s="1">
        <v>6</v>
      </c>
      <c r="V219" s="1">
        <v>2</v>
      </c>
      <c r="W219" s="1">
        <v>1</v>
      </c>
      <c r="X219" s="1">
        <v>5</v>
      </c>
    </row>
    <row r="220" spans="1:24">
      <c r="A220" s="1">
        <v>219</v>
      </c>
      <c r="B220" s="1" t="s">
        <v>33</v>
      </c>
      <c r="C220" s="1" t="s">
        <v>51</v>
      </c>
      <c r="D220" s="1" t="s">
        <v>35</v>
      </c>
      <c r="E220" s="1" t="s">
        <v>27</v>
      </c>
      <c r="F220" s="1" t="s">
        <v>45</v>
      </c>
      <c r="G220" s="1">
        <v>1</v>
      </c>
      <c r="H220" s="1" t="s">
        <v>29</v>
      </c>
      <c r="I220" s="1" t="s">
        <v>30</v>
      </c>
      <c r="J220" s="1" t="s">
        <v>31</v>
      </c>
      <c r="K220" s="1" t="s">
        <v>33</v>
      </c>
      <c r="L220" s="1">
        <v>45</v>
      </c>
      <c r="M220" s="1">
        <v>6</v>
      </c>
      <c r="N220" s="1" t="s">
        <v>47</v>
      </c>
      <c r="O220" s="1">
        <v>4</v>
      </c>
      <c r="P220" s="1">
        <v>3</v>
      </c>
      <c r="Q220" s="1">
        <v>4</v>
      </c>
      <c r="R220" s="1">
        <v>8865</v>
      </c>
      <c r="S220" s="1">
        <v>23</v>
      </c>
      <c r="T220" s="1">
        <v>3</v>
      </c>
      <c r="U220" s="1">
        <v>19</v>
      </c>
      <c r="V220" s="1">
        <v>7</v>
      </c>
      <c r="W220" s="1">
        <v>12</v>
      </c>
      <c r="X220" s="1">
        <v>8</v>
      </c>
    </row>
    <row r="221" spans="1:24">
      <c r="A221" s="1">
        <v>220</v>
      </c>
      <c r="B221" s="1" t="s">
        <v>33</v>
      </c>
      <c r="C221" s="1" t="s">
        <v>25</v>
      </c>
      <c r="D221" s="1" t="s">
        <v>35</v>
      </c>
      <c r="E221" s="1" t="s">
        <v>27</v>
      </c>
      <c r="F221" s="1" t="s">
        <v>56</v>
      </c>
      <c r="G221" s="1">
        <v>1</v>
      </c>
      <c r="H221" s="1" t="s">
        <v>29</v>
      </c>
      <c r="I221" s="1" t="s">
        <v>30</v>
      </c>
      <c r="J221" s="1" t="s">
        <v>39</v>
      </c>
      <c r="K221" s="1" t="s">
        <v>33</v>
      </c>
      <c r="L221" s="1">
        <v>54</v>
      </c>
      <c r="M221" s="1">
        <v>3</v>
      </c>
      <c r="N221" s="1" t="s">
        <v>47</v>
      </c>
      <c r="O221" s="1">
        <v>4</v>
      </c>
      <c r="P221" s="1">
        <v>2</v>
      </c>
      <c r="Q221" s="1">
        <v>1</v>
      </c>
      <c r="R221" s="1">
        <v>5940</v>
      </c>
      <c r="S221" s="1">
        <v>16</v>
      </c>
      <c r="T221" s="1">
        <v>3</v>
      </c>
      <c r="U221" s="1">
        <v>6</v>
      </c>
      <c r="V221" s="1">
        <v>2</v>
      </c>
      <c r="W221" s="1">
        <v>0</v>
      </c>
      <c r="X221" s="1">
        <v>5</v>
      </c>
    </row>
    <row r="222" spans="1:24">
      <c r="A222" s="1">
        <v>221</v>
      </c>
      <c r="B222" s="1" t="s">
        <v>33</v>
      </c>
      <c r="C222" s="1" t="s">
        <v>25</v>
      </c>
      <c r="D222" s="1" t="s">
        <v>26</v>
      </c>
      <c r="E222" s="1" t="s">
        <v>36</v>
      </c>
      <c r="F222" s="1" t="s">
        <v>28</v>
      </c>
      <c r="G222" s="1">
        <v>1</v>
      </c>
      <c r="H222" s="1" t="s">
        <v>37</v>
      </c>
      <c r="I222" s="1" t="s">
        <v>42</v>
      </c>
      <c r="J222" s="1" t="s">
        <v>31</v>
      </c>
      <c r="K222" s="1" t="s">
        <v>33</v>
      </c>
      <c r="L222" s="1">
        <v>36</v>
      </c>
      <c r="M222" s="1">
        <v>5</v>
      </c>
      <c r="N222" s="1" t="s">
        <v>32</v>
      </c>
      <c r="O222" s="1">
        <v>4</v>
      </c>
      <c r="P222" s="1">
        <v>2</v>
      </c>
      <c r="Q222" s="1">
        <v>2</v>
      </c>
      <c r="R222" s="1">
        <v>5914</v>
      </c>
      <c r="S222" s="1">
        <v>16</v>
      </c>
      <c r="T222" s="1">
        <v>4</v>
      </c>
      <c r="U222" s="1">
        <v>13</v>
      </c>
      <c r="V222" s="1">
        <v>11</v>
      </c>
      <c r="W222" s="1">
        <v>3</v>
      </c>
      <c r="X222" s="1">
        <v>7</v>
      </c>
    </row>
    <row r="223" spans="1:24">
      <c r="A223" s="1">
        <v>222</v>
      </c>
      <c r="B223" s="1" t="s">
        <v>33</v>
      </c>
      <c r="C223" s="1" t="s">
        <v>25</v>
      </c>
      <c r="D223" s="1" t="s">
        <v>43</v>
      </c>
      <c r="E223" s="1" t="s">
        <v>36</v>
      </c>
      <c r="F223" s="1" t="s">
        <v>45</v>
      </c>
      <c r="G223" s="1">
        <v>1</v>
      </c>
      <c r="H223" s="1" t="s">
        <v>29</v>
      </c>
      <c r="I223" s="1" t="s">
        <v>38</v>
      </c>
      <c r="J223" s="1" t="s">
        <v>39</v>
      </c>
      <c r="K223" s="1" t="s">
        <v>33</v>
      </c>
      <c r="L223" s="1">
        <v>33</v>
      </c>
      <c r="M223" s="1">
        <v>4</v>
      </c>
      <c r="N223" s="1" t="s">
        <v>44</v>
      </c>
      <c r="O223" s="1">
        <v>3</v>
      </c>
      <c r="P223" s="1">
        <v>1</v>
      </c>
      <c r="Q223" s="1">
        <v>2</v>
      </c>
      <c r="R223" s="1">
        <v>2622</v>
      </c>
      <c r="S223" s="1">
        <v>7</v>
      </c>
      <c r="T223" s="1">
        <v>3</v>
      </c>
      <c r="U223" s="1">
        <v>3</v>
      </c>
      <c r="V223" s="1">
        <v>2</v>
      </c>
      <c r="W223" s="1">
        <v>1</v>
      </c>
      <c r="X223" s="1">
        <v>1</v>
      </c>
    </row>
    <row r="224" spans="1:24">
      <c r="A224" s="1">
        <v>223</v>
      </c>
      <c r="B224" s="1" t="s">
        <v>33</v>
      </c>
      <c r="C224" s="1" t="s">
        <v>34</v>
      </c>
      <c r="D224" s="1" t="s">
        <v>26</v>
      </c>
      <c r="E224" s="1" t="s">
        <v>36</v>
      </c>
      <c r="F224" s="1" t="s">
        <v>41</v>
      </c>
      <c r="G224" s="1">
        <v>1</v>
      </c>
      <c r="H224" s="1" t="s">
        <v>37</v>
      </c>
      <c r="I224" s="1" t="s">
        <v>55</v>
      </c>
      <c r="J224" s="1" t="s">
        <v>48</v>
      </c>
      <c r="K224" s="1" t="s">
        <v>24</v>
      </c>
      <c r="L224" s="1">
        <v>37</v>
      </c>
      <c r="M224" s="1">
        <v>11</v>
      </c>
      <c r="N224" s="1" t="s">
        <v>47</v>
      </c>
      <c r="O224" s="1">
        <v>2</v>
      </c>
      <c r="P224" s="1">
        <v>3</v>
      </c>
      <c r="Q224" s="1">
        <v>4</v>
      </c>
      <c r="R224" s="1">
        <v>12185</v>
      </c>
      <c r="S224" s="1">
        <v>10</v>
      </c>
      <c r="T224" s="1">
        <v>3</v>
      </c>
      <c r="U224" s="1">
        <v>10</v>
      </c>
      <c r="V224" s="1">
        <v>8</v>
      </c>
      <c r="W224" s="1">
        <v>0</v>
      </c>
      <c r="X224" s="1">
        <v>7</v>
      </c>
    </row>
    <row r="225" spans="1:24">
      <c r="A225" s="1">
        <v>224</v>
      </c>
      <c r="B225" s="1" t="s">
        <v>33</v>
      </c>
      <c r="C225" s="1" t="s">
        <v>25</v>
      </c>
      <c r="D225" s="1" t="s">
        <v>26</v>
      </c>
      <c r="E225" s="1" t="s">
        <v>27</v>
      </c>
      <c r="F225" s="1" t="s">
        <v>28</v>
      </c>
      <c r="G225" s="1">
        <v>1</v>
      </c>
      <c r="H225" s="1" t="s">
        <v>37</v>
      </c>
      <c r="I225" s="1" t="s">
        <v>30</v>
      </c>
      <c r="J225" s="1" t="s">
        <v>48</v>
      </c>
      <c r="K225" s="1" t="s">
        <v>33</v>
      </c>
      <c r="L225" s="1">
        <v>38</v>
      </c>
      <c r="M225" s="1">
        <v>3</v>
      </c>
      <c r="N225" s="1" t="s">
        <v>47</v>
      </c>
      <c r="O225" s="1">
        <v>1</v>
      </c>
      <c r="P225" s="1">
        <v>3</v>
      </c>
      <c r="Q225" s="1">
        <v>3</v>
      </c>
      <c r="R225" s="1">
        <v>10609</v>
      </c>
      <c r="S225" s="1">
        <v>17</v>
      </c>
      <c r="T225" s="1">
        <v>2</v>
      </c>
      <c r="U225" s="1">
        <v>16</v>
      </c>
      <c r="V225" s="1">
        <v>10</v>
      </c>
      <c r="W225" s="1">
        <v>5</v>
      </c>
      <c r="X225" s="1">
        <v>13</v>
      </c>
    </row>
    <row r="226" spans="1:24">
      <c r="A226" s="1">
        <v>225</v>
      </c>
      <c r="B226" s="1" t="s">
        <v>33</v>
      </c>
      <c r="C226" s="1" t="s">
        <v>51</v>
      </c>
      <c r="D226" s="1" t="s">
        <v>43</v>
      </c>
      <c r="E226" s="1" t="s">
        <v>36</v>
      </c>
      <c r="F226" s="1" t="s">
        <v>45</v>
      </c>
      <c r="G226" s="1">
        <v>1</v>
      </c>
      <c r="H226" s="1" t="s">
        <v>37</v>
      </c>
      <c r="I226" s="1" t="s">
        <v>49</v>
      </c>
      <c r="J226" s="1" t="s">
        <v>39</v>
      </c>
      <c r="K226" s="1" t="s">
        <v>33</v>
      </c>
      <c r="L226" s="1">
        <v>31</v>
      </c>
      <c r="M226" s="1">
        <v>1</v>
      </c>
      <c r="N226" s="1" t="s">
        <v>44</v>
      </c>
      <c r="O226" s="1">
        <v>3</v>
      </c>
      <c r="P226" s="1">
        <v>2</v>
      </c>
      <c r="Q226" s="1">
        <v>3</v>
      </c>
      <c r="R226" s="1">
        <v>4345</v>
      </c>
      <c r="S226" s="1">
        <v>6</v>
      </c>
      <c r="T226" s="1">
        <v>3</v>
      </c>
      <c r="U226" s="1">
        <v>5</v>
      </c>
      <c r="V226" s="1">
        <v>4</v>
      </c>
      <c r="W226" s="1">
        <v>1</v>
      </c>
      <c r="X226" s="1">
        <v>4</v>
      </c>
    </row>
    <row r="227" spans="1:24">
      <c r="A227" s="1">
        <v>226</v>
      </c>
      <c r="B227" s="1" t="s">
        <v>33</v>
      </c>
      <c r="C227" s="1" t="s">
        <v>25</v>
      </c>
      <c r="D227" s="1" t="s">
        <v>46</v>
      </c>
      <c r="E227" s="1" t="s">
        <v>36</v>
      </c>
      <c r="F227" s="1" t="s">
        <v>28</v>
      </c>
      <c r="G227" s="1">
        <v>1</v>
      </c>
      <c r="H227" s="1" t="s">
        <v>37</v>
      </c>
      <c r="I227" s="1" t="s">
        <v>38</v>
      </c>
      <c r="J227" s="1" t="s">
        <v>39</v>
      </c>
      <c r="K227" s="1" t="s">
        <v>33</v>
      </c>
      <c r="L227" s="1">
        <v>59</v>
      </c>
      <c r="M227" s="1">
        <v>3</v>
      </c>
      <c r="N227" s="1" t="s">
        <v>47</v>
      </c>
      <c r="O227" s="1">
        <v>3</v>
      </c>
      <c r="P227" s="1">
        <v>1</v>
      </c>
      <c r="Q227" s="1">
        <v>4</v>
      </c>
      <c r="R227" s="1">
        <v>2177</v>
      </c>
      <c r="S227" s="1">
        <v>7</v>
      </c>
      <c r="T227" s="1">
        <v>3</v>
      </c>
      <c r="U227" s="1">
        <v>1</v>
      </c>
      <c r="V227" s="1">
        <v>0</v>
      </c>
      <c r="W227" s="1">
        <v>0</v>
      </c>
      <c r="X227" s="1">
        <v>0</v>
      </c>
    </row>
    <row r="228" spans="1:24">
      <c r="A228" s="1">
        <v>227</v>
      </c>
      <c r="B228" s="1" t="s">
        <v>33</v>
      </c>
      <c r="C228" s="1" t="s">
        <v>34</v>
      </c>
      <c r="D228" s="1" t="s">
        <v>26</v>
      </c>
      <c r="E228" s="1" t="s">
        <v>27</v>
      </c>
      <c r="F228" s="1" t="s">
        <v>56</v>
      </c>
      <c r="G228" s="1">
        <v>1</v>
      </c>
      <c r="H228" s="1" t="s">
        <v>37</v>
      </c>
      <c r="I228" s="1" t="s">
        <v>54</v>
      </c>
      <c r="J228" s="1" t="s">
        <v>48</v>
      </c>
      <c r="K228" s="1" t="s">
        <v>33</v>
      </c>
      <c r="L228" s="1">
        <v>37</v>
      </c>
      <c r="M228" s="1">
        <v>4</v>
      </c>
      <c r="N228" s="1" t="s">
        <v>44</v>
      </c>
      <c r="O228" s="1">
        <v>1</v>
      </c>
      <c r="P228" s="1">
        <v>1</v>
      </c>
      <c r="Q228" s="1">
        <v>4</v>
      </c>
      <c r="R228" s="1">
        <v>2793</v>
      </c>
      <c r="S228" s="1">
        <v>13</v>
      </c>
      <c r="T228" s="1">
        <v>3</v>
      </c>
      <c r="U228" s="1">
        <v>9</v>
      </c>
      <c r="V228" s="1">
        <v>8</v>
      </c>
      <c r="W228" s="1">
        <v>5</v>
      </c>
      <c r="X228" s="1">
        <v>8</v>
      </c>
    </row>
    <row r="229" spans="1:24">
      <c r="A229" s="1">
        <v>228</v>
      </c>
      <c r="B229" s="1" t="s">
        <v>33</v>
      </c>
      <c r="C229" s="1" t="s">
        <v>34</v>
      </c>
      <c r="D229" s="1" t="s">
        <v>43</v>
      </c>
      <c r="E229" s="1" t="s">
        <v>27</v>
      </c>
      <c r="F229" s="1" t="s">
        <v>45</v>
      </c>
      <c r="G229" s="1">
        <v>1</v>
      </c>
      <c r="H229" s="1" t="s">
        <v>29</v>
      </c>
      <c r="I229" s="1" t="s">
        <v>30</v>
      </c>
      <c r="J229" s="1" t="s">
        <v>39</v>
      </c>
      <c r="K229" s="1" t="s">
        <v>33</v>
      </c>
      <c r="L229" s="1">
        <v>29</v>
      </c>
      <c r="M229" s="1">
        <v>1</v>
      </c>
      <c r="N229" s="1" t="s">
        <v>40</v>
      </c>
      <c r="O229" s="1">
        <v>2</v>
      </c>
      <c r="P229" s="1">
        <v>3</v>
      </c>
      <c r="Q229" s="1">
        <v>4</v>
      </c>
      <c r="R229" s="1">
        <v>7918</v>
      </c>
      <c r="S229" s="1">
        <v>11</v>
      </c>
      <c r="T229" s="1">
        <v>3</v>
      </c>
      <c r="U229" s="1">
        <v>11</v>
      </c>
      <c r="V229" s="1">
        <v>10</v>
      </c>
      <c r="W229" s="1">
        <v>4</v>
      </c>
      <c r="X229" s="1">
        <v>1</v>
      </c>
    </row>
    <row r="230" spans="1:24">
      <c r="A230" s="1">
        <v>229</v>
      </c>
      <c r="B230" s="1" t="s">
        <v>33</v>
      </c>
      <c r="C230" s="1" t="s">
        <v>34</v>
      </c>
      <c r="D230" s="1" t="s">
        <v>26</v>
      </c>
      <c r="E230" s="1" t="s">
        <v>27</v>
      </c>
      <c r="F230" s="1" t="s">
        <v>56</v>
      </c>
      <c r="G230" s="1">
        <v>1</v>
      </c>
      <c r="H230" s="1" t="s">
        <v>29</v>
      </c>
      <c r="I230" s="1" t="s">
        <v>30</v>
      </c>
      <c r="J230" s="1" t="s">
        <v>31</v>
      </c>
      <c r="K230" s="1" t="s">
        <v>33</v>
      </c>
      <c r="L230" s="1">
        <v>35</v>
      </c>
      <c r="M230" s="1">
        <v>1</v>
      </c>
      <c r="N230" s="1" t="s">
        <v>47</v>
      </c>
      <c r="O230" s="1">
        <v>3</v>
      </c>
      <c r="P230" s="1">
        <v>3</v>
      </c>
      <c r="Q230" s="1">
        <v>3</v>
      </c>
      <c r="R230" s="1">
        <v>8789</v>
      </c>
      <c r="S230" s="1">
        <v>10</v>
      </c>
      <c r="T230" s="1">
        <v>4</v>
      </c>
      <c r="U230" s="1">
        <v>10</v>
      </c>
      <c r="V230" s="1">
        <v>7</v>
      </c>
      <c r="W230" s="1">
        <v>0</v>
      </c>
      <c r="X230" s="1">
        <v>8</v>
      </c>
    </row>
    <row r="231" spans="1:24">
      <c r="A231" s="1">
        <v>230</v>
      </c>
      <c r="B231" s="1" t="s">
        <v>24</v>
      </c>
      <c r="C231" s="1" t="s">
        <v>25</v>
      </c>
      <c r="D231" s="1" t="s">
        <v>43</v>
      </c>
      <c r="E231" s="1" t="s">
        <v>36</v>
      </c>
      <c r="F231" s="1" t="s">
        <v>45</v>
      </c>
      <c r="G231" s="1">
        <v>1</v>
      </c>
      <c r="H231" s="1" t="s">
        <v>37</v>
      </c>
      <c r="I231" s="1" t="s">
        <v>38</v>
      </c>
      <c r="J231" s="1" t="s">
        <v>31</v>
      </c>
      <c r="K231" s="1" t="s">
        <v>24</v>
      </c>
      <c r="L231" s="1">
        <v>29</v>
      </c>
      <c r="M231" s="1">
        <v>18</v>
      </c>
      <c r="N231" s="1" t="s">
        <v>40</v>
      </c>
      <c r="O231" s="1">
        <v>3</v>
      </c>
      <c r="P231" s="1">
        <v>1</v>
      </c>
      <c r="Q231" s="1">
        <v>4</v>
      </c>
      <c r="R231" s="1">
        <v>2389</v>
      </c>
      <c r="S231" s="1">
        <v>4</v>
      </c>
      <c r="T231" s="1">
        <v>2</v>
      </c>
      <c r="U231" s="1">
        <v>4</v>
      </c>
      <c r="V231" s="1">
        <v>3</v>
      </c>
      <c r="W231" s="1">
        <v>0</v>
      </c>
      <c r="X231" s="1">
        <v>1</v>
      </c>
    </row>
    <row r="232" spans="1:24">
      <c r="A232" s="1">
        <v>231</v>
      </c>
      <c r="B232" s="1" t="s">
        <v>33</v>
      </c>
      <c r="C232" s="1" t="s">
        <v>25</v>
      </c>
      <c r="D232" s="1" t="s">
        <v>35</v>
      </c>
      <c r="E232" s="1" t="s">
        <v>36</v>
      </c>
      <c r="F232" s="1" t="s">
        <v>28</v>
      </c>
      <c r="G232" s="1">
        <v>1</v>
      </c>
      <c r="H232" s="1" t="s">
        <v>29</v>
      </c>
      <c r="I232" s="1" t="s">
        <v>42</v>
      </c>
      <c r="J232" s="1" t="s">
        <v>31</v>
      </c>
      <c r="K232" s="1" t="s">
        <v>33</v>
      </c>
      <c r="L232" s="1">
        <v>52</v>
      </c>
      <c r="M232" s="1">
        <v>2</v>
      </c>
      <c r="N232" s="1" t="s">
        <v>47</v>
      </c>
      <c r="O232" s="1">
        <v>3</v>
      </c>
      <c r="P232" s="1">
        <v>1</v>
      </c>
      <c r="Q232" s="1">
        <v>4</v>
      </c>
      <c r="R232" s="1">
        <v>3212</v>
      </c>
      <c r="S232" s="1">
        <v>6</v>
      </c>
      <c r="T232" s="1">
        <v>2</v>
      </c>
      <c r="U232" s="1">
        <v>2</v>
      </c>
      <c r="V232" s="1">
        <v>2</v>
      </c>
      <c r="W232" s="1">
        <v>2</v>
      </c>
      <c r="X232" s="1">
        <v>2</v>
      </c>
    </row>
    <row r="233" spans="1:24">
      <c r="A233" s="1">
        <v>232</v>
      </c>
      <c r="B233" s="1" t="s">
        <v>33</v>
      </c>
      <c r="C233" s="1" t="s">
        <v>25</v>
      </c>
      <c r="D233" s="1" t="s">
        <v>26</v>
      </c>
      <c r="E233" s="1" t="s">
        <v>36</v>
      </c>
      <c r="F233" s="1" t="s">
        <v>57</v>
      </c>
      <c r="G233" s="1">
        <v>1</v>
      </c>
      <c r="H233" s="1" t="s">
        <v>37</v>
      </c>
      <c r="I233" s="1" t="s">
        <v>53</v>
      </c>
      <c r="J233" s="1" t="s">
        <v>39</v>
      </c>
      <c r="K233" s="1" t="s">
        <v>33</v>
      </c>
      <c r="L233" s="1">
        <v>42</v>
      </c>
      <c r="M233" s="1">
        <v>4</v>
      </c>
      <c r="N233" s="1" t="s">
        <v>32</v>
      </c>
      <c r="O233" s="1">
        <v>3</v>
      </c>
      <c r="P233" s="1">
        <v>5</v>
      </c>
      <c r="Q233" s="1">
        <v>4</v>
      </c>
      <c r="R233" s="1">
        <v>19232</v>
      </c>
      <c r="S233" s="1">
        <v>22</v>
      </c>
      <c r="T233" s="1">
        <v>3</v>
      </c>
      <c r="U233" s="1">
        <v>22</v>
      </c>
      <c r="V233" s="1">
        <v>17</v>
      </c>
      <c r="W233" s="1">
        <v>11</v>
      </c>
      <c r="X233" s="1">
        <v>15</v>
      </c>
    </row>
    <row r="234" spans="1:24">
      <c r="A234" s="1">
        <v>233</v>
      </c>
      <c r="B234" s="1" t="s">
        <v>33</v>
      </c>
      <c r="C234" s="1" t="s">
        <v>25</v>
      </c>
      <c r="D234" s="1" t="s">
        <v>46</v>
      </c>
      <c r="E234" s="1" t="s">
        <v>59</v>
      </c>
      <c r="F234" s="1" t="s">
        <v>45</v>
      </c>
      <c r="G234" s="1">
        <v>1</v>
      </c>
      <c r="H234" s="1" t="s">
        <v>37</v>
      </c>
      <c r="I234" s="1" t="s">
        <v>60</v>
      </c>
      <c r="J234" s="1" t="s">
        <v>39</v>
      </c>
      <c r="K234" s="1" t="s">
        <v>33</v>
      </c>
      <c r="L234" s="1">
        <v>59</v>
      </c>
      <c r="M234" s="1">
        <v>6</v>
      </c>
      <c r="N234" s="1" t="s">
        <v>32</v>
      </c>
      <c r="O234" s="1">
        <v>2</v>
      </c>
      <c r="P234" s="1">
        <v>1</v>
      </c>
      <c r="Q234" s="1">
        <v>3</v>
      </c>
      <c r="R234" s="1">
        <v>2267</v>
      </c>
      <c r="S234" s="1">
        <v>7</v>
      </c>
      <c r="T234" s="1">
        <v>2</v>
      </c>
      <c r="U234" s="1">
        <v>2</v>
      </c>
      <c r="V234" s="1">
        <v>2</v>
      </c>
      <c r="W234" s="1">
        <v>2</v>
      </c>
      <c r="X234" s="1">
        <v>2</v>
      </c>
    </row>
    <row r="235" spans="1:24">
      <c r="A235" s="1">
        <v>234</v>
      </c>
      <c r="B235" s="1" t="s">
        <v>33</v>
      </c>
      <c r="C235" s="1" t="s">
        <v>25</v>
      </c>
      <c r="D235" s="1" t="s">
        <v>35</v>
      </c>
      <c r="E235" s="1" t="s">
        <v>27</v>
      </c>
      <c r="F235" s="1" t="s">
        <v>45</v>
      </c>
      <c r="G235" s="1">
        <v>1</v>
      </c>
      <c r="H235" s="1" t="s">
        <v>29</v>
      </c>
      <c r="I235" s="1" t="s">
        <v>53</v>
      </c>
      <c r="J235" s="1" t="s">
        <v>48</v>
      </c>
      <c r="K235" s="1" t="s">
        <v>33</v>
      </c>
      <c r="L235" s="1">
        <v>50</v>
      </c>
      <c r="M235" s="1">
        <v>1</v>
      </c>
      <c r="N235" s="1" t="s">
        <v>44</v>
      </c>
      <c r="O235" s="1">
        <v>4</v>
      </c>
      <c r="P235" s="1">
        <v>5</v>
      </c>
      <c r="Q235" s="1">
        <v>4</v>
      </c>
      <c r="R235" s="1">
        <v>19517</v>
      </c>
      <c r="S235" s="1">
        <v>32</v>
      </c>
      <c r="T235" s="1">
        <v>2</v>
      </c>
      <c r="U235" s="1">
        <v>7</v>
      </c>
      <c r="V235" s="1">
        <v>0</v>
      </c>
      <c r="W235" s="1">
        <v>0</v>
      </c>
      <c r="X235" s="1">
        <v>6</v>
      </c>
    </row>
    <row r="236" spans="1:24">
      <c r="A236" s="1">
        <v>235</v>
      </c>
      <c r="B236" s="1" t="s">
        <v>24</v>
      </c>
      <c r="C236" s="1" t="s">
        <v>25</v>
      </c>
      <c r="D236" s="1" t="s">
        <v>43</v>
      </c>
      <c r="E236" s="1" t="s">
        <v>36</v>
      </c>
      <c r="F236" s="1" t="s">
        <v>45</v>
      </c>
      <c r="G236" s="1">
        <v>1</v>
      </c>
      <c r="H236" s="1" t="s">
        <v>37</v>
      </c>
      <c r="I236" s="1" t="s">
        <v>42</v>
      </c>
      <c r="J236" s="1" t="s">
        <v>39</v>
      </c>
      <c r="K236" s="1" t="s">
        <v>24</v>
      </c>
      <c r="L236" s="1">
        <v>33</v>
      </c>
      <c r="M236" s="1">
        <v>14</v>
      </c>
      <c r="N236" s="1" t="s">
        <v>47</v>
      </c>
      <c r="O236" s="1">
        <v>3</v>
      </c>
      <c r="P236" s="1">
        <v>1</v>
      </c>
      <c r="Q236" s="1">
        <v>4</v>
      </c>
      <c r="R236" s="1">
        <v>2436</v>
      </c>
      <c r="S236" s="1">
        <v>8</v>
      </c>
      <c r="T236" s="1">
        <v>1</v>
      </c>
      <c r="U236" s="1">
        <v>5</v>
      </c>
      <c r="V236" s="1">
        <v>4</v>
      </c>
      <c r="W236" s="1">
        <v>0</v>
      </c>
      <c r="X236" s="1">
        <v>4</v>
      </c>
    </row>
    <row r="237" spans="1:24">
      <c r="A237" s="1">
        <v>236</v>
      </c>
      <c r="B237" s="1" t="s">
        <v>33</v>
      </c>
      <c r="C237" s="1" t="s">
        <v>25</v>
      </c>
      <c r="D237" s="1" t="s">
        <v>26</v>
      </c>
      <c r="E237" s="1" t="s">
        <v>27</v>
      </c>
      <c r="F237" s="1" t="s">
        <v>56</v>
      </c>
      <c r="G237" s="1">
        <v>1</v>
      </c>
      <c r="H237" s="1" t="s">
        <v>29</v>
      </c>
      <c r="I237" s="1" t="s">
        <v>53</v>
      </c>
      <c r="J237" s="1" t="s">
        <v>39</v>
      </c>
      <c r="K237" s="1" t="s">
        <v>24</v>
      </c>
      <c r="L237" s="1">
        <v>43</v>
      </c>
      <c r="M237" s="1">
        <v>16</v>
      </c>
      <c r="N237" s="1" t="s">
        <v>47</v>
      </c>
      <c r="O237" s="1">
        <v>4</v>
      </c>
      <c r="P237" s="1">
        <v>4</v>
      </c>
      <c r="Q237" s="1">
        <v>4</v>
      </c>
      <c r="R237" s="1">
        <v>16064</v>
      </c>
      <c r="S237" s="1">
        <v>22</v>
      </c>
      <c r="T237" s="1">
        <v>3</v>
      </c>
      <c r="U237" s="1">
        <v>17</v>
      </c>
      <c r="V237" s="1">
        <v>13</v>
      </c>
      <c r="W237" s="1">
        <v>1</v>
      </c>
      <c r="X237" s="1">
        <v>9</v>
      </c>
    </row>
    <row r="238" spans="1:24">
      <c r="A238" s="1">
        <v>237</v>
      </c>
      <c r="B238" s="1" t="s">
        <v>24</v>
      </c>
      <c r="C238" s="1" t="s">
        <v>25</v>
      </c>
      <c r="D238" s="1" t="s">
        <v>43</v>
      </c>
      <c r="E238" s="1" t="s">
        <v>36</v>
      </c>
      <c r="F238" s="1" t="s">
        <v>28</v>
      </c>
      <c r="G238" s="1">
        <v>1</v>
      </c>
      <c r="H238" s="1" t="s">
        <v>29</v>
      </c>
      <c r="I238" s="1" t="s">
        <v>42</v>
      </c>
      <c r="J238" s="1" t="s">
        <v>39</v>
      </c>
      <c r="K238" s="1" t="s">
        <v>33</v>
      </c>
      <c r="L238" s="1">
        <v>33</v>
      </c>
      <c r="M238" s="1">
        <v>2</v>
      </c>
      <c r="N238" s="1" t="s">
        <v>32</v>
      </c>
      <c r="O238" s="1">
        <v>1</v>
      </c>
      <c r="P238" s="1">
        <v>1</v>
      </c>
      <c r="Q238" s="1">
        <v>1</v>
      </c>
      <c r="R238" s="1">
        <v>2707</v>
      </c>
      <c r="S238" s="1">
        <v>13</v>
      </c>
      <c r="T238" s="1">
        <v>4</v>
      </c>
      <c r="U238" s="1">
        <v>9</v>
      </c>
      <c r="V238" s="1">
        <v>7</v>
      </c>
      <c r="W238" s="1">
        <v>1</v>
      </c>
      <c r="X238" s="1">
        <v>7</v>
      </c>
    </row>
    <row r="239" spans="1:24">
      <c r="A239" s="1">
        <v>238</v>
      </c>
      <c r="B239" s="1" t="s">
        <v>33</v>
      </c>
      <c r="C239" s="1" t="s">
        <v>51</v>
      </c>
      <c r="D239" s="1" t="s">
        <v>35</v>
      </c>
      <c r="E239" s="1" t="s">
        <v>27</v>
      </c>
      <c r="F239" s="1" t="s">
        <v>28</v>
      </c>
      <c r="G239" s="1">
        <v>1</v>
      </c>
      <c r="H239" s="1" t="s">
        <v>37</v>
      </c>
      <c r="I239" s="1" t="s">
        <v>53</v>
      </c>
      <c r="J239" s="1" t="s">
        <v>31</v>
      </c>
      <c r="K239" s="1" t="s">
        <v>24</v>
      </c>
      <c r="L239" s="1">
        <v>52</v>
      </c>
      <c r="M239" s="1">
        <v>2</v>
      </c>
      <c r="N239" s="1" t="s">
        <v>44</v>
      </c>
      <c r="O239" s="1">
        <v>1</v>
      </c>
      <c r="P239" s="1">
        <v>5</v>
      </c>
      <c r="Q239" s="1">
        <v>3</v>
      </c>
      <c r="R239" s="1">
        <v>19068</v>
      </c>
      <c r="S239" s="1">
        <v>33</v>
      </c>
      <c r="T239" s="1">
        <v>4</v>
      </c>
      <c r="U239" s="1">
        <v>33</v>
      </c>
      <c r="V239" s="1">
        <v>7</v>
      </c>
      <c r="W239" s="1">
        <v>15</v>
      </c>
      <c r="X239" s="1">
        <v>12</v>
      </c>
    </row>
    <row r="240" spans="1:24">
      <c r="A240" s="1">
        <v>239</v>
      </c>
      <c r="B240" s="1" t="s">
        <v>33</v>
      </c>
      <c r="C240" s="1" t="s">
        <v>25</v>
      </c>
      <c r="D240" s="1" t="s">
        <v>43</v>
      </c>
      <c r="E240" s="1" t="s">
        <v>27</v>
      </c>
      <c r="F240" s="1" t="s">
        <v>28</v>
      </c>
      <c r="G240" s="1">
        <v>1</v>
      </c>
      <c r="H240" s="1" t="s">
        <v>29</v>
      </c>
      <c r="I240" s="1" t="s">
        <v>54</v>
      </c>
      <c r="J240" s="1" t="s">
        <v>39</v>
      </c>
      <c r="K240" s="1" t="s">
        <v>33</v>
      </c>
      <c r="L240" s="1">
        <v>32</v>
      </c>
      <c r="M240" s="1">
        <v>4</v>
      </c>
      <c r="N240" s="1" t="s">
        <v>32</v>
      </c>
      <c r="O240" s="1">
        <v>3</v>
      </c>
      <c r="P240" s="1">
        <v>1</v>
      </c>
      <c r="Q240" s="1">
        <v>2</v>
      </c>
      <c r="R240" s="1">
        <v>3931</v>
      </c>
      <c r="S240" s="1">
        <v>6</v>
      </c>
      <c r="T240" s="1">
        <v>3</v>
      </c>
      <c r="U240" s="1">
        <v>4</v>
      </c>
      <c r="V240" s="1">
        <v>3</v>
      </c>
      <c r="W240" s="1">
        <v>1</v>
      </c>
      <c r="X240" s="1">
        <v>2</v>
      </c>
    </row>
    <row r="241" spans="1:24">
      <c r="A241" s="1">
        <v>240</v>
      </c>
      <c r="B241" s="1" t="s">
        <v>24</v>
      </c>
      <c r="C241" s="1" t="s">
        <v>25</v>
      </c>
      <c r="D241" s="1" t="s">
        <v>43</v>
      </c>
      <c r="E241" s="1" t="s">
        <v>36</v>
      </c>
      <c r="F241" s="1" t="s">
        <v>28</v>
      </c>
      <c r="G241" s="1">
        <v>1</v>
      </c>
      <c r="H241" s="1" t="s">
        <v>37</v>
      </c>
      <c r="I241" s="1" t="s">
        <v>42</v>
      </c>
      <c r="J241" s="1" t="s">
        <v>31</v>
      </c>
      <c r="K241" s="1" t="s">
        <v>24</v>
      </c>
      <c r="L241" s="1">
        <v>32</v>
      </c>
      <c r="M241" s="1">
        <v>1</v>
      </c>
      <c r="N241" s="1" t="s">
        <v>47</v>
      </c>
      <c r="O241" s="1">
        <v>4</v>
      </c>
      <c r="P241" s="1">
        <v>1</v>
      </c>
      <c r="Q241" s="1">
        <v>3</v>
      </c>
      <c r="R241" s="1">
        <v>3730</v>
      </c>
      <c r="S241" s="1">
        <v>4</v>
      </c>
      <c r="T241" s="1">
        <v>1</v>
      </c>
      <c r="U241" s="1">
        <v>3</v>
      </c>
      <c r="V241" s="1">
        <v>2</v>
      </c>
      <c r="W241" s="1">
        <v>1</v>
      </c>
      <c r="X241" s="1">
        <v>2</v>
      </c>
    </row>
    <row r="242" spans="1:24">
      <c r="A242" s="1">
        <v>241</v>
      </c>
      <c r="B242" s="1" t="s">
        <v>33</v>
      </c>
      <c r="C242" s="1" t="s">
        <v>25</v>
      </c>
      <c r="D242" s="1" t="s">
        <v>26</v>
      </c>
      <c r="E242" s="1" t="s">
        <v>36</v>
      </c>
      <c r="F242" s="1" t="s">
        <v>45</v>
      </c>
      <c r="G242" s="1">
        <v>1</v>
      </c>
      <c r="H242" s="1" t="s">
        <v>29</v>
      </c>
      <c r="I242" s="1" t="s">
        <v>42</v>
      </c>
      <c r="J242" s="1" t="s">
        <v>48</v>
      </c>
      <c r="K242" s="1" t="s">
        <v>33</v>
      </c>
      <c r="L242" s="1">
        <v>39</v>
      </c>
      <c r="M242" s="1">
        <v>1</v>
      </c>
      <c r="N242" s="1" t="s">
        <v>44</v>
      </c>
      <c r="O242" s="1">
        <v>3</v>
      </c>
      <c r="P242" s="1">
        <v>1</v>
      </c>
      <c r="Q242" s="1">
        <v>3</v>
      </c>
      <c r="R242" s="1">
        <v>2232</v>
      </c>
      <c r="S242" s="1">
        <v>7</v>
      </c>
      <c r="T242" s="1">
        <v>3</v>
      </c>
      <c r="U242" s="1">
        <v>3</v>
      </c>
      <c r="V242" s="1">
        <v>2</v>
      </c>
      <c r="W242" s="1">
        <v>1</v>
      </c>
      <c r="X242" s="1">
        <v>2</v>
      </c>
    </row>
    <row r="243" spans="1:24">
      <c r="A243" s="1">
        <v>242</v>
      </c>
      <c r="B243" s="1" t="s">
        <v>33</v>
      </c>
      <c r="C243" s="1" t="s">
        <v>51</v>
      </c>
      <c r="D243" s="1" t="s">
        <v>43</v>
      </c>
      <c r="E243" s="1" t="s">
        <v>27</v>
      </c>
      <c r="F243" s="1" t="s">
        <v>56</v>
      </c>
      <c r="G243" s="1">
        <v>1</v>
      </c>
      <c r="H243" s="1" t="s">
        <v>37</v>
      </c>
      <c r="I243" s="1" t="s">
        <v>30</v>
      </c>
      <c r="J243" s="1" t="s">
        <v>39</v>
      </c>
      <c r="K243" s="1" t="s">
        <v>33</v>
      </c>
      <c r="L243" s="1">
        <v>32</v>
      </c>
      <c r="M243" s="1">
        <v>26</v>
      </c>
      <c r="N243" s="1" t="s">
        <v>44</v>
      </c>
      <c r="O243" s="1">
        <v>3</v>
      </c>
      <c r="P243" s="1">
        <v>2</v>
      </c>
      <c r="Q243" s="1">
        <v>4</v>
      </c>
      <c r="R243" s="1">
        <v>4465</v>
      </c>
      <c r="S243" s="1">
        <v>4</v>
      </c>
      <c r="T243" s="1">
        <v>3</v>
      </c>
      <c r="U243" s="1">
        <v>3</v>
      </c>
      <c r="V243" s="1">
        <v>2</v>
      </c>
      <c r="W243" s="1">
        <v>2</v>
      </c>
      <c r="X243" s="1">
        <v>2</v>
      </c>
    </row>
    <row r="244" spans="1:24">
      <c r="A244" s="1">
        <v>243</v>
      </c>
      <c r="B244" s="1" t="s">
        <v>33</v>
      </c>
      <c r="C244" s="1" t="s">
        <v>25</v>
      </c>
      <c r="D244" s="1" t="s">
        <v>26</v>
      </c>
      <c r="E244" s="1" t="s">
        <v>36</v>
      </c>
      <c r="F244" s="1" t="s">
        <v>28</v>
      </c>
      <c r="G244" s="1">
        <v>1</v>
      </c>
      <c r="H244" s="1" t="s">
        <v>37</v>
      </c>
      <c r="I244" s="1" t="s">
        <v>38</v>
      </c>
      <c r="J244" s="1" t="s">
        <v>48</v>
      </c>
      <c r="K244" s="1" t="s">
        <v>33</v>
      </c>
      <c r="L244" s="1">
        <v>41</v>
      </c>
      <c r="M244" s="1">
        <v>19</v>
      </c>
      <c r="N244" s="1" t="s">
        <v>32</v>
      </c>
      <c r="O244" s="1">
        <v>3</v>
      </c>
      <c r="P244" s="1">
        <v>2</v>
      </c>
      <c r="Q244" s="1">
        <v>1</v>
      </c>
      <c r="R244" s="1">
        <v>3072</v>
      </c>
      <c r="S244" s="1">
        <v>17</v>
      </c>
      <c r="T244" s="1">
        <v>2</v>
      </c>
      <c r="U244" s="1">
        <v>1</v>
      </c>
      <c r="V244" s="1">
        <v>0</v>
      </c>
      <c r="W244" s="1">
        <v>0</v>
      </c>
      <c r="X244" s="1">
        <v>0</v>
      </c>
    </row>
    <row r="245" spans="1:24">
      <c r="A245" s="1">
        <v>244</v>
      </c>
      <c r="B245" s="1" t="s">
        <v>33</v>
      </c>
      <c r="C245" s="1" t="s">
        <v>25</v>
      </c>
      <c r="D245" s="1" t="s">
        <v>26</v>
      </c>
      <c r="E245" s="1" t="s">
        <v>36</v>
      </c>
      <c r="F245" s="1" t="s">
        <v>57</v>
      </c>
      <c r="G245" s="1">
        <v>1</v>
      </c>
      <c r="H245" s="1" t="s">
        <v>37</v>
      </c>
      <c r="I245" s="1" t="s">
        <v>38</v>
      </c>
      <c r="J245" s="1" t="s">
        <v>48</v>
      </c>
      <c r="K245" s="1" t="s">
        <v>33</v>
      </c>
      <c r="L245" s="1">
        <v>40</v>
      </c>
      <c r="M245" s="1">
        <v>24</v>
      </c>
      <c r="N245" s="1" t="s">
        <v>32</v>
      </c>
      <c r="O245" s="1">
        <v>1</v>
      </c>
      <c r="P245" s="1">
        <v>2</v>
      </c>
      <c r="Q245" s="1">
        <v>4</v>
      </c>
      <c r="R245" s="1">
        <v>3319</v>
      </c>
      <c r="S245" s="1">
        <v>9</v>
      </c>
      <c r="T245" s="1">
        <v>3</v>
      </c>
      <c r="U245" s="1">
        <v>9</v>
      </c>
      <c r="V245" s="1">
        <v>8</v>
      </c>
      <c r="W245" s="1">
        <v>4</v>
      </c>
      <c r="X245" s="1">
        <v>7</v>
      </c>
    </row>
    <row r="246" spans="1:24">
      <c r="A246" s="1">
        <v>245</v>
      </c>
      <c r="B246" s="1" t="s">
        <v>33</v>
      </c>
      <c r="C246" s="1" t="s">
        <v>25</v>
      </c>
      <c r="D246" s="1" t="s">
        <v>35</v>
      </c>
      <c r="E246" s="1" t="s">
        <v>36</v>
      </c>
      <c r="F246" s="1" t="s">
        <v>41</v>
      </c>
      <c r="G246" s="1">
        <v>1</v>
      </c>
      <c r="H246" s="1" t="s">
        <v>37</v>
      </c>
      <c r="I246" s="1" t="s">
        <v>53</v>
      </c>
      <c r="J246" s="1" t="s">
        <v>39</v>
      </c>
      <c r="K246" s="1" t="s">
        <v>33</v>
      </c>
      <c r="L246" s="1">
        <v>45</v>
      </c>
      <c r="M246" s="1">
        <v>1</v>
      </c>
      <c r="N246" s="1" t="s">
        <v>47</v>
      </c>
      <c r="O246" s="1">
        <v>3</v>
      </c>
      <c r="P246" s="1">
        <v>5</v>
      </c>
      <c r="Q246" s="1">
        <v>4</v>
      </c>
      <c r="R246" s="1">
        <v>19202</v>
      </c>
      <c r="S246" s="1">
        <v>25</v>
      </c>
      <c r="T246" s="1">
        <v>3</v>
      </c>
      <c r="U246" s="1">
        <v>24</v>
      </c>
      <c r="V246" s="1">
        <v>0</v>
      </c>
      <c r="W246" s="1">
        <v>1</v>
      </c>
      <c r="X246" s="1">
        <v>7</v>
      </c>
    </row>
    <row r="247" spans="1:24">
      <c r="A247" s="1">
        <v>246</v>
      </c>
      <c r="B247" s="1" t="s">
        <v>33</v>
      </c>
      <c r="C247" s="1" t="s">
        <v>34</v>
      </c>
      <c r="D247" s="1" t="s">
        <v>43</v>
      </c>
      <c r="E247" s="1" t="s">
        <v>36</v>
      </c>
      <c r="F247" s="1" t="s">
        <v>45</v>
      </c>
      <c r="G247" s="1">
        <v>1</v>
      </c>
      <c r="H247" s="1" t="s">
        <v>37</v>
      </c>
      <c r="I247" s="1" t="s">
        <v>55</v>
      </c>
      <c r="J247" s="1" t="s">
        <v>48</v>
      </c>
      <c r="K247" s="1" t="s">
        <v>33</v>
      </c>
      <c r="L247" s="1">
        <v>31</v>
      </c>
      <c r="M247" s="1">
        <v>3</v>
      </c>
      <c r="N247" s="1" t="s">
        <v>44</v>
      </c>
      <c r="O247" s="1">
        <v>2</v>
      </c>
      <c r="P247" s="1">
        <v>3</v>
      </c>
      <c r="Q247" s="1">
        <v>3</v>
      </c>
      <c r="R247" s="1">
        <v>13675</v>
      </c>
      <c r="S247" s="1">
        <v>9</v>
      </c>
      <c r="T247" s="1">
        <v>3</v>
      </c>
      <c r="U247" s="1">
        <v>2</v>
      </c>
      <c r="V247" s="1">
        <v>2</v>
      </c>
      <c r="W247" s="1">
        <v>2</v>
      </c>
      <c r="X247" s="1">
        <v>2</v>
      </c>
    </row>
    <row r="248" spans="1:24">
      <c r="A248" s="1">
        <v>247</v>
      </c>
      <c r="B248" s="1" t="s">
        <v>33</v>
      </c>
      <c r="C248" s="1" t="s">
        <v>25</v>
      </c>
      <c r="D248" s="1" t="s">
        <v>43</v>
      </c>
      <c r="E248" s="1" t="s">
        <v>36</v>
      </c>
      <c r="F248" s="1" t="s">
        <v>28</v>
      </c>
      <c r="G248" s="1">
        <v>1</v>
      </c>
      <c r="H248" s="1" t="s">
        <v>29</v>
      </c>
      <c r="I248" s="1" t="s">
        <v>38</v>
      </c>
      <c r="J248" s="1" t="s">
        <v>39</v>
      </c>
      <c r="K248" s="1" t="s">
        <v>33</v>
      </c>
      <c r="L248" s="1">
        <v>33</v>
      </c>
      <c r="M248" s="1">
        <v>5</v>
      </c>
      <c r="N248" s="1" t="s">
        <v>44</v>
      </c>
      <c r="O248" s="1">
        <v>3</v>
      </c>
      <c r="P248" s="1">
        <v>1</v>
      </c>
      <c r="Q248" s="1">
        <v>4</v>
      </c>
      <c r="R248" s="1">
        <v>2911</v>
      </c>
      <c r="S248" s="1">
        <v>2</v>
      </c>
      <c r="T248" s="1">
        <v>2</v>
      </c>
      <c r="U248" s="1">
        <v>2</v>
      </c>
      <c r="V248" s="1">
        <v>2</v>
      </c>
      <c r="W248" s="1">
        <v>0</v>
      </c>
      <c r="X248" s="1">
        <v>2</v>
      </c>
    </row>
    <row r="249" spans="1:24">
      <c r="A249" s="1">
        <v>248</v>
      </c>
      <c r="B249" s="1" t="s">
        <v>33</v>
      </c>
      <c r="C249" s="1" t="s">
        <v>25</v>
      </c>
      <c r="D249" s="1" t="s">
        <v>43</v>
      </c>
      <c r="E249" s="1" t="s">
        <v>36</v>
      </c>
      <c r="F249" s="1" t="s">
        <v>28</v>
      </c>
      <c r="G249" s="1">
        <v>1</v>
      </c>
      <c r="H249" s="1" t="s">
        <v>37</v>
      </c>
      <c r="I249" s="1" t="s">
        <v>49</v>
      </c>
      <c r="J249" s="1" t="s">
        <v>39</v>
      </c>
      <c r="K249" s="1" t="s">
        <v>33</v>
      </c>
      <c r="L249" s="1">
        <v>34</v>
      </c>
      <c r="M249" s="1">
        <v>2</v>
      </c>
      <c r="N249" s="1" t="s">
        <v>44</v>
      </c>
      <c r="O249" s="1">
        <v>4</v>
      </c>
      <c r="P249" s="1">
        <v>2</v>
      </c>
      <c r="Q249" s="1">
        <v>1</v>
      </c>
      <c r="R249" s="1">
        <v>5957</v>
      </c>
      <c r="S249" s="1">
        <v>13</v>
      </c>
      <c r="T249" s="1">
        <v>3</v>
      </c>
      <c r="U249" s="1">
        <v>11</v>
      </c>
      <c r="V249" s="1">
        <v>9</v>
      </c>
      <c r="W249" s="1">
        <v>5</v>
      </c>
      <c r="X249" s="1">
        <v>9</v>
      </c>
    </row>
    <row r="250" spans="1:24">
      <c r="A250" s="1">
        <v>249</v>
      </c>
      <c r="B250" s="1" t="s">
        <v>33</v>
      </c>
      <c r="C250" s="1" t="s">
        <v>25</v>
      </c>
      <c r="D250" s="1" t="s">
        <v>26</v>
      </c>
      <c r="E250" s="1" t="s">
        <v>36</v>
      </c>
      <c r="F250" s="1" t="s">
        <v>45</v>
      </c>
      <c r="G250" s="1">
        <v>1</v>
      </c>
      <c r="H250" s="1" t="s">
        <v>29</v>
      </c>
      <c r="I250" s="1" t="s">
        <v>38</v>
      </c>
      <c r="J250" s="1" t="s">
        <v>39</v>
      </c>
      <c r="K250" s="1" t="s">
        <v>33</v>
      </c>
      <c r="L250" s="1">
        <v>37</v>
      </c>
      <c r="M250" s="1">
        <v>1</v>
      </c>
      <c r="N250" s="1" t="s">
        <v>32</v>
      </c>
      <c r="O250" s="1">
        <v>3</v>
      </c>
      <c r="P250" s="1">
        <v>1</v>
      </c>
      <c r="Q250" s="1">
        <v>1</v>
      </c>
      <c r="R250" s="1">
        <v>3920</v>
      </c>
      <c r="S250" s="1">
        <v>17</v>
      </c>
      <c r="T250" s="1">
        <v>2</v>
      </c>
      <c r="U250" s="1">
        <v>3</v>
      </c>
      <c r="V250" s="1">
        <v>1</v>
      </c>
      <c r="W250" s="1">
        <v>0</v>
      </c>
      <c r="X250" s="1">
        <v>2</v>
      </c>
    </row>
    <row r="251" spans="1:24">
      <c r="A251" s="1">
        <v>250</v>
      </c>
      <c r="B251" s="1" t="s">
        <v>33</v>
      </c>
      <c r="C251" s="1" t="s">
        <v>34</v>
      </c>
      <c r="D251" s="1" t="s">
        <v>35</v>
      </c>
      <c r="E251" s="1" t="s">
        <v>36</v>
      </c>
      <c r="F251" s="1" t="s">
        <v>28</v>
      </c>
      <c r="G251" s="1">
        <v>1</v>
      </c>
      <c r="H251" s="1" t="s">
        <v>37</v>
      </c>
      <c r="I251" s="1" t="s">
        <v>49</v>
      </c>
      <c r="J251" s="1" t="s">
        <v>39</v>
      </c>
      <c r="K251" s="1" t="s">
        <v>33</v>
      </c>
      <c r="L251" s="1">
        <v>45</v>
      </c>
      <c r="M251" s="1">
        <v>7</v>
      </c>
      <c r="N251" s="1" t="s">
        <v>44</v>
      </c>
      <c r="O251" s="1">
        <v>1</v>
      </c>
      <c r="P251" s="1">
        <v>2</v>
      </c>
      <c r="Q251" s="1">
        <v>3</v>
      </c>
      <c r="R251" s="1">
        <v>6434</v>
      </c>
      <c r="S251" s="1">
        <v>9</v>
      </c>
      <c r="T251" s="1">
        <v>3</v>
      </c>
      <c r="U251" s="1">
        <v>3</v>
      </c>
      <c r="V251" s="1">
        <v>2</v>
      </c>
      <c r="W251" s="1">
        <v>0</v>
      </c>
      <c r="X251" s="1">
        <v>2</v>
      </c>
    </row>
    <row r="252" spans="1:24">
      <c r="A252" s="1">
        <v>251</v>
      </c>
      <c r="B252" s="1" t="s">
        <v>24</v>
      </c>
      <c r="C252" s="1" t="s">
        <v>34</v>
      </c>
      <c r="D252" s="1" t="s">
        <v>26</v>
      </c>
      <c r="E252" s="1" t="s">
        <v>36</v>
      </c>
      <c r="F252" s="1" t="s">
        <v>45</v>
      </c>
      <c r="G252" s="1">
        <v>1</v>
      </c>
      <c r="H252" s="1" t="s">
        <v>37</v>
      </c>
      <c r="I252" s="1" t="s">
        <v>49</v>
      </c>
      <c r="J252" s="1" t="s">
        <v>48</v>
      </c>
      <c r="K252" s="1" t="s">
        <v>33</v>
      </c>
      <c r="L252" s="1">
        <v>37</v>
      </c>
      <c r="M252" s="1">
        <v>10</v>
      </c>
      <c r="N252" s="1" t="s">
        <v>47</v>
      </c>
      <c r="O252" s="1">
        <v>1</v>
      </c>
      <c r="P252" s="1">
        <v>3</v>
      </c>
      <c r="Q252" s="1">
        <v>3</v>
      </c>
      <c r="R252" s="1">
        <v>10048</v>
      </c>
      <c r="S252" s="1">
        <v>17</v>
      </c>
      <c r="T252" s="1">
        <v>3</v>
      </c>
      <c r="U252" s="1">
        <v>1</v>
      </c>
      <c r="V252" s="1">
        <v>0</v>
      </c>
      <c r="W252" s="1">
        <v>0</v>
      </c>
      <c r="X252" s="1">
        <v>0</v>
      </c>
    </row>
    <row r="253" spans="1:24">
      <c r="A253" s="1">
        <v>252</v>
      </c>
      <c r="B253" s="1" t="s">
        <v>33</v>
      </c>
      <c r="C253" s="1" t="s">
        <v>34</v>
      </c>
      <c r="D253" s="1" t="s">
        <v>26</v>
      </c>
      <c r="E253" s="1" t="s">
        <v>36</v>
      </c>
      <c r="F253" s="1" t="s">
        <v>57</v>
      </c>
      <c r="G253" s="1">
        <v>1</v>
      </c>
      <c r="H253" s="1" t="s">
        <v>29</v>
      </c>
      <c r="I253" s="1" t="s">
        <v>50</v>
      </c>
      <c r="J253" s="1" t="s">
        <v>31</v>
      </c>
      <c r="K253" s="1" t="s">
        <v>33</v>
      </c>
      <c r="L253" s="1">
        <v>39</v>
      </c>
      <c r="M253" s="1">
        <v>2</v>
      </c>
      <c r="N253" s="1" t="s">
        <v>44</v>
      </c>
      <c r="O253" s="1">
        <v>3</v>
      </c>
      <c r="P253" s="1">
        <v>3</v>
      </c>
      <c r="Q253" s="1">
        <v>3</v>
      </c>
      <c r="R253" s="1">
        <v>10938</v>
      </c>
      <c r="S253" s="1">
        <v>20</v>
      </c>
      <c r="T253" s="1">
        <v>3</v>
      </c>
      <c r="U253" s="1">
        <v>19</v>
      </c>
      <c r="V253" s="1">
        <v>6</v>
      </c>
      <c r="W253" s="1">
        <v>11</v>
      </c>
      <c r="X253" s="1">
        <v>8</v>
      </c>
    </row>
    <row r="254" spans="1:24">
      <c r="A254" s="1">
        <v>253</v>
      </c>
      <c r="B254" s="1" t="s">
        <v>33</v>
      </c>
      <c r="C254" s="1" t="s">
        <v>25</v>
      </c>
      <c r="D254" s="1" t="s">
        <v>43</v>
      </c>
      <c r="E254" s="1" t="s">
        <v>36</v>
      </c>
      <c r="F254" s="1" t="s">
        <v>28</v>
      </c>
      <c r="G254" s="1">
        <v>1</v>
      </c>
      <c r="H254" s="1" t="s">
        <v>37</v>
      </c>
      <c r="I254" s="1" t="s">
        <v>38</v>
      </c>
      <c r="J254" s="1" t="s">
        <v>31</v>
      </c>
      <c r="K254" s="1" t="s">
        <v>33</v>
      </c>
      <c r="L254" s="1">
        <v>29</v>
      </c>
      <c r="M254" s="1">
        <v>15</v>
      </c>
      <c r="N254" s="1" t="s">
        <v>47</v>
      </c>
      <c r="O254" s="1">
        <v>3</v>
      </c>
      <c r="P254" s="1">
        <v>1</v>
      </c>
      <c r="Q254" s="1">
        <v>4</v>
      </c>
      <c r="R254" s="1">
        <v>2340</v>
      </c>
      <c r="S254" s="1">
        <v>6</v>
      </c>
      <c r="T254" s="1">
        <v>3</v>
      </c>
      <c r="U254" s="1">
        <v>6</v>
      </c>
      <c r="V254" s="1">
        <v>5</v>
      </c>
      <c r="W254" s="1">
        <v>1</v>
      </c>
      <c r="X254" s="1">
        <v>5</v>
      </c>
    </row>
    <row r="255" spans="1:24">
      <c r="A255" s="1">
        <v>254</v>
      </c>
      <c r="B255" s="1" t="s">
        <v>33</v>
      </c>
      <c r="C255" s="1" t="s">
        <v>25</v>
      </c>
      <c r="D255" s="1" t="s">
        <v>26</v>
      </c>
      <c r="E255" s="1" t="s">
        <v>36</v>
      </c>
      <c r="F255" s="1" t="s">
        <v>28</v>
      </c>
      <c r="G255" s="1">
        <v>1</v>
      </c>
      <c r="H255" s="1" t="s">
        <v>29</v>
      </c>
      <c r="I255" s="1" t="s">
        <v>38</v>
      </c>
      <c r="J255" s="1" t="s">
        <v>31</v>
      </c>
      <c r="K255" s="1" t="s">
        <v>24</v>
      </c>
      <c r="L255" s="1">
        <v>42</v>
      </c>
      <c r="M255" s="1">
        <v>17</v>
      </c>
      <c r="N255" s="1" t="s">
        <v>32</v>
      </c>
      <c r="O255" s="1">
        <v>4</v>
      </c>
      <c r="P255" s="1">
        <v>2</v>
      </c>
      <c r="Q255" s="1">
        <v>1</v>
      </c>
      <c r="R255" s="1">
        <v>6545</v>
      </c>
      <c r="S255" s="1">
        <v>10</v>
      </c>
      <c r="T255" s="1">
        <v>3</v>
      </c>
      <c r="U255" s="1">
        <v>3</v>
      </c>
      <c r="V255" s="1">
        <v>2</v>
      </c>
      <c r="W255" s="1">
        <v>0</v>
      </c>
      <c r="X255" s="1">
        <v>2</v>
      </c>
    </row>
    <row r="256" spans="1:24">
      <c r="A256" s="1">
        <v>255</v>
      </c>
      <c r="B256" s="1" t="s">
        <v>33</v>
      </c>
      <c r="C256" s="1" t="s">
        <v>25</v>
      </c>
      <c r="D256" s="1" t="s">
        <v>43</v>
      </c>
      <c r="E256" s="1" t="s">
        <v>27</v>
      </c>
      <c r="F256" s="1" t="s">
        <v>56</v>
      </c>
      <c r="G256" s="1">
        <v>1</v>
      </c>
      <c r="H256" s="1" t="s">
        <v>37</v>
      </c>
      <c r="I256" s="1" t="s">
        <v>30</v>
      </c>
      <c r="J256" s="1" t="s">
        <v>48</v>
      </c>
      <c r="K256" s="1" t="s">
        <v>33</v>
      </c>
      <c r="L256" s="1">
        <v>29</v>
      </c>
      <c r="M256" s="1">
        <v>20</v>
      </c>
      <c r="N256" s="1" t="s">
        <v>32</v>
      </c>
      <c r="O256" s="1">
        <v>4</v>
      </c>
      <c r="P256" s="1">
        <v>2</v>
      </c>
      <c r="Q256" s="1">
        <v>4</v>
      </c>
      <c r="R256" s="1">
        <v>6931</v>
      </c>
      <c r="S256" s="1">
        <v>10</v>
      </c>
      <c r="T256" s="1">
        <v>3</v>
      </c>
      <c r="U256" s="1">
        <v>3</v>
      </c>
      <c r="V256" s="1">
        <v>2</v>
      </c>
      <c r="W256" s="1">
        <v>0</v>
      </c>
      <c r="X256" s="1">
        <v>2</v>
      </c>
    </row>
    <row r="257" spans="1:24">
      <c r="A257" s="1">
        <v>256</v>
      </c>
      <c r="B257" s="1" t="s">
        <v>33</v>
      </c>
      <c r="C257" s="1" t="s">
        <v>25</v>
      </c>
      <c r="D257" s="1" t="s">
        <v>43</v>
      </c>
      <c r="E257" s="1" t="s">
        <v>36</v>
      </c>
      <c r="F257" s="1" t="s">
        <v>28</v>
      </c>
      <c r="G257" s="1">
        <v>1</v>
      </c>
      <c r="H257" s="1" t="s">
        <v>29</v>
      </c>
      <c r="I257" s="1" t="s">
        <v>49</v>
      </c>
      <c r="J257" s="1" t="s">
        <v>39</v>
      </c>
      <c r="K257" s="1" t="s">
        <v>33</v>
      </c>
      <c r="L257" s="1">
        <v>25</v>
      </c>
      <c r="M257" s="1">
        <v>1</v>
      </c>
      <c r="N257" s="1" t="s">
        <v>47</v>
      </c>
      <c r="O257" s="1">
        <v>1</v>
      </c>
      <c r="P257" s="1">
        <v>2</v>
      </c>
      <c r="Q257" s="1">
        <v>3</v>
      </c>
      <c r="R257" s="1">
        <v>4898</v>
      </c>
      <c r="S257" s="1">
        <v>5</v>
      </c>
      <c r="T257" s="1">
        <v>3</v>
      </c>
      <c r="U257" s="1">
        <v>4</v>
      </c>
      <c r="V257" s="1">
        <v>2</v>
      </c>
      <c r="W257" s="1">
        <v>1</v>
      </c>
      <c r="X257" s="1">
        <v>2</v>
      </c>
    </row>
    <row r="258" spans="1:24">
      <c r="A258" s="1">
        <v>257</v>
      </c>
      <c r="B258" s="1" t="s">
        <v>33</v>
      </c>
      <c r="C258" s="1" t="s">
        <v>25</v>
      </c>
      <c r="D258" s="1" t="s">
        <v>26</v>
      </c>
      <c r="E258" s="1" t="s">
        <v>36</v>
      </c>
      <c r="F258" s="1" t="s">
        <v>45</v>
      </c>
      <c r="G258" s="1">
        <v>1</v>
      </c>
      <c r="H258" s="1" t="s">
        <v>29</v>
      </c>
      <c r="I258" s="1" t="s">
        <v>42</v>
      </c>
      <c r="J258" s="1" t="s">
        <v>48</v>
      </c>
      <c r="K258" s="1" t="s">
        <v>24</v>
      </c>
      <c r="L258" s="1">
        <v>42</v>
      </c>
      <c r="M258" s="1">
        <v>2</v>
      </c>
      <c r="N258" s="1" t="s">
        <v>47</v>
      </c>
      <c r="O258" s="1">
        <v>4</v>
      </c>
      <c r="P258" s="1">
        <v>1</v>
      </c>
      <c r="Q258" s="1">
        <v>1</v>
      </c>
      <c r="R258" s="1">
        <v>2593</v>
      </c>
      <c r="S258" s="1">
        <v>10</v>
      </c>
      <c r="T258" s="1">
        <v>3</v>
      </c>
      <c r="U258" s="1">
        <v>9</v>
      </c>
      <c r="V258" s="1">
        <v>6</v>
      </c>
      <c r="W258" s="1">
        <v>7</v>
      </c>
      <c r="X258" s="1">
        <v>8</v>
      </c>
    </row>
    <row r="259" spans="1:24">
      <c r="A259" s="1">
        <v>258</v>
      </c>
      <c r="B259" s="1" t="s">
        <v>33</v>
      </c>
      <c r="C259" s="1" t="s">
        <v>25</v>
      </c>
      <c r="D259" s="1" t="s">
        <v>26</v>
      </c>
      <c r="E259" s="1" t="s">
        <v>36</v>
      </c>
      <c r="F259" s="1" t="s">
        <v>45</v>
      </c>
      <c r="G259" s="1">
        <v>1</v>
      </c>
      <c r="H259" s="1" t="s">
        <v>37</v>
      </c>
      <c r="I259" s="1" t="s">
        <v>55</v>
      </c>
      <c r="J259" s="1" t="s">
        <v>48</v>
      </c>
      <c r="K259" s="1" t="s">
        <v>33</v>
      </c>
      <c r="L259" s="1">
        <v>40</v>
      </c>
      <c r="M259" s="1">
        <v>2</v>
      </c>
      <c r="N259" s="1" t="s">
        <v>32</v>
      </c>
      <c r="O259" s="1">
        <v>1</v>
      </c>
      <c r="P259" s="1">
        <v>5</v>
      </c>
      <c r="Q259" s="1">
        <v>3</v>
      </c>
      <c r="R259" s="1">
        <v>19436</v>
      </c>
      <c r="S259" s="1">
        <v>22</v>
      </c>
      <c r="T259" s="1">
        <v>3</v>
      </c>
      <c r="U259" s="1">
        <v>21</v>
      </c>
      <c r="V259" s="1">
        <v>7</v>
      </c>
      <c r="W259" s="1">
        <v>3</v>
      </c>
      <c r="X259" s="1">
        <v>9</v>
      </c>
    </row>
    <row r="260" spans="1:24">
      <c r="A260" s="1">
        <v>259</v>
      </c>
      <c r="B260" s="1" t="s">
        <v>33</v>
      </c>
      <c r="C260" s="1" t="s">
        <v>25</v>
      </c>
      <c r="D260" s="1" t="s">
        <v>35</v>
      </c>
      <c r="E260" s="1" t="s">
        <v>36</v>
      </c>
      <c r="F260" s="1" t="s">
        <v>28</v>
      </c>
      <c r="G260" s="1">
        <v>1</v>
      </c>
      <c r="H260" s="1" t="s">
        <v>37</v>
      </c>
      <c r="I260" s="1" t="s">
        <v>38</v>
      </c>
      <c r="J260" s="1" t="s">
        <v>39</v>
      </c>
      <c r="K260" s="1" t="s">
        <v>33</v>
      </c>
      <c r="L260" s="1">
        <v>51</v>
      </c>
      <c r="M260" s="1">
        <v>1</v>
      </c>
      <c r="N260" s="1" t="s">
        <v>47</v>
      </c>
      <c r="O260" s="1">
        <v>3</v>
      </c>
      <c r="P260" s="1">
        <v>1</v>
      </c>
      <c r="Q260" s="1">
        <v>4</v>
      </c>
      <c r="R260" s="1">
        <v>2723</v>
      </c>
      <c r="S260" s="1">
        <v>1</v>
      </c>
      <c r="T260" s="1">
        <v>2</v>
      </c>
      <c r="U260" s="1">
        <v>1</v>
      </c>
      <c r="V260" s="1">
        <v>0</v>
      </c>
      <c r="W260" s="1">
        <v>0</v>
      </c>
      <c r="X260" s="1">
        <v>0</v>
      </c>
    </row>
    <row r="261" spans="1:24">
      <c r="A261" s="1">
        <v>260</v>
      </c>
      <c r="B261" s="1" t="s">
        <v>24</v>
      </c>
      <c r="C261" s="1" t="s">
        <v>34</v>
      </c>
      <c r="D261" s="1" t="s">
        <v>43</v>
      </c>
      <c r="E261" s="1" t="s">
        <v>36</v>
      </c>
      <c r="F261" s="1" t="s">
        <v>45</v>
      </c>
      <c r="G261" s="1">
        <v>1</v>
      </c>
      <c r="H261" s="1" t="s">
        <v>37</v>
      </c>
      <c r="I261" s="1" t="s">
        <v>42</v>
      </c>
      <c r="J261" s="1" t="s">
        <v>31</v>
      </c>
      <c r="K261" s="1" t="s">
        <v>33</v>
      </c>
      <c r="L261" s="1">
        <v>31</v>
      </c>
      <c r="M261" s="1">
        <v>29</v>
      </c>
      <c r="N261" s="1" t="s">
        <v>32</v>
      </c>
      <c r="O261" s="1">
        <v>3</v>
      </c>
      <c r="P261" s="1">
        <v>1</v>
      </c>
      <c r="Q261" s="1">
        <v>2</v>
      </c>
      <c r="R261" s="1">
        <v>3479</v>
      </c>
      <c r="S261" s="1">
        <v>6</v>
      </c>
      <c r="T261" s="1">
        <v>4</v>
      </c>
      <c r="U261" s="1">
        <v>5</v>
      </c>
      <c r="V261" s="1">
        <v>4</v>
      </c>
      <c r="W261" s="1">
        <v>1</v>
      </c>
      <c r="X261" s="1">
        <v>4</v>
      </c>
    </row>
    <row r="262" spans="1:24">
      <c r="A262" s="1">
        <v>261</v>
      </c>
      <c r="B262" s="1" t="s">
        <v>33</v>
      </c>
      <c r="C262" s="1" t="s">
        <v>34</v>
      </c>
      <c r="D262" s="1" t="s">
        <v>43</v>
      </c>
      <c r="E262" s="1" t="s">
        <v>36</v>
      </c>
      <c r="F262" s="1" t="s">
        <v>28</v>
      </c>
      <c r="G262" s="1">
        <v>1</v>
      </c>
      <c r="H262" s="1" t="s">
        <v>37</v>
      </c>
      <c r="I262" s="1" t="s">
        <v>42</v>
      </c>
      <c r="J262" s="1" t="s">
        <v>39</v>
      </c>
      <c r="K262" s="1" t="s">
        <v>33</v>
      </c>
      <c r="L262" s="1">
        <v>32</v>
      </c>
      <c r="M262" s="1">
        <v>7</v>
      </c>
      <c r="N262" s="1" t="s">
        <v>47</v>
      </c>
      <c r="O262" s="1">
        <v>2</v>
      </c>
      <c r="P262" s="1">
        <v>1</v>
      </c>
      <c r="Q262" s="1">
        <v>2</v>
      </c>
      <c r="R262" s="1">
        <v>2794</v>
      </c>
      <c r="S262" s="1">
        <v>5</v>
      </c>
      <c r="T262" s="1">
        <v>1</v>
      </c>
      <c r="U262" s="1">
        <v>5</v>
      </c>
      <c r="V262" s="1">
        <v>1</v>
      </c>
      <c r="W262" s="1">
        <v>0</v>
      </c>
      <c r="X262" s="1">
        <v>3</v>
      </c>
    </row>
    <row r="263" spans="1:24">
      <c r="A263" s="1">
        <v>262</v>
      </c>
      <c r="B263" s="1" t="s">
        <v>33</v>
      </c>
      <c r="C263" s="1" t="s">
        <v>51</v>
      </c>
      <c r="D263" s="1" t="s">
        <v>26</v>
      </c>
      <c r="E263" s="1" t="s">
        <v>27</v>
      </c>
      <c r="F263" s="1" t="s">
        <v>28</v>
      </c>
      <c r="G263" s="1">
        <v>1</v>
      </c>
      <c r="H263" s="1" t="s">
        <v>37</v>
      </c>
      <c r="I263" s="1" t="s">
        <v>30</v>
      </c>
      <c r="J263" s="1" t="s">
        <v>39</v>
      </c>
      <c r="K263" s="1" t="s">
        <v>33</v>
      </c>
      <c r="L263" s="1">
        <v>38</v>
      </c>
      <c r="M263" s="1">
        <v>2</v>
      </c>
      <c r="N263" s="1" t="s">
        <v>32</v>
      </c>
      <c r="O263" s="1">
        <v>4</v>
      </c>
      <c r="P263" s="1">
        <v>2</v>
      </c>
      <c r="Q263" s="1">
        <v>4</v>
      </c>
      <c r="R263" s="1">
        <v>5249</v>
      </c>
      <c r="S263" s="1">
        <v>13</v>
      </c>
      <c r="T263" s="1">
        <v>3</v>
      </c>
      <c r="U263" s="1">
        <v>8</v>
      </c>
      <c r="V263" s="1">
        <v>7</v>
      </c>
      <c r="W263" s="1">
        <v>7</v>
      </c>
      <c r="X263" s="1">
        <v>5</v>
      </c>
    </row>
    <row r="264" spans="1:24">
      <c r="A264" s="1">
        <v>263</v>
      </c>
      <c r="B264" s="1" t="s">
        <v>33</v>
      </c>
      <c r="C264" s="1" t="s">
        <v>25</v>
      </c>
      <c r="D264" s="1" t="s">
        <v>43</v>
      </c>
      <c r="E264" s="1" t="s">
        <v>36</v>
      </c>
      <c r="F264" s="1" t="s">
        <v>57</v>
      </c>
      <c r="G264" s="1">
        <v>1</v>
      </c>
      <c r="H264" s="1" t="s">
        <v>37</v>
      </c>
      <c r="I264" s="1" t="s">
        <v>42</v>
      </c>
      <c r="J264" s="1" t="s">
        <v>31</v>
      </c>
      <c r="K264" s="1" t="s">
        <v>33</v>
      </c>
      <c r="L264" s="1">
        <v>32</v>
      </c>
      <c r="M264" s="1">
        <v>2</v>
      </c>
      <c r="N264" s="1" t="s">
        <v>40</v>
      </c>
      <c r="O264" s="1">
        <v>4</v>
      </c>
      <c r="P264" s="1">
        <v>2</v>
      </c>
      <c r="Q264" s="1">
        <v>1</v>
      </c>
      <c r="R264" s="1">
        <v>2176</v>
      </c>
      <c r="S264" s="1">
        <v>9</v>
      </c>
      <c r="T264" s="1">
        <v>3</v>
      </c>
      <c r="U264" s="1">
        <v>6</v>
      </c>
      <c r="V264" s="1">
        <v>2</v>
      </c>
      <c r="W264" s="1">
        <v>0</v>
      </c>
      <c r="X264" s="1">
        <v>4</v>
      </c>
    </row>
    <row r="265" spans="1:24">
      <c r="A265" s="1">
        <v>264</v>
      </c>
      <c r="B265" s="1" t="s">
        <v>33</v>
      </c>
      <c r="C265" s="1" t="s">
        <v>25</v>
      </c>
      <c r="D265" s="1" t="s">
        <v>35</v>
      </c>
      <c r="E265" s="1" t="s">
        <v>27</v>
      </c>
      <c r="F265" s="1" t="s">
        <v>57</v>
      </c>
      <c r="G265" s="1">
        <v>1</v>
      </c>
      <c r="H265" s="1" t="s">
        <v>29</v>
      </c>
      <c r="I265" s="1" t="s">
        <v>53</v>
      </c>
      <c r="J265" s="1" t="s">
        <v>39</v>
      </c>
      <c r="K265" s="1" t="s">
        <v>24</v>
      </c>
      <c r="L265" s="1">
        <v>46</v>
      </c>
      <c r="M265" s="1">
        <v>2</v>
      </c>
      <c r="N265" s="1" t="s">
        <v>47</v>
      </c>
      <c r="O265" s="1">
        <v>3</v>
      </c>
      <c r="P265" s="1">
        <v>4</v>
      </c>
      <c r="Q265" s="1">
        <v>2</v>
      </c>
      <c r="R265" s="1">
        <v>16872</v>
      </c>
      <c r="S265" s="1">
        <v>28</v>
      </c>
      <c r="T265" s="1">
        <v>2</v>
      </c>
      <c r="U265" s="1">
        <v>7</v>
      </c>
      <c r="V265" s="1">
        <v>7</v>
      </c>
      <c r="W265" s="1">
        <v>7</v>
      </c>
      <c r="X265" s="1">
        <v>7</v>
      </c>
    </row>
    <row r="266" spans="1:24">
      <c r="A266" s="1">
        <v>265</v>
      </c>
      <c r="B266" s="1" t="s">
        <v>24</v>
      </c>
      <c r="C266" s="1" t="s">
        <v>25</v>
      </c>
      <c r="D266" s="1" t="s">
        <v>43</v>
      </c>
      <c r="E266" s="1" t="s">
        <v>36</v>
      </c>
      <c r="F266" s="1" t="s">
        <v>28</v>
      </c>
      <c r="G266" s="1">
        <v>1</v>
      </c>
      <c r="H266" s="1" t="s">
        <v>37</v>
      </c>
      <c r="I266" s="1" t="s">
        <v>42</v>
      </c>
      <c r="J266" s="1" t="s">
        <v>31</v>
      </c>
      <c r="K266" s="1" t="s">
        <v>33</v>
      </c>
      <c r="L266" s="1">
        <v>28</v>
      </c>
      <c r="M266" s="1">
        <v>2</v>
      </c>
      <c r="N266" s="1" t="s">
        <v>44</v>
      </c>
      <c r="O266" s="1">
        <v>1</v>
      </c>
      <c r="P266" s="1">
        <v>1</v>
      </c>
      <c r="Q266" s="1">
        <v>3</v>
      </c>
      <c r="R266" s="1">
        <v>3485</v>
      </c>
      <c r="S266" s="1">
        <v>5</v>
      </c>
      <c r="T266" s="1">
        <v>1</v>
      </c>
      <c r="U266" s="1">
        <v>0</v>
      </c>
      <c r="V266" s="1">
        <v>0</v>
      </c>
      <c r="W266" s="1">
        <v>0</v>
      </c>
      <c r="X266" s="1">
        <v>0</v>
      </c>
    </row>
    <row r="267" spans="1:24">
      <c r="A267" s="1">
        <v>266</v>
      </c>
      <c r="B267" s="1" t="s">
        <v>33</v>
      </c>
      <c r="C267" s="1" t="s">
        <v>25</v>
      </c>
      <c r="D267" s="1" t="s">
        <v>43</v>
      </c>
      <c r="E267" s="1" t="s">
        <v>27</v>
      </c>
      <c r="F267" s="1" t="s">
        <v>45</v>
      </c>
      <c r="G267" s="1">
        <v>1</v>
      </c>
      <c r="H267" s="1" t="s">
        <v>37</v>
      </c>
      <c r="I267" s="1" t="s">
        <v>30</v>
      </c>
      <c r="J267" s="1" t="s">
        <v>39</v>
      </c>
      <c r="K267" s="1" t="s">
        <v>33</v>
      </c>
      <c r="L267" s="1">
        <v>29</v>
      </c>
      <c r="M267" s="1">
        <v>2</v>
      </c>
      <c r="N267" s="1" t="s">
        <v>47</v>
      </c>
      <c r="O267" s="1">
        <v>1</v>
      </c>
      <c r="P267" s="1">
        <v>2</v>
      </c>
      <c r="Q267" s="1">
        <v>2</v>
      </c>
      <c r="R267" s="1">
        <v>6644</v>
      </c>
      <c r="S267" s="1">
        <v>10</v>
      </c>
      <c r="T267" s="1">
        <v>3</v>
      </c>
      <c r="U267" s="1">
        <v>0</v>
      </c>
      <c r="V267" s="1">
        <v>0</v>
      </c>
      <c r="W267" s="1">
        <v>0</v>
      </c>
      <c r="X267" s="1">
        <v>0</v>
      </c>
    </row>
    <row r="268" spans="1:24">
      <c r="A268" s="1">
        <v>267</v>
      </c>
      <c r="B268" s="1" t="s">
        <v>33</v>
      </c>
      <c r="C268" s="1" t="s">
        <v>25</v>
      </c>
      <c r="D268" s="1" t="s">
        <v>43</v>
      </c>
      <c r="E268" s="1" t="s">
        <v>36</v>
      </c>
      <c r="F268" s="1" t="s">
        <v>45</v>
      </c>
      <c r="G268" s="1">
        <v>1</v>
      </c>
      <c r="H268" s="1" t="s">
        <v>37</v>
      </c>
      <c r="I268" s="1" t="s">
        <v>50</v>
      </c>
      <c r="J268" s="1" t="s">
        <v>39</v>
      </c>
      <c r="K268" s="1" t="s">
        <v>33</v>
      </c>
      <c r="L268" s="1">
        <v>31</v>
      </c>
      <c r="M268" s="1">
        <v>23</v>
      </c>
      <c r="N268" s="1" t="s">
        <v>47</v>
      </c>
      <c r="O268" s="1">
        <v>2</v>
      </c>
      <c r="P268" s="1">
        <v>2</v>
      </c>
      <c r="Q268" s="1">
        <v>4</v>
      </c>
      <c r="R268" s="1">
        <v>5582</v>
      </c>
      <c r="S268" s="1">
        <v>10</v>
      </c>
      <c r="T268" s="1">
        <v>3</v>
      </c>
      <c r="U268" s="1">
        <v>9</v>
      </c>
      <c r="V268" s="1">
        <v>0</v>
      </c>
      <c r="W268" s="1">
        <v>7</v>
      </c>
      <c r="X268" s="1">
        <v>8</v>
      </c>
    </row>
    <row r="269" spans="1:24">
      <c r="A269" s="1">
        <v>268</v>
      </c>
      <c r="B269" s="1" t="s">
        <v>33</v>
      </c>
      <c r="C269" s="1" t="s">
        <v>51</v>
      </c>
      <c r="D269" s="1" t="s">
        <v>43</v>
      </c>
      <c r="E269" s="1" t="s">
        <v>36</v>
      </c>
      <c r="F269" s="1" t="s">
        <v>28</v>
      </c>
      <c r="G269" s="1">
        <v>1</v>
      </c>
      <c r="H269" s="1" t="s">
        <v>37</v>
      </c>
      <c r="I269" s="1" t="s">
        <v>50</v>
      </c>
      <c r="J269" s="1" t="s">
        <v>48</v>
      </c>
      <c r="K269" s="1" t="s">
        <v>33</v>
      </c>
      <c r="L269" s="1">
        <v>25</v>
      </c>
      <c r="M269" s="1">
        <v>5</v>
      </c>
      <c r="N269" s="1" t="s">
        <v>32</v>
      </c>
      <c r="O269" s="1">
        <v>2</v>
      </c>
      <c r="P269" s="1">
        <v>2</v>
      </c>
      <c r="Q269" s="1">
        <v>1</v>
      </c>
      <c r="R269" s="1">
        <v>4000</v>
      </c>
      <c r="S269" s="1">
        <v>6</v>
      </c>
      <c r="T269" s="1">
        <v>3</v>
      </c>
      <c r="U269" s="1">
        <v>6</v>
      </c>
      <c r="V269" s="1">
        <v>3</v>
      </c>
      <c r="W269" s="1">
        <v>1</v>
      </c>
      <c r="X269" s="1">
        <v>5</v>
      </c>
    </row>
    <row r="270" spans="1:24">
      <c r="A270" s="1">
        <v>269</v>
      </c>
      <c r="B270" s="1" t="s">
        <v>33</v>
      </c>
      <c r="C270" s="1" t="s">
        <v>25</v>
      </c>
      <c r="D270" s="1" t="s">
        <v>35</v>
      </c>
      <c r="E270" s="1" t="s">
        <v>36</v>
      </c>
      <c r="F270" s="1" t="s">
        <v>45</v>
      </c>
      <c r="G270" s="1">
        <v>1</v>
      </c>
      <c r="H270" s="1" t="s">
        <v>37</v>
      </c>
      <c r="I270" s="1" t="s">
        <v>50</v>
      </c>
      <c r="J270" s="1" t="s">
        <v>39</v>
      </c>
      <c r="K270" s="1" t="s">
        <v>24</v>
      </c>
      <c r="L270" s="1">
        <v>45</v>
      </c>
      <c r="M270" s="1">
        <v>20</v>
      </c>
      <c r="N270" s="1" t="s">
        <v>32</v>
      </c>
      <c r="O270" s="1">
        <v>3</v>
      </c>
      <c r="P270" s="1">
        <v>4</v>
      </c>
      <c r="Q270" s="1">
        <v>4</v>
      </c>
      <c r="R270" s="1">
        <v>13496</v>
      </c>
      <c r="S270" s="1">
        <v>21</v>
      </c>
      <c r="T270" s="1">
        <v>3</v>
      </c>
      <c r="U270" s="1">
        <v>20</v>
      </c>
      <c r="V270" s="1">
        <v>7</v>
      </c>
      <c r="W270" s="1">
        <v>4</v>
      </c>
      <c r="X270" s="1">
        <v>10</v>
      </c>
    </row>
    <row r="271" spans="1:24">
      <c r="A271" s="1">
        <v>270</v>
      </c>
      <c r="B271" s="1" t="s">
        <v>33</v>
      </c>
      <c r="C271" s="1" t="s">
        <v>25</v>
      </c>
      <c r="D271" s="1" t="s">
        <v>26</v>
      </c>
      <c r="E271" s="1" t="s">
        <v>36</v>
      </c>
      <c r="F271" s="1" t="s">
        <v>28</v>
      </c>
      <c r="G271" s="1">
        <v>1</v>
      </c>
      <c r="H271" s="1" t="s">
        <v>37</v>
      </c>
      <c r="I271" s="1" t="s">
        <v>42</v>
      </c>
      <c r="J271" s="1" t="s">
        <v>39</v>
      </c>
      <c r="K271" s="1" t="s">
        <v>33</v>
      </c>
      <c r="L271" s="1">
        <v>36</v>
      </c>
      <c r="M271" s="1">
        <v>6</v>
      </c>
      <c r="N271" s="1" t="s">
        <v>47</v>
      </c>
      <c r="O271" s="1">
        <v>4</v>
      </c>
      <c r="P271" s="1">
        <v>1</v>
      </c>
      <c r="Q271" s="1">
        <v>4</v>
      </c>
      <c r="R271" s="1">
        <v>3210</v>
      </c>
      <c r="S271" s="1">
        <v>16</v>
      </c>
      <c r="T271" s="1">
        <v>3</v>
      </c>
      <c r="U271" s="1">
        <v>15</v>
      </c>
      <c r="V271" s="1">
        <v>13</v>
      </c>
      <c r="W271" s="1">
        <v>10</v>
      </c>
      <c r="X271" s="1">
        <v>11</v>
      </c>
    </row>
    <row r="272" spans="1:24">
      <c r="A272" s="1">
        <v>271</v>
      </c>
      <c r="B272" s="1" t="s">
        <v>33</v>
      </c>
      <c r="C272" s="1" t="s">
        <v>25</v>
      </c>
      <c r="D272" s="1" t="s">
        <v>46</v>
      </c>
      <c r="E272" s="1" t="s">
        <v>36</v>
      </c>
      <c r="F272" s="1" t="s">
        <v>45</v>
      </c>
      <c r="G272" s="1">
        <v>1</v>
      </c>
      <c r="H272" s="1" t="s">
        <v>37</v>
      </c>
      <c r="I272" s="1" t="s">
        <v>53</v>
      </c>
      <c r="J272" s="1" t="s">
        <v>31</v>
      </c>
      <c r="K272" s="1" t="s">
        <v>24</v>
      </c>
      <c r="L272" s="1">
        <v>55</v>
      </c>
      <c r="M272" s="1">
        <v>1</v>
      </c>
      <c r="N272" s="1" t="s">
        <v>47</v>
      </c>
      <c r="O272" s="1">
        <v>4</v>
      </c>
      <c r="P272" s="1">
        <v>5</v>
      </c>
      <c r="Q272" s="1">
        <v>1</v>
      </c>
      <c r="R272" s="1">
        <v>19045</v>
      </c>
      <c r="S272" s="1">
        <v>37</v>
      </c>
      <c r="T272" s="1">
        <v>3</v>
      </c>
      <c r="U272" s="1">
        <v>36</v>
      </c>
      <c r="V272" s="1">
        <v>10</v>
      </c>
      <c r="W272" s="1">
        <v>4</v>
      </c>
      <c r="X272" s="1">
        <v>13</v>
      </c>
    </row>
    <row r="273" spans="1:24">
      <c r="A273" s="1">
        <v>272</v>
      </c>
      <c r="B273" s="1" t="s">
        <v>24</v>
      </c>
      <c r="C273" s="1" t="s">
        <v>51</v>
      </c>
      <c r="D273" s="1" t="s">
        <v>35</v>
      </c>
      <c r="E273" s="1" t="s">
        <v>36</v>
      </c>
      <c r="F273" s="1" t="s">
        <v>28</v>
      </c>
      <c r="G273" s="1">
        <v>1</v>
      </c>
      <c r="H273" s="1" t="s">
        <v>37</v>
      </c>
      <c r="I273" s="1" t="s">
        <v>53</v>
      </c>
      <c r="J273" s="1" t="s">
        <v>39</v>
      </c>
      <c r="K273" s="1" t="s">
        <v>24</v>
      </c>
      <c r="L273" s="1">
        <v>47</v>
      </c>
      <c r="M273" s="1">
        <v>29</v>
      </c>
      <c r="N273" s="1" t="s">
        <v>44</v>
      </c>
      <c r="O273" s="1">
        <v>1</v>
      </c>
      <c r="P273" s="1">
        <v>3</v>
      </c>
      <c r="Q273" s="1">
        <v>2</v>
      </c>
      <c r="R273" s="1">
        <v>11849</v>
      </c>
      <c r="S273" s="1">
        <v>10</v>
      </c>
      <c r="T273" s="1">
        <v>2</v>
      </c>
      <c r="U273" s="1">
        <v>10</v>
      </c>
      <c r="V273" s="1">
        <v>7</v>
      </c>
      <c r="W273" s="1">
        <v>9</v>
      </c>
      <c r="X273" s="1">
        <v>9</v>
      </c>
    </row>
    <row r="274" spans="1:24">
      <c r="A274" s="1">
        <v>273</v>
      </c>
      <c r="B274" s="1" t="s">
        <v>33</v>
      </c>
      <c r="C274" s="1" t="s">
        <v>25</v>
      </c>
      <c r="D274" s="1" t="s">
        <v>43</v>
      </c>
      <c r="E274" s="1" t="s">
        <v>36</v>
      </c>
      <c r="F274" s="1" t="s">
        <v>45</v>
      </c>
      <c r="G274" s="1">
        <v>1</v>
      </c>
      <c r="H274" s="1" t="s">
        <v>37</v>
      </c>
      <c r="I274" s="1" t="s">
        <v>38</v>
      </c>
      <c r="J274" s="1" t="s">
        <v>39</v>
      </c>
      <c r="K274" s="1" t="s">
        <v>33</v>
      </c>
      <c r="L274" s="1">
        <v>28</v>
      </c>
      <c r="M274" s="1">
        <v>9</v>
      </c>
      <c r="N274" s="1" t="s">
        <v>47</v>
      </c>
      <c r="O274" s="1">
        <v>4</v>
      </c>
      <c r="P274" s="1">
        <v>1</v>
      </c>
      <c r="Q274" s="1">
        <v>4</v>
      </c>
      <c r="R274" s="1">
        <v>2070</v>
      </c>
      <c r="S274" s="1">
        <v>5</v>
      </c>
      <c r="T274" s="1">
        <v>2</v>
      </c>
      <c r="U274" s="1">
        <v>5</v>
      </c>
      <c r="V274" s="1">
        <v>2</v>
      </c>
      <c r="W274" s="1">
        <v>0</v>
      </c>
      <c r="X274" s="1">
        <v>4</v>
      </c>
    </row>
    <row r="275" spans="1:24">
      <c r="A275" s="1">
        <v>274</v>
      </c>
      <c r="B275" s="1" t="s">
        <v>33</v>
      </c>
      <c r="C275" s="1" t="s">
        <v>25</v>
      </c>
      <c r="D275" s="1" t="s">
        <v>26</v>
      </c>
      <c r="E275" s="1" t="s">
        <v>27</v>
      </c>
      <c r="F275" s="1" t="s">
        <v>45</v>
      </c>
      <c r="G275" s="1">
        <v>1</v>
      </c>
      <c r="H275" s="1" t="s">
        <v>37</v>
      </c>
      <c r="I275" s="1" t="s">
        <v>30</v>
      </c>
      <c r="J275" s="1" t="s">
        <v>39</v>
      </c>
      <c r="K275" s="1" t="s">
        <v>33</v>
      </c>
      <c r="L275" s="1">
        <v>37</v>
      </c>
      <c r="M275" s="1">
        <v>6</v>
      </c>
      <c r="N275" s="1" t="s">
        <v>44</v>
      </c>
      <c r="O275" s="1">
        <v>3</v>
      </c>
      <c r="P275" s="1">
        <v>2</v>
      </c>
      <c r="Q275" s="1">
        <v>4</v>
      </c>
      <c r="R275" s="1">
        <v>6502</v>
      </c>
      <c r="S275" s="1">
        <v>7</v>
      </c>
      <c r="T275" s="1">
        <v>4</v>
      </c>
      <c r="U275" s="1">
        <v>5</v>
      </c>
      <c r="V275" s="1">
        <v>4</v>
      </c>
      <c r="W275" s="1">
        <v>0</v>
      </c>
      <c r="X275" s="1">
        <v>1</v>
      </c>
    </row>
    <row r="276" spans="1:24">
      <c r="A276" s="1">
        <v>275</v>
      </c>
      <c r="B276" s="1" t="s">
        <v>33</v>
      </c>
      <c r="C276" s="1" t="s">
        <v>25</v>
      </c>
      <c r="D276" s="1" t="s">
        <v>52</v>
      </c>
      <c r="E276" s="1" t="s">
        <v>36</v>
      </c>
      <c r="F276" s="1" t="s">
        <v>45</v>
      </c>
      <c r="G276" s="1">
        <v>1</v>
      </c>
      <c r="H276" s="1" t="s">
        <v>37</v>
      </c>
      <c r="I276" s="1" t="s">
        <v>38</v>
      </c>
      <c r="J276" s="1" t="s">
        <v>31</v>
      </c>
      <c r="K276" s="1" t="s">
        <v>33</v>
      </c>
      <c r="L276" s="1">
        <v>21</v>
      </c>
      <c r="M276" s="1">
        <v>3</v>
      </c>
      <c r="N276" s="1" t="s">
        <v>32</v>
      </c>
      <c r="O276" s="1">
        <v>4</v>
      </c>
      <c r="P276" s="1">
        <v>1</v>
      </c>
      <c r="Q276" s="1">
        <v>3</v>
      </c>
      <c r="R276" s="1">
        <v>3230</v>
      </c>
      <c r="S276" s="1">
        <v>3</v>
      </c>
      <c r="T276" s="1">
        <v>4</v>
      </c>
      <c r="U276" s="1">
        <v>3</v>
      </c>
      <c r="V276" s="1">
        <v>2</v>
      </c>
      <c r="W276" s="1">
        <v>1</v>
      </c>
      <c r="X276" s="1">
        <v>0</v>
      </c>
    </row>
    <row r="277" spans="1:24">
      <c r="A277" s="1">
        <v>276</v>
      </c>
      <c r="B277" s="1" t="s">
        <v>33</v>
      </c>
      <c r="C277" s="1" t="s">
        <v>51</v>
      </c>
      <c r="D277" s="1" t="s">
        <v>26</v>
      </c>
      <c r="E277" s="1" t="s">
        <v>36</v>
      </c>
      <c r="F277" s="1" t="s">
        <v>45</v>
      </c>
      <c r="G277" s="1">
        <v>1</v>
      </c>
      <c r="H277" s="1" t="s">
        <v>29</v>
      </c>
      <c r="I277" s="1" t="s">
        <v>55</v>
      </c>
      <c r="J277" s="1" t="s">
        <v>48</v>
      </c>
      <c r="K277" s="1" t="s">
        <v>24</v>
      </c>
      <c r="L277" s="1">
        <v>37</v>
      </c>
      <c r="M277" s="1">
        <v>1</v>
      </c>
      <c r="N277" s="1" t="s">
        <v>44</v>
      </c>
      <c r="O277" s="1">
        <v>1</v>
      </c>
      <c r="P277" s="1">
        <v>3</v>
      </c>
      <c r="Q277" s="1">
        <v>4</v>
      </c>
      <c r="R277" s="1">
        <v>13603</v>
      </c>
      <c r="S277" s="1">
        <v>15</v>
      </c>
      <c r="T277" s="1">
        <v>3</v>
      </c>
      <c r="U277" s="1">
        <v>5</v>
      </c>
      <c r="V277" s="1">
        <v>2</v>
      </c>
      <c r="W277" s="1">
        <v>0</v>
      </c>
      <c r="X277" s="1">
        <v>2</v>
      </c>
    </row>
    <row r="278" spans="1:24">
      <c r="A278" s="1">
        <v>277</v>
      </c>
      <c r="B278" s="1" t="s">
        <v>33</v>
      </c>
      <c r="C278" s="1" t="s">
        <v>25</v>
      </c>
      <c r="D278" s="1" t="s">
        <v>26</v>
      </c>
      <c r="E278" s="1" t="s">
        <v>36</v>
      </c>
      <c r="F278" s="1" t="s">
        <v>28</v>
      </c>
      <c r="G278" s="1">
        <v>1</v>
      </c>
      <c r="H278" s="1" t="s">
        <v>29</v>
      </c>
      <c r="I278" s="1" t="s">
        <v>53</v>
      </c>
      <c r="J278" s="1" t="s">
        <v>48</v>
      </c>
      <c r="K278" s="1" t="s">
        <v>33</v>
      </c>
      <c r="L278" s="1">
        <v>35</v>
      </c>
      <c r="M278" s="1">
        <v>22</v>
      </c>
      <c r="N278" s="1" t="s">
        <v>47</v>
      </c>
      <c r="O278" s="1">
        <v>2</v>
      </c>
      <c r="P278" s="1">
        <v>3</v>
      </c>
      <c r="Q278" s="1">
        <v>2</v>
      </c>
      <c r="R278" s="1">
        <v>11996</v>
      </c>
      <c r="S278" s="1">
        <v>10</v>
      </c>
      <c r="T278" s="1">
        <v>2</v>
      </c>
      <c r="U278" s="1">
        <v>7</v>
      </c>
      <c r="V278" s="1">
        <v>7</v>
      </c>
      <c r="W278" s="1">
        <v>6</v>
      </c>
      <c r="X278" s="1">
        <v>2</v>
      </c>
    </row>
    <row r="279" spans="1:24">
      <c r="A279" s="1">
        <v>278</v>
      </c>
      <c r="B279" s="1" t="s">
        <v>33</v>
      </c>
      <c r="C279" s="1" t="s">
        <v>25</v>
      </c>
      <c r="D279" s="1" t="s">
        <v>26</v>
      </c>
      <c r="E279" s="1" t="s">
        <v>27</v>
      </c>
      <c r="F279" s="1" t="s">
        <v>45</v>
      </c>
      <c r="G279" s="1">
        <v>1</v>
      </c>
      <c r="H279" s="1" t="s">
        <v>29</v>
      </c>
      <c r="I279" s="1" t="s">
        <v>30</v>
      </c>
      <c r="J279" s="1" t="s">
        <v>48</v>
      </c>
      <c r="K279" s="1" t="s">
        <v>24</v>
      </c>
      <c r="L279" s="1">
        <v>38</v>
      </c>
      <c r="M279" s="1">
        <v>7</v>
      </c>
      <c r="N279" s="1" t="s">
        <v>32</v>
      </c>
      <c r="O279" s="1">
        <v>1</v>
      </c>
      <c r="P279" s="1">
        <v>2</v>
      </c>
      <c r="Q279" s="1">
        <v>1</v>
      </c>
      <c r="R279" s="1">
        <v>5605</v>
      </c>
      <c r="S279" s="1">
        <v>8</v>
      </c>
      <c r="T279" s="1">
        <v>3</v>
      </c>
      <c r="U279" s="1">
        <v>8</v>
      </c>
      <c r="V279" s="1">
        <v>0</v>
      </c>
      <c r="W279" s="1">
        <v>7</v>
      </c>
      <c r="X279" s="1">
        <v>7</v>
      </c>
    </row>
    <row r="280" spans="1:24">
      <c r="A280" s="1">
        <v>279</v>
      </c>
      <c r="B280" s="1" t="s">
        <v>33</v>
      </c>
      <c r="C280" s="1" t="s">
        <v>34</v>
      </c>
      <c r="D280" s="1" t="s">
        <v>43</v>
      </c>
      <c r="E280" s="1" t="s">
        <v>36</v>
      </c>
      <c r="F280" s="1" t="s">
        <v>28</v>
      </c>
      <c r="G280" s="1">
        <v>1</v>
      </c>
      <c r="H280" s="1" t="s">
        <v>29</v>
      </c>
      <c r="I280" s="1" t="s">
        <v>49</v>
      </c>
      <c r="J280" s="1" t="s">
        <v>48</v>
      </c>
      <c r="K280" s="1" t="s">
        <v>33</v>
      </c>
      <c r="L280" s="1">
        <v>26</v>
      </c>
      <c r="M280" s="1">
        <v>1</v>
      </c>
      <c r="N280" s="1" t="s">
        <v>47</v>
      </c>
      <c r="O280" s="1">
        <v>3</v>
      </c>
      <c r="P280" s="1">
        <v>2</v>
      </c>
      <c r="Q280" s="1">
        <v>2</v>
      </c>
      <c r="R280" s="1">
        <v>6397</v>
      </c>
      <c r="S280" s="1">
        <v>6</v>
      </c>
      <c r="T280" s="1">
        <v>1</v>
      </c>
      <c r="U280" s="1">
        <v>6</v>
      </c>
      <c r="V280" s="1">
        <v>5</v>
      </c>
      <c r="W280" s="1">
        <v>1</v>
      </c>
      <c r="X280" s="1">
        <v>4</v>
      </c>
    </row>
    <row r="281" spans="1:24">
      <c r="A281" s="1">
        <v>280</v>
      </c>
      <c r="B281" s="1" t="s">
        <v>33</v>
      </c>
      <c r="C281" s="1" t="s">
        <v>25</v>
      </c>
      <c r="D281" s="1" t="s">
        <v>35</v>
      </c>
      <c r="E281" s="1" t="s">
        <v>36</v>
      </c>
      <c r="F281" s="1" t="s">
        <v>28</v>
      </c>
      <c r="G281" s="1">
        <v>1</v>
      </c>
      <c r="H281" s="1" t="s">
        <v>37</v>
      </c>
      <c r="I281" s="1" t="s">
        <v>55</v>
      </c>
      <c r="J281" s="1" t="s">
        <v>48</v>
      </c>
      <c r="K281" s="1" t="s">
        <v>33</v>
      </c>
      <c r="L281" s="1">
        <v>50</v>
      </c>
      <c r="M281" s="1">
        <v>4</v>
      </c>
      <c r="N281" s="1" t="s">
        <v>40</v>
      </c>
      <c r="O281" s="1">
        <v>1</v>
      </c>
      <c r="P281" s="1">
        <v>5</v>
      </c>
      <c r="Q281" s="1">
        <v>2</v>
      </c>
      <c r="R281" s="1">
        <v>19144</v>
      </c>
      <c r="S281" s="1">
        <v>28</v>
      </c>
      <c r="T281" s="1">
        <v>2</v>
      </c>
      <c r="U281" s="1">
        <v>10</v>
      </c>
      <c r="V281" s="1">
        <v>4</v>
      </c>
      <c r="W281" s="1">
        <v>1</v>
      </c>
      <c r="X281" s="1">
        <v>6</v>
      </c>
    </row>
    <row r="282" spans="1:24">
      <c r="A282" s="1">
        <v>281</v>
      </c>
      <c r="B282" s="1" t="s">
        <v>33</v>
      </c>
      <c r="C282" s="1" t="s">
        <v>25</v>
      </c>
      <c r="D282" s="1" t="s">
        <v>35</v>
      </c>
      <c r="E282" s="1" t="s">
        <v>36</v>
      </c>
      <c r="F282" s="1" t="s">
        <v>45</v>
      </c>
      <c r="G282" s="1">
        <v>1</v>
      </c>
      <c r="H282" s="1" t="s">
        <v>37</v>
      </c>
      <c r="I282" s="1" t="s">
        <v>55</v>
      </c>
      <c r="J282" s="1" t="s">
        <v>39</v>
      </c>
      <c r="K282" s="1" t="s">
        <v>24</v>
      </c>
      <c r="L282" s="1">
        <v>53</v>
      </c>
      <c r="M282" s="1">
        <v>3</v>
      </c>
      <c r="N282" s="1" t="s">
        <v>44</v>
      </c>
      <c r="O282" s="1">
        <v>3</v>
      </c>
      <c r="P282" s="1">
        <v>4</v>
      </c>
      <c r="Q282" s="1">
        <v>3</v>
      </c>
      <c r="R282" s="1">
        <v>17584</v>
      </c>
      <c r="S282" s="1">
        <v>21</v>
      </c>
      <c r="T282" s="1">
        <v>2</v>
      </c>
      <c r="U282" s="1">
        <v>5</v>
      </c>
      <c r="V282" s="1">
        <v>3</v>
      </c>
      <c r="W282" s="1">
        <v>1</v>
      </c>
      <c r="X282" s="1">
        <v>3</v>
      </c>
    </row>
    <row r="283" spans="1:24">
      <c r="A283" s="1">
        <v>282</v>
      </c>
      <c r="B283" s="1" t="s">
        <v>33</v>
      </c>
      <c r="C283" s="1" t="s">
        <v>25</v>
      </c>
      <c r="D283" s="1" t="s">
        <v>26</v>
      </c>
      <c r="E283" s="1" t="s">
        <v>27</v>
      </c>
      <c r="F283" s="1" t="s">
        <v>28</v>
      </c>
      <c r="G283" s="1">
        <v>1</v>
      </c>
      <c r="H283" s="1" t="s">
        <v>37</v>
      </c>
      <c r="I283" s="1" t="s">
        <v>30</v>
      </c>
      <c r="J283" s="1" t="s">
        <v>39</v>
      </c>
      <c r="K283" s="1" t="s">
        <v>33</v>
      </c>
      <c r="L283" s="1">
        <v>42</v>
      </c>
      <c r="M283" s="1">
        <v>1</v>
      </c>
      <c r="N283" s="1" t="s">
        <v>40</v>
      </c>
      <c r="O283" s="1">
        <v>2</v>
      </c>
      <c r="P283" s="1">
        <v>2</v>
      </c>
      <c r="Q283" s="1">
        <v>3</v>
      </c>
      <c r="R283" s="1">
        <v>4907</v>
      </c>
      <c r="S283" s="1">
        <v>20</v>
      </c>
      <c r="T283" s="1">
        <v>3</v>
      </c>
      <c r="U283" s="1">
        <v>20</v>
      </c>
      <c r="V283" s="1">
        <v>16</v>
      </c>
      <c r="W283" s="1">
        <v>11</v>
      </c>
      <c r="X283" s="1">
        <v>6</v>
      </c>
    </row>
    <row r="284" spans="1:24">
      <c r="A284" s="1">
        <v>283</v>
      </c>
      <c r="B284" s="1" t="s">
        <v>33</v>
      </c>
      <c r="C284" s="1" t="s">
        <v>34</v>
      </c>
      <c r="D284" s="1" t="s">
        <v>43</v>
      </c>
      <c r="E284" s="1" t="s">
        <v>27</v>
      </c>
      <c r="F284" s="1" t="s">
        <v>28</v>
      </c>
      <c r="G284" s="1">
        <v>1</v>
      </c>
      <c r="H284" s="1" t="s">
        <v>37</v>
      </c>
      <c r="I284" s="1" t="s">
        <v>30</v>
      </c>
      <c r="J284" s="1" t="s">
        <v>31</v>
      </c>
      <c r="K284" s="1" t="s">
        <v>33</v>
      </c>
      <c r="L284" s="1">
        <v>29</v>
      </c>
      <c r="M284" s="1">
        <v>2</v>
      </c>
      <c r="N284" s="1" t="s">
        <v>32</v>
      </c>
      <c r="O284" s="1">
        <v>2</v>
      </c>
      <c r="P284" s="1">
        <v>2</v>
      </c>
      <c r="Q284" s="1">
        <v>4</v>
      </c>
      <c r="R284" s="1">
        <v>4554</v>
      </c>
      <c r="S284" s="1">
        <v>10</v>
      </c>
      <c r="T284" s="1">
        <v>2</v>
      </c>
      <c r="U284" s="1">
        <v>10</v>
      </c>
      <c r="V284" s="1">
        <v>7</v>
      </c>
      <c r="W284" s="1">
        <v>0</v>
      </c>
      <c r="X284" s="1">
        <v>9</v>
      </c>
    </row>
    <row r="285" spans="1:24">
      <c r="A285" s="1">
        <v>284</v>
      </c>
      <c r="B285" s="1" t="s">
        <v>33</v>
      </c>
      <c r="C285" s="1" t="s">
        <v>25</v>
      </c>
      <c r="D285" s="1" t="s">
        <v>46</v>
      </c>
      <c r="E285" s="1" t="s">
        <v>36</v>
      </c>
      <c r="F285" s="1" t="s">
        <v>57</v>
      </c>
      <c r="G285" s="1">
        <v>1</v>
      </c>
      <c r="H285" s="1" t="s">
        <v>37</v>
      </c>
      <c r="I285" s="1" t="s">
        <v>42</v>
      </c>
      <c r="J285" s="1" t="s">
        <v>39</v>
      </c>
      <c r="K285" s="1" t="s">
        <v>24</v>
      </c>
      <c r="L285" s="1">
        <v>55</v>
      </c>
      <c r="M285" s="1">
        <v>20</v>
      </c>
      <c r="N285" s="1" t="s">
        <v>32</v>
      </c>
      <c r="O285" s="1">
        <v>2</v>
      </c>
      <c r="P285" s="1">
        <v>2</v>
      </c>
      <c r="Q285" s="1">
        <v>4</v>
      </c>
      <c r="R285" s="1">
        <v>5415</v>
      </c>
      <c r="S285" s="1">
        <v>12</v>
      </c>
      <c r="T285" s="1">
        <v>3</v>
      </c>
      <c r="U285" s="1">
        <v>10</v>
      </c>
      <c r="V285" s="1">
        <v>7</v>
      </c>
      <c r="W285" s="1">
        <v>0</v>
      </c>
      <c r="X285" s="1">
        <v>8</v>
      </c>
    </row>
    <row r="286" spans="1:24">
      <c r="A286" s="1">
        <v>285</v>
      </c>
      <c r="B286" s="1" t="s">
        <v>33</v>
      </c>
      <c r="C286" s="1" t="s">
        <v>34</v>
      </c>
      <c r="D286" s="1" t="s">
        <v>43</v>
      </c>
      <c r="E286" s="1" t="s">
        <v>36</v>
      </c>
      <c r="F286" s="1" t="s">
        <v>45</v>
      </c>
      <c r="G286" s="1">
        <v>1</v>
      </c>
      <c r="H286" s="1" t="s">
        <v>37</v>
      </c>
      <c r="I286" s="1" t="s">
        <v>50</v>
      </c>
      <c r="J286" s="1" t="s">
        <v>39</v>
      </c>
      <c r="K286" s="1" t="s">
        <v>24</v>
      </c>
      <c r="L286" s="1">
        <v>26</v>
      </c>
      <c r="M286" s="1">
        <v>11</v>
      </c>
      <c r="N286" s="1" t="s">
        <v>32</v>
      </c>
      <c r="O286" s="1">
        <v>1</v>
      </c>
      <c r="P286" s="1">
        <v>2</v>
      </c>
      <c r="Q286" s="1">
        <v>1</v>
      </c>
      <c r="R286" s="1">
        <v>4741</v>
      </c>
      <c r="S286" s="1">
        <v>5</v>
      </c>
      <c r="T286" s="1">
        <v>3</v>
      </c>
      <c r="U286" s="1">
        <v>5</v>
      </c>
      <c r="V286" s="1">
        <v>3</v>
      </c>
      <c r="W286" s="1">
        <v>3</v>
      </c>
      <c r="X286" s="1">
        <v>3</v>
      </c>
    </row>
    <row r="287" spans="1:24">
      <c r="A287" s="1">
        <v>286</v>
      </c>
      <c r="B287" s="1" t="s">
        <v>33</v>
      </c>
      <c r="C287" s="1" t="s">
        <v>25</v>
      </c>
      <c r="D287" s="1" t="s">
        <v>26</v>
      </c>
      <c r="E287" s="1" t="s">
        <v>36</v>
      </c>
      <c r="F287" s="1" t="s">
        <v>28</v>
      </c>
      <c r="G287" s="1">
        <v>1</v>
      </c>
      <c r="H287" s="1" t="s">
        <v>29</v>
      </c>
      <c r="I287" s="1" t="s">
        <v>38</v>
      </c>
      <c r="J287" s="1" t="s">
        <v>31</v>
      </c>
      <c r="K287" s="1" t="s">
        <v>33</v>
      </c>
      <c r="L287" s="1">
        <v>37</v>
      </c>
      <c r="M287" s="1">
        <v>1</v>
      </c>
      <c r="N287" s="1" t="s">
        <v>47</v>
      </c>
      <c r="O287" s="1">
        <v>4</v>
      </c>
      <c r="P287" s="1">
        <v>1</v>
      </c>
      <c r="Q287" s="1">
        <v>4</v>
      </c>
      <c r="R287" s="1">
        <v>2115</v>
      </c>
      <c r="S287" s="1">
        <v>17</v>
      </c>
      <c r="T287" s="1">
        <v>3</v>
      </c>
      <c r="U287" s="1">
        <v>17</v>
      </c>
      <c r="V287" s="1">
        <v>12</v>
      </c>
      <c r="W287" s="1">
        <v>5</v>
      </c>
      <c r="X287" s="1">
        <v>7</v>
      </c>
    </row>
    <row r="288" spans="1:24">
      <c r="A288" s="1">
        <v>287</v>
      </c>
      <c r="B288" s="1" t="s">
        <v>24</v>
      </c>
      <c r="C288" s="1" t="s">
        <v>34</v>
      </c>
      <c r="D288" s="1" t="s">
        <v>26</v>
      </c>
      <c r="E288" s="1" t="s">
        <v>36</v>
      </c>
      <c r="F288" s="1" t="s">
        <v>28</v>
      </c>
      <c r="G288" s="1">
        <v>1</v>
      </c>
      <c r="H288" s="1" t="s">
        <v>37</v>
      </c>
      <c r="I288" s="1" t="s">
        <v>42</v>
      </c>
      <c r="J288" s="1" t="s">
        <v>48</v>
      </c>
      <c r="K288" s="1" t="s">
        <v>24</v>
      </c>
      <c r="L288" s="1">
        <v>44</v>
      </c>
      <c r="M288" s="1">
        <v>24</v>
      </c>
      <c r="N288" s="1" t="s">
        <v>47</v>
      </c>
      <c r="O288" s="1">
        <v>4</v>
      </c>
      <c r="P288" s="1">
        <v>1</v>
      </c>
      <c r="Q288" s="1">
        <v>3</v>
      </c>
      <c r="R288" s="1">
        <v>3161</v>
      </c>
      <c r="S288" s="1">
        <v>19</v>
      </c>
      <c r="T288" s="1">
        <v>1</v>
      </c>
      <c r="U288" s="1">
        <v>1</v>
      </c>
      <c r="V288" s="1">
        <v>0</v>
      </c>
      <c r="W288" s="1">
        <v>0</v>
      </c>
      <c r="X288" s="1">
        <v>0</v>
      </c>
    </row>
    <row r="289" spans="1:24">
      <c r="A289" s="1">
        <v>288</v>
      </c>
      <c r="B289" s="1" t="s">
        <v>33</v>
      </c>
      <c r="C289" s="1" t="s">
        <v>25</v>
      </c>
      <c r="D289" s="1" t="s">
        <v>26</v>
      </c>
      <c r="E289" s="1" t="s">
        <v>36</v>
      </c>
      <c r="F289" s="1" t="s">
        <v>28</v>
      </c>
      <c r="G289" s="1">
        <v>1</v>
      </c>
      <c r="H289" s="1" t="s">
        <v>37</v>
      </c>
      <c r="I289" s="1" t="s">
        <v>50</v>
      </c>
      <c r="J289" s="1" t="s">
        <v>48</v>
      </c>
      <c r="K289" s="1" t="s">
        <v>33</v>
      </c>
      <c r="L289" s="1">
        <v>38</v>
      </c>
      <c r="M289" s="1">
        <v>23</v>
      </c>
      <c r="N289" s="1" t="s">
        <v>44</v>
      </c>
      <c r="O289" s="1">
        <v>4</v>
      </c>
      <c r="P289" s="1">
        <v>2</v>
      </c>
      <c r="Q289" s="1">
        <v>4</v>
      </c>
      <c r="R289" s="1">
        <v>5745</v>
      </c>
      <c r="S289" s="1">
        <v>10</v>
      </c>
      <c r="T289" s="1">
        <v>3</v>
      </c>
      <c r="U289" s="1">
        <v>2</v>
      </c>
      <c r="V289" s="1">
        <v>2</v>
      </c>
      <c r="W289" s="1">
        <v>1</v>
      </c>
      <c r="X289" s="1">
        <v>2</v>
      </c>
    </row>
    <row r="290" spans="1:24">
      <c r="A290" s="1">
        <v>289</v>
      </c>
      <c r="B290" s="1" t="s">
        <v>24</v>
      </c>
      <c r="C290" s="1" t="s">
        <v>25</v>
      </c>
      <c r="D290" s="1" t="s">
        <v>43</v>
      </c>
      <c r="E290" s="1" t="s">
        <v>36</v>
      </c>
      <c r="F290" s="1" t="s">
        <v>45</v>
      </c>
      <c r="G290" s="1">
        <v>1</v>
      </c>
      <c r="H290" s="1" t="s">
        <v>37</v>
      </c>
      <c r="I290" s="1" t="s">
        <v>42</v>
      </c>
      <c r="J290" s="1" t="s">
        <v>48</v>
      </c>
      <c r="K290" s="1" t="s">
        <v>24</v>
      </c>
      <c r="L290" s="1">
        <v>26</v>
      </c>
      <c r="M290" s="1">
        <v>16</v>
      </c>
      <c r="N290" s="1" t="s">
        <v>44</v>
      </c>
      <c r="O290" s="1">
        <v>1</v>
      </c>
      <c r="P290" s="1">
        <v>1</v>
      </c>
      <c r="Q290" s="1">
        <v>2</v>
      </c>
      <c r="R290" s="1">
        <v>2373</v>
      </c>
      <c r="S290" s="1">
        <v>5</v>
      </c>
      <c r="T290" s="1">
        <v>3</v>
      </c>
      <c r="U290" s="1">
        <v>3</v>
      </c>
      <c r="V290" s="1">
        <v>2</v>
      </c>
      <c r="W290" s="1">
        <v>0</v>
      </c>
      <c r="X290" s="1">
        <v>2</v>
      </c>
    </row>
    <row r="291" spans="1:24">
      <c r="A291" s="1">
        <v>290</v>
      </c>
      <c r="B291" s="1" t="s">
        <v>33</v>
      </c>
      <c r="C291" s="1" t="s">
        <v>25</v>
      </c>
      <c r="D291" s="1" t="s">
        <v>43</v>
      </c>
      <c r="E291" s="1" t="s">
        <v>36</v>
      </c>
      <c r="F291" s="1" t="s">
        <v>28</v>
      </c>
      <c r="G291" s="1">
        <v>1</v>
      </c>
      <c r="H291" s="1" t="s">
        <v>29</v>
      </c>
      <c r="I291" s="1" t="s">
        <v>38</v>
      </c>
      <c r="J291" s="1" t="s">
        <v>31</v>
      </c>
      <c r="K291" s="1" t="s">
        <v>33</v>
      </c>
      <c r="L291" s="1">
        <v>28</v>
      </c>
      <c r="M291" s="1">
        <v>8</v>
      </c>
      <c r="N291" s="1" t="s">
        <v>32</v>
      </c>
      <c r="O291" s="1">
        <v>4</v>
      </c>
      <c r="P291" s="1">
        <v>1</v>
      </c>
      <c r="Q291" s="1">
        <v>4</v>
      </c>
      <c r="R291" s="1">
        <v>3310</v>
      </c>
      <c r="S291" s="1">
        <v>5</v>
      </c>
      <c r="T291" s="1">
        <v>3</v>
      </c>
      <c r="U291" s="1">
        <v>5</v>
      </c>
      <c r="V291" s="1">
        <v>3</v>
      </c>
      <c r="W291" s="1">
        <v>0</v>
      </c>
      <c r="X291" s="1">
        <v>2</v>
      </c>
    </row>
    <row r="292" spans="1:24">
      <c r="A292" s="1">
        <v>291</v>
      </c>
      <c r="B292" s="1" t="s">
        <v>33</v>
      </c>
      <c r="C292" s="1" t="s">
        <v>34</v>
      </c>
      <c r="D292" s="1" t="s">
        <v>35</v>
      </c>
      <c r="E292" s="1" t="s">
        <v>36</v>
      </c>
      <c r="F292" s="1" t="s">
        <v>28</v>
      </c>
      <c r="G292" s="1">
        <v>1</v>
      </c>
      <c r="H292" s="1" t="s">
        <v>29</v>
      </c>
      <c r="I292" s="1" t="s">
        <v>55</v>
      </c>
      <c r="J292" s="1" t="s">
        <v>31</v>
      </c>
      <c r="K292" s="1" t="s">
        <v>24</v>
      </c>
      <c r="L292" s="1">
        <v>49</v>
      </c>
      <c r="M292" s="1">
        <v>10</v>
      </c>
      <c r="N292" s="1" t="s">
        <v>44</v>
      </c>
      <c r="O292" s="1">
        <v>3</v>
      </c>
      <c r="P292" s="1">
        <v>5</v>
      </c>
      <c r="Q292" s="1">
        <v>1</v>
      </c>
      <c r="R292" s="1">
        <v>18665</v>
      </c>
      <c r="S292" s="1">
        <v>22</v>
      </c>
      <c r="T292" s="1">
        <v>3</v>
      </c>
      <c r="U292" s="1">
        <v>3</v>
      </c>
      <c r="V292" s="1">
        <v>2</v>
      </c>
      <c r="W292" s="1">
        <v>1</v>
      </c>
      <c r="X292" s="1">
        <v>2</v>
      </c>
    </row>
    <row r="293" spans="1:24">
      <c r="A293" s="1">
        <v>292</v>
      </c>
      <c r="B293" s="1" t="s">
        <v>33</v>
      </c>
      <c r="C293" s="1" t="s">
        <v>25</v>
      </c>
      <c r="D293" s="1" t="s">
        <v>26</v>
      </c>
      <c r="E293" s="1" t="s">
        <v>36</v>
      </c>
      <c r="F293" s="1" t="s">
        <v>57</v>
      </c>
      <c r="G293" s="1">
        <v>1</v>
      </c>
      <c r="H293" s="1" t="s">
        <v>37</v>
      </c>
      <c r="I293" s="1" t="s">
        <v>38</v>
      </c>
      <c r="J293" s="1" t="s">
        <v>31</v>
      </c>
      <c r="K293" s="1" t="s">
        <v>33</v>
      </c>
      <c r="L293" s="1">
        <v>36</v>
      </c>
      <c r="M293" s="1">
        <v>3</v>
      </c>
      <c r="N293" s="1" t="s">
        <v>47</v>
      </c>
      <c r="O293" s="1">
        <v>3</v>
      </c>
      <c r="P293" s="1">
        <v>2</v>
      </c>
      <c r="Q293" s="1">
        <v>2</v>
      </c>
      <c r="R293" s="1">
        <v>4485</v>
      </c>
      <c r="S293" s="1">
        <v>10</v>
      </c>
      <c r="T293" s="1">
        <v>3</v>
      </c>
      <c r="U293" s="1">
        <v>8</v>
      </c>
      <c r="V293" s="1">
        <v>0</v>
      </c>
      <c r="W293" s="1">
        <v>7</v>
      </c>
      <c r="X293" s="1">
        <v>7</v>
      </c>
    </row>
    <row r="294" spans="1:24">
      <c r="A294" s="1">
        <v>293</v>
      </c>
      <c r="B294" s="1" t="s">
        <v>33</v>
      </c>
      <c r="C294" s="1" t="s">
        <v>34</v>
      </c>
      <c r="D294" s="1" t="s">
        <v>43</v>
      </c>
      <c r="E294" s="1" t="s">
        <v>27</v>
      </c>
      <c r="F294" s="1" t="s">
        <v>56</v>
      </c>
      <c r="G294" s="1">
        <v>1</v>
      </c>
      <c r="H294" s="1" t="s">
        <v>29</v>
      </c>
      <c r="I294" s="1" t="s">
        <v>54</v>
      </c>
      <c r="J294" s="1" t="s">
        <v>48</v>
      </c>
      <c r="K294" s="1" t="s">
        <v>33</v>
      </c>
      <c r="L294" s="1">
        <v>31</v>
      </c>
      <c r="M294" s="1">
        <v>5</v>
      </c>
      <c r="N294" s="1" t="s">
        <v>47</v>
      </c>
      <c r="O294" s="1">
        <v>4</v>
      </c>
      <c r="P294" s="1">
        <v>1</v>
      </c>
      <c r="Q294" s="1">
        <v>2</v>
      </c>
      <c r="R294" s="1">
        <v>2789</v>
      </c>
      <c r="S294" s="1">
        <v>2</v>
      </c>
      <c r="T294" s="1">
        <v>2</v>
      </c>
      <c r="U294" s="1">
        <v>2</v>
      </c>
      <c r="V294" s="1">
        <v>2</v>
      </c>
      <c r="W294" s="1">
        <v>2</v>
      </c>
      <c r="X294" s="1">
        <v>2</v>
      </c>
    </row>
    <row r="295" spans="1:24">
      <c r="A295" s="1">
        <v>294</v>
      </c>
      <c r="B295" s="1" t="s">
        <v>24</v>
      </c>
      <c r="C295" s="1" t="s">
        <v>25</v>
      </c>
      <c r="D295" s="1" t="s">
        <v>43</v>
      </c>
      <c r="E295" s="1" t="s">
        <v>27</v>
      </c>
      <c r="F295" s="1" t="s">
        <v>56</v>
      </c>
      <c r="G295" s="1">
        <v>1</v>
      </c>
      <c r="H295" s="1" t="s">
        <v>37</v>
      </c>
      <c r="I295" s="1" t="s">
        <v>30</v>
      </c>
      <c r="J295" s="1" t="s">
        <v>31</v>
      </c>
      <c r="K295" s="1" t="s">
        <v>24</v>
      </c>
      <c r="L295" s="1">
        <v>26</v>
      </c>
      <c r="M295" s="1">
        <v>4</v>
      </c>
      <c r="N295" s="1" t="s">
        <v>44</v>
      </c>
      <c r="O295" s="1">
        <v>4</v>
      </c>
      <c r="P295" s="1">
        <v>2</v>
      </c>
      <c r="Q295" s="1">
        <v>4</v>
      </c>
      <c r="R295" s="1">
        <v>5828</v>
      </c>
      <c r="S295" s="1">
        <v>8</v>
      </c>
      <c r="T295" s="1">
        <v>3</v>
      </c>
      <c r="U295" s="1">
        <v>8</v>
      </c>
      <c r="V295" s="1">
        <v>7</v>
      </c>
      <c r="W295" s="1">
        <v>7</v>
      </c>
      <c r="X295" s="1">
        <v>4</v>
      </c>
    </row>
    <row r="296" spans="1:24">
      <c r="A296" s="1">
        <v>295</v>
      </c>
      <c r="B296" s="1" t="s">
        <v>33</v>
      </c>
      <c r="C296" s="1" t="s">
        <v>34</v>
      </c>
      <c r="D296" s="1" t="s">
        <v>26</v>
      </c>
      <c r="E296" s="1" t="s">
        <v>36</v>
      </c>
      <c r="F296" s="1" t="s">
        <v>45</v>
      </c>
      <c r="G296" s="1">
        <v>1</v>
      </c>
      <c r="H296" s="1" t="s">
        <v>37</v>
      </c>
      <c r="I296" s="1" t="s">
        <v>38</v>
      </c>
      <c r="J296" s="1" t="s">
        <v>39</v>
      </c>
      <c r="K296" s="1" t="s">
        <v>24</v>
      </c>
      <c r="L296" s="1">
        <v>37</v>
      </c>
      <c r="M296" s="1">
        <v>9</v>
      </c>
      <c r="N296" s="1" t="s">
        <v>47</v>
      </c>
      <c r="O296" s="1">
        <v>2</v>
      </c>
      <c r="P296" s="1">
        <v>1</v>
      </c>
      <c r="Q296" s="1">
        <v>4</v>
      </c>
      <c r="R296" s="1">
        <v>2326</v>
      </c>
      <c r="S296" s="1">
        <v>4</v>
      </c>
      <c r="T296" s="1">
        <v>2</v>
      </c>
      <c r="U296" s="1">
        <v>4</v>
      </c>
      <c r="V296" s="1">
        <v>2</v>
      </c>
      <c r="W296" s="1">
        <v>1</v>
      </c>
      <c r="X296" s="1">
        <v>2</v>
      </c>
    </row>
    <row r="297" spans="1:24">
      <c r="A297" s="1">
        <v>296</v>
      </c>
      <c r="B297" s="1" t="s">
        <v>33</v>
      </c>
      <c r="C297" s="1" t="s">
        <v>34</v>
      </c>
      <c r="D297" s="1" t="s">
        <v>26</v>
      </c>
      <c r="E297" s="1" t="s">
        <v>27</v>
      </c>
      <c r="F297" s="1" t="s">
        <v>56</v>
      </c>
      <c r="G297" s="1">
        <v>1</v>
      </c>
      <c r="H297" s="1" t="s">
        <v>29</v>
      </c>
      <c r="I297" s="1" t="s">
        <v>30</v>
      </c>
      <c r="J297" s="1" t="s">
        <v>39</v>
      </c>
      <c r="K297" s="1" t="s">
        <v>33</v>
      </c>
      <c r="L297" s="1">
        <v>42</v>
      </c>
      <c r="M297" s="1">
        <v>26</v>
      </c>
      <c r="N297" s="1" t="s">
        <v>47</v>
      </c>
      <c r="O297" s="1">
        <v>3</v>
      </c>
      <c r="P297" s="1">
        <v>4</v>
      </c>
      <c r="Q297" s="1">
        <v>2</v>
      </c>
      <c r="R297" s="1">
        <v>13525</v>
      </c>
      <c r="S297" s="1">
        <v>23</v>
      </c>
      <c r="T297" s="1">
        <v>4</v>
      </c>
      <c r="U297" s="1">
        <v>20</v>
      </c>
      <c r="V297" s="1">
        <v>4</v>
      </c>
      <c r="W297" s="1">
        <v>4</v>
      </c>
      <c r="X297" s="1">
        <v>8</v>
      </c>
    </row>
    <row r="298" spans="1:24">
      <c r="A298" s="1">
        <v>297</v>
      </c>
      <c r="B298" s="1" t="s">
        <v>24</v>
      </c>
      <c r="C298" s="1" t="s">
        <v>25</v>
      </c>
      <c r="D298" s="1" t="s">
        <v>52</v>
      </c>
      <c r="E298" s="1" t="s">
        <v>36</v>
      </c>
      <c r="F298" s="1" t="s">
        <v>28</v>
      </c>
      <c r="G298" s="1">
        <v>1</v>
      </c>
      <c r="H298" s="1" t="s">
        <v>37</v>
      </c>
      <c r="I298" s="1" t="s">
        <v>42</v>
      </c>
      <c r="J298" s="1" t="s">
        <v>31</v>
      </c>
      <c r="K298" s="1" t="s">
        <v>33</v>
      </c>
      <c r="L298" s="1">
        <v>18</v>
      </c>
      <c r="M298" s="1">
        <v>3</v>
      </c>
      <c r="N298" s="1" t="s">
        <v>47</v>
      </c>
      <c r="O298" s="1">
        <v>3</v>
      </c>
      <c r="P298" s="1">
        <v>1</v>
      </c>
      <c r="Q298" s="1">
        <v>3</v>
      </c>
      <c r="R298" s="1">
        <v>1420</v>
      </c>
      <c r="S298" s="1">
        <v>0</v>
      </c>
      <c r="T298" s="1">
        <v>3</v>
      </c>
      <c r="U298" s="1">
        <v>0</v>
      </c>
      <c r="V298" s="1">
        <v>0</v>
      </c>
      <c r="W298" s="1">
        <v>0</v>
      </c>
      <c r="X298" s="1">
        <v>0</v>
      </c>
    </row>
    <row r="299" spans="1:24">
      <c r="A299" s="1">
        <v>298</v>
      </c>
      <c r="B299" s="1" t="s">
        <v>33</v>
      </c>
      <c r="C299" s="1" t="s">
        <v>25</v>
      </c>
      <c r="D299" s="1" t="s">
        <v>26</v>
      </c>
      <c r="E299" s="1" t="s">
        <v>27</v>
      </c>
      <c r="F299" s="1" t="s">
        <v>56</v>
      </c>
      <c r="G299" s="1">
        <v>1</v>
      </c>
      <c r="H299" s="1" t="s">
        <v>37</v>
      </c>
      <c r="I299" s="1" t="s">
        <v>30</v>
      </c>
      <c r="J299" s="1" t="s">
        <v>39</v>
      </c>
      <c r="K299" s="1" t="s">
        <v>33</v>
      </c>
      <c r="L299" s="1">
        <v>35</v>
      </c>
      <c r="M299" s="1">
        <v>16</v>
      </c>
      <c r="N299" s="1" t="s">
        <v>47</v>
      </c>
      <c r="O299" s="1">
        <v>3</v>
      </c>
      <c r="P299" s="1">
        <v>3</v>
      </c>
      <c r="Q299" s="1">
        <v>2</v>
      </c>
      <c r="R299" s="1">
        <v>8020</v>
      </c>
      <c r="S299" s="1">
        <v>12</v>
      </c>
      <c r="T299" s="1">
        <v>2</v>
      </c>
      <c r="U299" s="1">
        <v>11</v>
      </c>
      <c r="V299" s="1">
        <v>9</v>
      </c>
      <c r="W299" s="1">
        <v>6</v>
      </c>
      <c r="X299" s="1">
        <v>9</v>
      </c>
    </row>
    <row r="300" spans="1:24">
      <c r="A300" s="1">
        <v>299</v>
      </c>
      <c r="B300" s="1" t="s">
        <v>33</v>
      </c>
      <c r="C300" s="1" t="s">
        <v>34</v>
      </c>
      <c r="D300" s="1" t="s">
        <v>26</v>
      </c>
      <c r="E300" s="1" t="s">
        <v>36</v>
      </c>
      <c r="F300" s="1" t="s">
        <v>28</v>
      </c>
      <c r="G300" s="1">
        <v>1</v>
      </c>
      <c r="H300" s="1" t="s">
        <v>37</v>
      </c>
      <c r="I300" s="1" t="s">
        <v>42</v>
      </c>
      <c r="J300" s="1" t="s">
        <v>39</v>
      </c>
      <c r="K300" s="1" t="s">
        <v>33</v>
      </c>
      <c r="L300" s="1">
        <v>36</v>
      </c>
      <c r="M300" s="1">
        <v>18</v>
      </c>
      <c r="N300" s="1" t="s">
        <v>44</v>
      </c>
      <c r="O300" s="1">
        <v>3</v>
      </c>
      <c r="P300" s="1">
        <v>1</v>
      </c>
      <c r="Q300" s="1">
        <v>4</v>
      </c>
      <c r="R300" s="1">
        <v>3688</v>
      </c>
      <c r="S300" s="1">
        <v>4</v>
      </c>
      <c r="T300" s="1">
        <v>3</v>
      </c>
      <c r="U300" s="1">
        <v>1</v>
      </c>
      <c r="V300" s="1">
        <v>0</v>
      </c>
      <c r="W300" s="1">
        <v>0</v>
      </c>
      <c r="X300" s="1">
        <v>0</v>
      </c>
    </row>
    <row r="301" spans="1:24">
      <c r="A301" s="1">
        <v>300</v>
      </c>
      <c r="B301" s="1" t="s">
        <v>33</v>
      </c>
      <c r="C301" s="1" t="s">
        <v>25</v>
      </c>
      <c r="D301" s="1" t="s">
        <v>35</v>
      </c>
      <c r="E301" s="1" t="s">
        <v>36</v>
      </c>
      <c r="F301" s="1" t="s">
        <v>45</v>
      </c>
      <c r="G301" s="1">
        <v>1</v>
      </c>
      <c r="H301" s="1" t="s">
        <v>37</v>
      </c>
      <c r="I301" s="1" t="s">
        <v>49</v>
      </c>
      <c r="J301" s="1" t="s">
        <v>48</v>
      </c>
      <c r="K301" s="1" t="s">
        <v>33</v>
      </c>
      <c r="L301" s="1">
        <v>51</v>
      </c>
      <c r="M301" s="1">
        <v>2</v>
      </c>
      <c r="N301" s="1" t="s">
        <v>47</v>
      </c>
      <c r="O301" s="1">
        <v>4</v>
      </c>
      <c r="P301" s="1">
        <v>2</v>
      </c>
      <c r="Q301" s="1">
        <v>2</v>
      </c>
      <c r="R301" s="1">
        <v>5482</v>
      </c>
      <c r="S301" s="1">
        <v>13</v>
      </c>
      <c r="T301" s="1">
        <v>3</v>
      </c>
      <c r="U301" s="1">
        <v>4</v>
      </c>
      <c r="V301" s="1">
        <v>1</v>
      </c>
      <c r="W301" s="1">
        <v>1</v>
      </c>
      <c r="X301" s="1">
        <v>2</v>
      </c>
    </row>
    <row r="302" spans="1:24">
      <c r="A302" s="1">
        <v>301</v>
      </c>
      <c r="B302" s="1" t="s">
        <v>33</v>
      </c>
      <c r="C302" s="1" t="s">
        <v>25</v>
      </c>
      <c r="D302" s="1" t="s">
        <v>26</v>
      </c>
      <c r="E302" s="1" t="s">
        <v>27</v>
      </c>
      <c r="F302" s="1" t="s">
        <v>28</v>
      </c>
      <c r="G302" s="1">
        <v>1</v>
      </c>
      <c r="H302" s="1" t="s">
        <v>37</v>
      </c>
      <c r="I302" s="1" t="s">
        <v>53</v>
      </c>
      <c r="J302" s="1" t="s">
        <v>31</v>
      </c>
      <c r="K302" s="1" t="s">
        <v>33</v>
      </c>
      <c r="L302" s="1">
        <v>41</v>
      </c>
      <c r="M302" s="1">
        <v>2</v>
      </c>
      <c r="N302" s="1" t="s">
        <v>44</v>
      </c>
      <c r="O302" s="1">
        <v>4</v>
      </c>
      <c r="P302" s="1">
        <v>4</v>
      </c>
      <c r="Q302" s="1">
        <v>2</v>
      </c>
      <c r="R302" s="1">
        <v>16015</v>
      </c>
      <c r="S302" s="1">
        <v>22</v>
      </c>
      <c r="T302" s="1">
        <v>3</v>
      </c>
      <c r="U302" s="1">
        <v>22</v>
      </c>
      <c r="V302" s="1">
        <v>10</v>
      </c>
      <c r="W302" s="1">
        <v>0</v>
      </c>
      <c r="X302" s="1">
        <v>4</v>
      </c>
    </row>
    <row r="303" spans="1:24">
      <c r="A303" s="1">
        <v>302</v>
      </c>
      <c r="B303" s="1" t="s">
        <v>33</v>
      </c>
      <c r="C303" s="1" t="s">
        <v>25</v>
      </c>
      <c r="D303" s="1" t="s">
        <v>52</v>
      </c>
      <c r="E303" s="1" t="s">
        <v>27</v>
      </c>
      <c r="F303" s="1" t="s">
        <v>45</v>
      </c>
      <c r="G303" s="1">
        <v>1</v>
      </c>
      <c r="H303" s="1" t="s">
        <v>29</v>
      </c>
      <c r="I303" s="1" t="s">
        <v>54</v>
      </c>
      <c r="J303" s="1" t="s">
        <v>31</v>
      </c>
      <c r="K303" s="1" t="s">
        <v>33</v>
      </c>
      <c r="L303" s="1">
        <v>18</v>
      </c>
      <c r="M303" s="1">
        <v>10</v>
      </c>
      <c r="N303" s="1" t="s">
        <v>47</v>
      </c>
      <c r="O303" s="1">
        <v>4</v>
      </c>
      <c r="P303" s="1">
        <v>1</v>
      </c>
      <c r="Q303" s="1">
        <v>3</v>
      </c>
      <c r="R303" s="1">
        <v>1200</v>
      </c>
      <c r="S303" s="1">
        <v>0</v>
      </c>
      <c r="T303" s="1">
        <v>3</v>
      </c>
      <c r="U303" s="1">
        <v>0</v>
      </c>
      <c r="V303" s="1">
        <v>0</v>
      </c>
      <c r="W303" s="1">
        <v>0</v>
      </c>
      <c r="X303" s="1">
        <v>0</v>
      </c>
    </row>
    <row r="304" spans="1:24">
      <c r="A304" s="1">
        <v>303</v>
      </c>
      <c r="B304" s="1" t="s">
        <v>33</v>
      </c>
      <c r="C304" s="1" t="s">
        <v>25</v>
      </c>
      <c r="D304" s="1" t="s">
        <v>43</v>
      </c>
      <c r="E304" s="1" t="s">
        <v>36</v>
      </c>
      <c r="F304" s="1" t="s">
        <v>45</v>
      </c>
      <c r="G304" s="1">
        <v>1</v>
      </c>
      <c r="H304" s="1" t="s">
        <v>37</v>
      </c>
      <c r="I304" s="1" t="s">
        <v>50</v>
      </c>
      <c r="J304" s="1" t="s">
        <v>31</v>
      </c>
      <c r="K304" s="1" t="s">
        <v>33</v>
      </c>
      <c r="L304" s="1">
        <v>28</v>
      </c>
      <c r="M304" s="1">
        <v>16</v>
      </c>
      <c r="N304" s="1" t="s">
        <v>32</v>
      </c>
      <c r="O304" s="1">
        <v>2</v>
      </c>
      <c r="P304" s="1">
        <v>2</v>
      </c>
      <c r="Q304" s="1">
        <v>1</v>
      </c>
      <c r="R304" s="1">
        <v>5661</v>
      </c>
      <c r="S304" s="1">
        <v>9</v>
      </c>
      <c r="T304" s="1">
        <v>3</v>
      </c>
      <c r="U304" s="1">
        <v>8</v>
      </c>
      <c r="V304" s="1">
        <v>3</v>
      </c>
      <c r="W304" s="1">
        <v>0</v>
      </c>
      <c r="X304" s="1">
        <v>7</v>
      </c>
    </row>
    <row r="305" spans="1:24">
      <c r="A305" s="1">
        <v>304</v>
      </c>
      <c r="B305" s="1" t="s">
        <v>33</v>
      </c>
      <c r="C305" s="1" t="s">
        <v>25</v>
      </c>
      <c r="D305" s="1" t="s">
        <v>43</v>
      </c>
      <c r="E305" s="1" t="s">
        <v>27</v>
      </c>
      <c r="F305" s="1" t="s">
        <v>57</v>
      </c>
      <c r="G305" s="1">
        <v>1</v>
      </c>
      <c r="H305" s="1" t="s">
        <v>37</v>
      </c>
      <c r="I305" s="1" t="s">
        <v>30</v>
      </c>
      <c r="J305" s="1" t="s">
        <v>39</v>
      </c>
      <c r="K305" s="1" t="s">
        <v>33</v>
      </c>
      <c r="L305" s="1">
        <v>31</v>
      </c>
      <c r="M305" s="1">
        <v>7</v>
      </c>
      <c r="N305" s="1" t="s">
        <v>47</v>
      </c>
      <c r="O305" s="1">
        <v>2</v>
      </c>
      <c r="P305" s="1">
        <v>2</v>
      </c>
      <c r="Q305" s="1">
        <v>4</v>
      </c>
      <c r="R305" s="1">
        <v>6929</v>
      </c>
      <c r="S305" s="1">
        <v>10</v>
      </c>
      <c r="T305" s="1">
        <v>2</v>
      </c>
      <c r="U305" s="1">
        <v>8</v>
      </c>
      <c r="V305" s="1">
        <v>7</v>
      </c>
      <c r="W305" s="1">
        <v>7</v>
      </c>
      <c r="X305" s="1">
        <v>7</v>
      </c>
    </row>
    <row r="306" spans="1:24">
      <c r="A306" s="1">
        <v>305</v>
      </c>
      <c r="B306" s="1" t="s">
        <v>33</v>
      </c>
      <c r="C306" s="1" t="s">
        <v>25</v>
      </c>
      <c r="D306" s="1" t="s">
        <v>26</v>
      </c>
      <c r="E306" s="1" t="s">
        <v>36</v>
      </c>
      <c r="F306" s="1" t="s">
        <v>45</v>
      </c>
      <c r="G306" s="1">
        <v>1</v>
      </c>
      <c r="H306" s="1" t="s">
        <v>37</v>
      </c>
      <c r="I306" s="1" t="s">
        <v>50</v>
      </c>
      <c r="J306" s="1" t="s">
        <v>48</v>
      </c>
      <c r="K306" s="1" t="s">
        <v>33</v>
      </c>
      <c r="L306" s="1">
        <v>39</v>
      </c>
      <c r="M306" s="1">
        <v>1</v>
      </c>
      <c r="N306" s="1" t="s">
        <v>47</v>
      </c>
      <c r="O306" s="1">
        <v>3</v>
      </c>
      <c r="P306" s="1">
        <v>3</v>
      </c>
      <c r="Q306" s="1">
        <v>4</v>
      </c>
      <c r="R306" s="1">
        <v>9613</v>
      </c>
      <c r="S306" s="1">
        <v>19</v>
      </c>
      <c r="T306" s="1">
        <v>2</v>
      </c>
      <c r="U306" s="1">
        <v>18</v>
      </c>
      <c r="V306" s="1">
        <v>10</v>
      </c>
      <c r="W306" s="1">
        <v>3</v>
      </c>
      <c r="X306" s="1">
        <v>7</v>
      </c>
    </row>
    <row r="307" spans="1:24">
      <c r="A307" s="1">
        <v>306</v>
      </c>
      <c r="B307" s="1" t="s">
        <v>33</v>
      </c>
      <c r="C307" s="1" t="s">
        <v>51</v>
      </c>
      <c r="D307" s="1" t="s">
        <v>26</v>
      </c>
      <c r="E307" s="1" t="s">
        <v>36</v>
      </c>
      <c r="F307" s="1" t="s">
        <v>28</v>
      </c>
      <c r="G307" s="1">
        <v>1</v>
      </c>
      <c r="H307" s="1" t="s">
        <v>29</v>
      </c>
      <c r="I307" s="1" t="s">
        <v>42</v>
      </c>
      <c r="J307" s="1" t="s">
        <v>39</v>
      </c>
      <c r="K307" s="1" t="s">
        <v>33</v>
      </c>
      <c r="L307" s="1">
        <v>36</v>
      </c>
      <c r="M307" s="1">
        <v>24</v>
      </c>
      <c r="N307" s="1" t="s">
        <v>44</v>
      </c>
      <c r="O307" s="1">
        <v>2</v>
      </c>
      <c r="P307" s="1">
        <v>2</v>
      </c>
      <c r="Q307" s="1">
        <v>2</v>
      </c>
      <c r="R307" s="1">
        <v>5674</v>
      </c>
      <c r="S307" s="1">
        <v>11</v>
      </c>
      <c r="T307" s="1">
        <v>3</v>
      </c>
      <c r="U307" s="1">
        <v>9</v>
      </c>
      <c r="V307" s="1">
        <v>8</v>
      </c>
      <c r="W307" s="1">
        <v>0</v>
      </c>
      <c r="X307" s="1">
        <v>8</v>
      </c>
    </row>
    <row r="308" spans="1:24">
      <c r="A308" s="1">
        <v>307</v>
      </c>
      <c r="B308" s="1" t="s">
        <v>33</v>
      </c>
      <c r="C308" s="1" t="s">
        <v>25</v>
      </c>
      <c r="D308" s="1" t="s">
        <v>43</v>
      </c>
      <c r="E308" s="1" t="s">
        <v>27</v>
      </c>
      <c r="F308" s="1" t="s">
        <v>28</v>
      </c>
      <c r="G308" s="1">
        <v>1</v>
      </c>
      <c r="H308" s="1" t="s">
        <v>37</v>
      </c>
      <c r="I308" s="1" t="s">
        <v>30</v>
      </c>
      <c r="J308" s="1" t="s">
        <v>39</v>
      </c>
      <c r="K308" s="1" t="s">
        <v>33</v>
      </c>
      <c r="L308" s="1">
        <v>32</v>
      </c>
      <c r="M308" s="1">
        <v>7</v>
      </c>
      <c r="N308" s="1" t="s">
        <v>47</v>
      </c>
      <c r="O308" s="1">
        <v>4</v>
      </c>
      <c r="P308" s="1">
        <v>2</v>
      </c>
      <c r="Q308" s="1">
        <v>3</v>
      </c>
      <c r="R308" s="1">
        <v>5484</v>
      </c>
      <c r="S308" s="1">
        <v>13</v>
      </c>
      <c r="T308" s="1">
        <v>2</v>
      </c>
      <c r="U308" s="1">
        <v>13</v>
      </c>
      <c r="V308" s="1">
        <v>8</v>
      </c>
      <c r="W308" s="1">
        <v>4</v>
      </c>
      <c r="X308" s="1">
        <v>8</v>
      </c>
    </row>
    <row r="309" spans="1:24">
      <c r="A309" s="1">
        <v>308</v>
      </c>
      <c r="B309" s="1" t="s">
        <v>33</v>
      </c>
      <c r="C309" s="1" t="s">
        <v>25</v>
      </c>
      <c r="D309" s="1" t="s">
        <v>26</v>
      </c>
      <c r="E309" s="1" t="s">
        <v>36</v>
      </c>
      <c r="F309" s="1" t="s">
        <v>28</v>
      </c>
      <c r="G309" s="1">
        <v>1</v>
      </c>
      <c r="H309" s="1" t="s">
        <v>29</v>
      </c>
      <c r="I309" s="1" t="s">
        <v>55</v>
      </c>
      <c r="J309" s="1" t="s">
        <v>39</v>
      </c>
      <c r="K309" s="1" t="s">
        <v>33</v>
      </c>
      <c r="L309" s="1">
        <v>38</v>
      </c>
      <c r="M309" s="1">
        <v>25</v>
      </c>
      <c r="N309" s="1" t="s">
        <v>32</v>
      </c>
      <c r="O309" s="1">
        <v>1</v>
      </c>
      <c r="P309" s="1">
        <v>3</v>
      </c>
      <c r="Q309" s="1">
        <v>2</v>
      </c>
      <c r="R309" s="1">
        <v>12061</v>
      </c>
      <c r="S309" s="1">
        <v>19</v>
      </c>
      <c r="T309" s="1">
        <v>3</v>
      </c>
      <c r="U309" s="1">
        <v>10</v>
      </c>
      <c r="V309" s="1">
        <v>8</v>
      </c>
      <c r="W309" s="1">
        <v>0</v>
      </c>
      <c r="X309" s="1">
        <v>1</v>
      </c>
    </row>
    <row r="310" spans="1:24">
      <c r="A310" s="1">
        <v>309</v>
      </c>
      <c r="B310" s="1" t="s">
        <v>33</v>
      </c>
      <c r="C310" s="1" t="s">
        <v>51</v>
      </c>
      <c r="D310" s="1" t="s">
        <v>46</v>
      </c>
      <c r="E310" s="1" t="s">
        <v>36</v>
      </c>
      <c r="F310" s="1" t="s">
        <v>28</v>
      </c>
      <c r="G310" s="1">
        <v>1</v>
      </c>
      <c r="H310" s="1" t="s">
        <v>37</v>
      </c>
      <c r="I310" s="1" t="s">
        <v>50</v>
      </c>
      <c r="J310" s="1" t="s">
        <v>48</v>
      </c>
      <c r="K310" s="1" t="s">
        <v>24</v>
      </c>
      <c r="L310" s="1">
        <v>58</v>
      </c>
      <c r="M310" s="1">
        <v>1</v>
      </c>
      <c r="N310" s="1" t="s">
        <v>44</v>
      </c>
      <c r="O310" s="1">
        <v>4</v>
      </c>
      <c r="P310" s="1">
        <v>2</v>
      </c>
      <c r="Q310" s="1">
        <v>3</v>
      </c>
      <c r="R310" s="1">
        <v>5660</v>
      </c>
      <c r="S310" s="1">
        <v>12</v>
      </c>
      <c r="T310" s="1">
        <v>3</v>
      </c>
      <c r="U310" s="1">
        <v>5</v>
      </c>
      <c r="V310" s="1">
        <v>3</v>
      </c>
      <c r="W310" s="1">
        <v>1</v>
      </c>
      <c r="X310" s="1">
        <v>2</v>
      </c>
    </row>
    <row r="311" spans="1:24">
      <c r="A311" s="1">
        <v>310</v>
      </c>
      <c r="B311" s="1" t="s">
        <v>33</v>
      </c>
      <c r="C311" s="1" t="s">
        <v>25</v>
      </c>
      <c r="D311" s="1" t="s">
        <v>43</v>
      </c>
      <c r="E311" s="1" t="s">
        <v>36</v>
      </c>
      <c r="F311" s="1" t="s">
        <v>57</v>
      </c>
      <c r="G311" s="1">
        <v>1</v>
      </c>
      <c r="H311" s="1" t="s">
        <v>37</v>
      </c>
      <c r="I311" s="1" t="s">
        <v>38</v>
      </c>
      <c r="J311" s="1" t="s">
        <v>39</v>
      </c>
      <c r="K311" s="1" t="s">
        <v>24</v>
      </c>
      <c r="L311" s="1">
        <v>31</v>
      </c>
      <c r="M311" s="1">
        <v>5</v>
      </c>
      <c r="N311" s="1" t="s">
        <v>44</v>
      </c>
      <c r="O311" s="1">
        <v>3</v>
      </c>
      <c r="P311" s="1">
        <v>1</v>
      </c>
      <c r="Q311" s="1">
        <v>4</v>
      </c>
      <c r="R311" s="1">
        <v>4821</v>
      </c>
      <c r="S311" s="1">
        <v>6</v>
      </c>
      <c r="T311" s="1">
        <v>3</v>
      </c>
      <c r="U311" s="1">
        <v>5</v>
      </c>
      <c r="V311" s="1">
        <v>2</v>
      </c>
      <c r="W311" s="1">
        <v>0</v>
      </c>
      <c r="X311" s="1">
        <v>3</v>
      </c>
    </row>
    <row r="312" spans="1:24">
      <c r="A312" s="1">
        <v>311</v>
      </c>
      <c r="B312" s="1" t="s">
        <v>33</v>
      </c>
      <c r="C312" s="1" t="s">
        <v>25</v>
      </c>
      <c r="D312" s="1" t="s">
        <v>43</v>
      </c>
      <c r="E312" s="1" t="s">
        <v>59</v>
      </c>
      <c r="F312" s="1" t="s">
        <v>60</v>
      </c>
      <c r="G312" s="1">
        <v>1</v>
      </c>
      <c r="H312" s="1" t="s">
        <v>37</v>
      </c>
      <c r="I312" s="1" t="s">
        <v>60</v>
      </c>
      <c r="J312" s="1" t="s">
        <v>39</v>
      </c>
      <c r="K312" s="1" t="s">
        <v>33</v>
      </c>
      <c r="L312" s="1">
        <v>31</v>
      </c>
      <c r="M312" s="1">
        <v>2</v>
      </c>
      <c r="N312" s="1" t="s">
        <v>47</v>
      </c>
      <c r="O312" s="1">
        <v>1</v>
      </c>
      <c r="P312" s="1">
        <v>2</v>
      </c>
      <c r="Q312" s="1">
        <v>1</v>
      </c>
      <c r="R312" s="1">
        <v>6410</v>
      </c>
      <c r="S312" s="1">
        <v>9</v>
      </c>
      <c r="T312" s="1">
        <v>3</v>
      </c>
      <c r="U312" s="1">
        <v>2</v>
      </c>
      <c r="V312" s="1">
        <v>2</v>
      </c>
      <c r="W312" s="1">
        <v>1</v>
      </c>
      <c r="X312" s="1">
        <v>0</v>
      </c>
    </row>
    <row r="313" spans="1:24">
      <c r="A313" s="1">
        <v>312</v>
      </c>
      <c r="B313" s="1" t="s">
        <v>33</v>
      </c>
      <c r="C313" s="1" t="s">
        <v>34</v>
      </c>
      <c r="D313" s="1" t="s">
        <v>35</v>
      </c>
      <c r="E313" s="1" t="s">
        <v>36</v>
      </c>
      <c r="F313" s="1" t="s">
        <v>28</v>
      </c>
      <c r="G313" s="1">
        <v>1</v>
      </c>
      <c r="H313" s="1" t="s">
        <v>37</v>
      </c>
      <c r="I313" s="1" t="s">
        <v>42</v>
      </c>
      <c r="J313" s="1" t="s">
        <v>48</v>
      </c>
      <c r="K313" s="1" t="s">
        <v>33</v>
      </c>
      <c r="L313" s="1">
        <v>45</v>
      </c>
      <c r="M313" s="1">
        <v>7</v>
      </c>
      <c r="N313" s="1" t="s">
        <v>47</v>
      </c>
      <c r="O313" s="1">
        <v>1</v>
      </c>
      <c r="P313" s="1">
        <v>3</v>
      </c>
      <c r="Q313" s="1">
        <v>1</v>
      </c>
      <c r="R313" s="1">
        <v>5210</v>
      </c>
      <c r="S313" s="1">
        <v>24</v>
      </c>
      <c r="T313" s="1">
        <v>3</v>
      </c>
      <c r="U313" s="1">
        <v>24</v>
      </c>
      <c r="V313" s="1">
        <v>9</v>
      </c>
      <c r="W313" s="1">
        <v>9</v>
      </c>
      <c r="X313" s="1">
        <v>11</v>
      </c>
    </row>
    <row r="314" spans="1:24">
      <c r="A314" s="1">
        <v>313</v>
      </c>
      <c r="B314" s="1" t="s">
        <v>33</v>
      </c>
      <c r="C314" s="1" t="s">
        <v>25</v>
      </c>
      <c r="D314" s="1" t="s">
        <v>43</v>
      </c>
      <c r="E314" s="1" t="s">
        <v>36</v>
      </c>
      <c r="F314" s="1" t="s">
        <v>28</v>
      </c>
      <c r="G314" s="1">
        <v>1</v>
      </c>
      <c r="H314" s="1" t="s">
        <v>37</v>
      </c>
      <c r="I314" s="1" t="s">
        <v>38</v>
      </c>
      <c r="J314" s="1" t="s">
        <v>48</v>
      </c>
      <c r="K314" s="1" t="s">
        <v>24</v>
      </c>
      <c r="L314" s="1">
        <v>31</v>
      </c>
      <c r="M314" s="1">
        <v>2</v>
      </c>
      <c r="N314" s="1" t="s">
        <v>44</v>
      </c>
      <c r="O314" s="1">
        <v>3</v>
      </c>
      <c r="P314" s="1">
        <v>1</v>
      </c>
      <c r="Q314" s="1">
        <v>4</v>
      </c>
      <c r="R314" s="1">
        <v>2695</v>
      </c>
      <c r="S314" s="1">
        <v>3</v>
      </c>
      <c r="T314" s="1">
        <v>1</v>
      </c>
      <c r="U314" s="1">
        <v>2</v>
      </c>
      <c r="V314" s="1">
        <v>2</v>
      </c>
      <c r="W314" s="1">
        <v>2</v>
      </c>
      <c r="X314" s="1">
        <v>2</v>
      </c>
    </row>
    <row r="315" spans="1:24">
      <c r="A315" s="1">
        <v>314</v>
      </c>
      <c r="B315" s="1" t="s">
        <v>33</v>
      </c>
      <c r="C315" s="1" t="s">
        <v>34</v>
      </c>
      <c r="D315" s="1" t="s">
        <v>43</v>
      </c>
      <c r="E315" s="1" t="s">
        <v>36</v>
      </c>
      <c r="F315" s="1" t="s">
        <v>28</v>
      </c>
      <c r="G315" s="1">
        <v>1</v>
      </c>
      <c r="H315" s="1" t="s">
        <v>29</v>
      </c>
      <c r="I315" s="1" t="s">
        <v>53</v>
      </c>
      <c r="J315" s="1" t="s">
        <v>39</v>
      </c>
      <c r="K315" s="1" t="s">
        <v>33</v>
      </c>
      <c r="L315" s="1">
        <v>33</v>
      </c>
      <c r="M315" s="1">
        <v>5</v>
      </c>
      <c r="N315" s="1" t="s">
        <v>44</v>
      </c>
      <c r="O315" s="1">
        <v>4</v>
      </c>
      <c r="P315" s="1">
        <v>3</v>
      </c>
      <c r="Q315" s="1">
        <v>2</v>
      </c>
      <c r="R315" s="1">
        <v>11878</v>
      </c>
      <c r="S315" s="1">
        <v>12</v>
      </c>
      <c r="T315" s="1">
        <v>3</v>
      </c>
      <c r="U315" s="1">
        <v>10</v>
      </c>
      <c r="V315" s="1">
        <v>6</v>
      </c>
      <c r="W315" s="1">
        <v>8</v>
      </c>
      <c r="X315" s="1">
        <v>8</v>
      </c>
    </row>
    <row r="316" spans="1:24">
      <c r="A316" s="1">
        <v>315</v>
      </c>
      <c r="B316" s="1" t="s">
        <v>33</v>
      </c>
      <c r="C316" s="1" t="s">
        <v>25</v>
      </c>
      <c r="D316" s="1" t="s">
        <v>26</v>
      </c>
      <c r="E316" s="1" t="s">
        <v>36</v>
      </c>
      <c r="F316" s="1" t="s">
        <v>45</v>
      </c>
      <c r="G316" s="1">
        <v>1</v>
      </c>
      <c r="H316" s="1" t="s">
        <v>37</v>
      </c>
      <c r="I316" s="1" t="s">
        <v>53</v>
      </c>
      <c r="J316" s="1" t="s">
        <v>39</v>
      </c>
      <c r="K316" s="1" t="s">
        <v>24</v>
      </c>
      <c r="L316" s="1">
        <v>39</v>
      </c>
      <c r="M316" s="1">
        <v>10</v>
      </c>
      <c r="N316" s="1" t="s">
        <v>40</v>
      </c>
      <c r="O316" s="1">
        <v>3</v>
      </c>
      <c r="P316" s="1">
        <v>4</v>
      </c>
      <c r="Q316" s="1">
        <v>1</v>
      </c>
      <c r="R316" s="1">
        <v>17068</v>
      </c>
      <c r="S316" s="1">
        <v>21</v>
      </c>
      <c r="T316" s="1">
        <v>3</v>
      </c>
      <c r="U316" s="1">
        <v>21</v>
      </c>
      <c r="V316" s="1">
        <v>9</v>
      </c>
      <c r="W316" s="1">
        <v>11</v>
      </c>
      <c r="X316" s="1">
        <v>10</v>
      </c>
    </row>
    <row r="317" spans="1:24">
      <c r="A317" s="1">
        <v>316</v>
      </c>
      <c r="B317" s="1" t="s">
        <v>33</v>
      </c>
      <c r="C317" s="1" t="s">
        <v>34</v>
      </c>
      <c r="D317" s="1" t="s">
        <v>26</v>
      </c>
      <c r="E317" s="1" t="s">
        <v>36</v>
      </c>
      <c r="F317" s="1" t="s">
        <v>28</v>
      </c>
      <c r="G317" s="1">
        <v>1</v>
      </c>
      <c r="H317" s="1" t="s">
        <v>29</v>
      </c>
      <c r="I317" s="1" t="s">
        <v>42</v>
      </c>
      <c r="J317" s="1" t="s">
        <v>31</v>
      </c>
      <c r="K317" s="1" t="s">
        <v>33</v>
      </c>
      <c r="L317" s="1">
        <v>43</v>
      </c>
      <c r="M317" s="1">
        <v>10</v>
      </c>
      <c r="N317" s="1" t="s">
        <v>44</v>
      </c>
      <c r="O317" s="1">
        <v>3</v>
      </c>
      <c r="P317" s="1">
        <v>1</v>
      </c>
      <c r="Q317" s="1">
        <v>4</v>
      </c>
      <c r="R317" s="1">
        <v>2455</v>
      </c>
      <c r="S317" s="1">
        <v>9</v>
      </c>
      <c r="T317" s="1">
        <v>3</v>
      </c>
      <c r="U317" s="1">
        <v>8</v>
      </c>
      <c r="V317" s="1">
        <v>7</v>
      </c>
      <c r="W317" s="1">
        <v>1</v>
      </c>
      <c r="X317" s="1">
        <v>7</v>
      </c>
    </row>
    <row r="318" spans="1:24">
      <c r="A318" s="1">
        <v>317</v>
      </c>
      <c r="B318" s="1" t="s">
        <v>33</v>
      </c>
      <c r="C318" s="1" t="s">
        <v>25</v>
      </c>
      <c r="D318" s="1" t="s">
        <v>35</v>
      </c>
      <c r="E318" s="1" t="s">
        <v>36</v>
      </c>
      <c r="F318" s="1" t="s">
        <v>57</v>
      </c>
      <c r="G318" s="1">
        <v>1</v>
      </c>
      <c r="H318" s="1" t="s">
        <v>29</v>
      </c>
      <c r="I318" s="1" t="s">
        <v>50</v>
      </c>
      <c r="J318" s="1" t="s">
        <v>31</v>
      </c>
      <c r="K318" s="1" t="s">
        <v>24</v>
      </c>
      <c r="L318" s="1">
        <v>49</v>
      </c>
      <c r="M318" s="1">
        <v>1</v>
      </c>
      <c r="N318" s="1" t="s">
        <v>32</v>
      </c>
      <c r="O318" s="1">
        <v>3</v>
      </c>
      <c r="P318" s="1">
        <v>4</v>
      </c>
      <c r="Q318" s="1">
        <v>3</v>
      </c>
      <c r="R318" s="1">
        <v>13964</v>
      </c>
      <c r="S318" s="1">
        <v>25</v>
      </c>
      <c r="T318" s="1">
        <v>3</v>
      </c>
      <c r="U318" s="1">
        <v>7</v>
      </c>
      <c r="V318" s="1">
        <v>1</v>
      </c>
      <c r="W318" s="1">
        <v>0</v>
      </c>
      <c r="X318" s="1">
        <v>7</v>
      </c>
    </row>
    <row r="319" spans="1:24">
      <c r="A319" s="1">
        <v>318</v>
      </c>
      <c r="B319" s="1" t="s">
        <v>24</v>
      </c>
      <c r="C319" s="1" t="s">
        <v>25</v>
      </c>
      <c r="D319" s="1" t="s">
        <v>35</v>
      </c>
      <c r="E319" s="1" t="s">
        <v>36</v>
      </c>
      <c r="F319" s="1" t="s">
        <v>45</v>
      </c>
      <c r="G319" s="1">
        <v>1</v>
      </c>
      <c r="H319" s="1" t="s">
        <v>37</v>
      </c>
      <c r="I319" s="1" t="s">
        <v>38</v>
      </c>
      <c r="J319" s="1" t="s">
        <v>39</v>
      </c>
      <c r="K319" s="1" t="s">
        <v>33</v>
      </c>
      <c r="L319" s="1">
        <v>52</v>
      </c>
      <c r="M319" s="1">
        <v>8</v>
      </c>
      <c r="N319" s="1" t="s">
        <v>44</v>
      </c>
      <c r="O319" s="1">
        <v>3</v>
      </c>
      <c r="P319" s="1">
        <v>2</v>
      </c>
      <c r="Q319" s="1">
        <v>2</v>
      </c>
      <c r="R319" s="1">
        <v>4941</v>
      </c>
      <c r="S319" s="1">
        <v>11</v>
      </c>
      <c r="T319" s="1">
        <v>2</v>
      </c>
      <c r="U319" s="1">
        <v>8</v>
      </c>
      <c r="V319" s="1">
        <v>2</v>
      </c>
      <c r="W319" s="1">
        <v>7</v>
      </c>
      <c r="X319" s="1">
        <v>7</v>
      </c>
    </row>
    <row r="320" spans="1:24">
      <c r="A320" s="1">
        <v>319</v>
      </c>
      <c r="B320" s="1" t="s">
        <v>33</v>
      </c>
      <c r="C320" s="1" t="s">
        <v>25</v>
      </c>
      <c r="D320" s="1" t="s">
        <v>43</v>
      </c>
      <c r="E320" s="1" t="s">
        <v>36</v>
      </c>
      <c r="F320" s="1" t="s">
        <v>28</v>
      </c>
      <c r="G320" s="1">
        <v>1</v>
      </c>
      <c r="H320" s="1" t="s">
        <v>29</v>
      </c>
      <c r="I320" s="1" t="s">
        <v>38</v>
      </c>
      <c r="J320" s="1" t="s">
        <v>31</v>
      </c>
      <c r="K320" s="1" t="s">
        <v>24</v>
      </c>
      <c r="L320" s="1">
        <v>27</v>
      </c>
      <c r="M320" s="1">
        <v>5</v>
      </c>
      <c r="N320" s="1" t="s">
        <v>47</v>
      </c>
      <c r="O320" s="1">
        <v>3</v>
      </c>
      <c r="P320" s="1">
        <v>1</v>
      </c>
      <c r="Q320" s="1">
        <v>2</v>
      </c>
      <c r="R320" s="1">
        <v>2478</v>
      </c>
      <c r="S320" s="1">
        <v>4</v>
      </c>
      <c r="T320" s="1">
        <v>2</v>
      </c>
      <c r="U320" s="1">
        <v>4</v>
      </c>
      <c r="V320" s="1">
        <v>3</v>
      </c>
      <c r="W320" s="1">
        <v>1</v>
      </c>
      <c r="X320" s="1">
        <v>2</v>
      </c>
    </row>
    <row r="321" spans="1:24">
      <c r="A321" s="1">
        <v>320</v>
      </c>
      <c r="B321" s="1" t="s">
        <v>33</v>
      </c>
      <c r="C321" s="1" t="s">
        <v>25</v>
      </c>
      <c r="D321" s="1" t="s">
        <v>43</v>
      </c>
      <c r="E321" s="1" t="s">
        <v>27</v>
      </c>
      <c r="F321" s="1" t="s">
        <v>57</v>
      </c>
      <c r="G321" s="1">
        <v>1</v>
      </c>
      <c r="H321" s="1" t="s">
        <v>29</v>
      </c>
      <c r="I321" s="1" t="s">
        <v>30</v>
      </c>
      <c r="J321" s="1" t="s">
        <v>39</v>
      </c>
      <c r="K321" s="1" t="s">
        <v>24</v>
      </c>
      <c r="L321" s="1">
        <v>32</v>
      </c>
      <c r="M321" s="1">
        <v>8</v>
      </c>
      <c r="N321" s="1" t="s">
        <v>32</v>
      </c>
      <c r="O321" s="1">
        <v>3</v>
      </c>
      <c r="P321" s="1">
        <v>2</v>
      </c>
      <c r="Q321" s="1">
        <v>2</v>
      </c>
      <c r="R321" s="1">
        <v>5228</v>
      </c>
      <c r="S321" s="1">
        <v>13</v>
      </c>
      <c r="T321" s="1">
        <v>3</v>
      </c>
      <c r="U321" s="1">
        <v>13</v>
      </c>
      <c r="V321" s="1">
        <v>12</v>
      </c>
      <c r="W321" s="1">
        <v>11</v>
      </c>
      <c r="X321" s="1">
        <v>9</v>
      </c>
    </row>
    <row r="322" spans="1:24">
      <c r="A322" s="1">
        <v>321</v>
      </c>
      <c r="B322" s="1" t="s">
        <v>33</v>
      </c>
      <c r="C322" s="1" t="s">
        <v>25</v>
      </c>
      <c r="D322" s="1" t="s">
        <v>43</v>
      </c>
      <c r="E322" s="1" t="s">
        <v>27</v>
      </c>
      <c r="F322" s="1" t="s">
        <v>28</v>
      </c>
      <c r="G322" s="1">
        <v>1</v>
      </c>
      <c r="H322" s="1" t="s">
        <v>37</v>
      </c>
      <c r="I322" s="1" t="s">
        <v>30</v>
      </c>
      <c r="J322" s="1" t="s">
        <v>31</v>
      </c>
      <c r="K322" s="1" t="s">
        <v>24</v>
      </c>
      <c r="L322" s="1">
        <v>27</v>
      </c>
      <c r="M322" s="1">
        <v>2</v>
      </c>
      <c r="N322" s="1" t="s">
        <v>47</v>
      </c>
      <c r="O322" s="1">
        <v>4</v>
      </c>
      <c r="P322" s="1">
        <v>2</v>
      </c>
      <c r="Q322" s="1">
        <v>3</v>
      </c>
      <c r="R322" s="1">
        <v>4478</v>
      </c>
      <c r="S322" s="1">
        <v>5</v>
      </c>
      <c r="T322" s="1">
        <v>3</v>
      </c>
      <c r="U322" s="1">
        <v>5</v>
      </c>
      <c r="V322" s="1">
        <v>4</v>
      </c>
      <c r="W322" s="1">
        <v>0</v>
      </c>
      <c r="X322" s="1">
        <v>4</v>
      </c>
    </row>
    <row r="323" spans="1:24">
      <c r="A323" s="1">
        <v>322</v>
      </c>
      <c r="B323" s="1" t="s">
        <v>33</v>
      </c>
      <c r="C323" s="1" t="s">
        <v>25</v>
      </c>
      <c r="D323" s="1" t="s">
        <v>43</v>
      </c>
      <c r="E323" s="1" t="s">
        <v>27</v>
      </c>
      <c r="F323" s="1" t="s">
        <v>56</v>
      </c>
      <c r="G323" s="1">
        <v>1</v>
      </c>
      <c r="H323" s="1" t="s">
        <v>37</v>
      </c>
      <c r="I323" s="1" t="s">
        <v>30</v>
      </c>
      <c r="J323" s="1" t="s">
        <v>48</v>
      </c>
      <c r="K323" s="1" t="s">
        <v>33</v>
      </c>
      <c r="L323" s="1">
        <v>31</v>
      </c>
      <c r="M323" s="1">
        <v>7</v>
      </c>
      <c r="N323" s="1" t="s">
        <v>47</v>
      </c>
      <c r="O323" s="1">
        <v>4</v>
      </c>
      <c r="P323" s="1">
        <v>2</v>
      </c>
      <c r="Q323" s="1">
        <v>4</v>
      </c>
      <c r="R323" s="1">
        <v>7547</v>
      </c>
      <c r="S323" s="1">
        <v>13</v>
      </c>
      <c r="T323" s="1">
        <v>3</v>
      </c>
      <c r="U323" s="1">
        <v>7</v>
      </c>
      <c r="V323" s="1">
        <v>7</v>
      </c>
      <c r="W323" s="1">
        <v>1</v>
      </c>
      <c r="X323" s="1">
        <v>7</v>
      </c>
    </row>
    <row r="324" spans="1:24">
      <c r="A324" s="1">
        <v>323</v>
      </c>
      <c r="B324" s="1" t="s">
        <v>33</v>
      </c>
      <c r="C324" s="1" t="s">
        <v>25</v>
      </c>
      <c r="D324" s="1" t="s">
        <v>43</v>
      </c>
      <c r="E324" s="1" t="s">
        <v>36</v>
      </c>
      <c r="F324" s="1" t="s">
        <v>45</v>
      </c>
      <c r="G324" s="1">
        <v>1</v>
      </c>
      <c r="H324" s="1" t="s">
        <v>29</v>
      </c>
      <c r="I324" s="1" t="s">
        <v>38</v>
      </c>
      <c r="J324" s="1" t="s">
        <v>31</v>
      </c>
      <c r="K324" s="1" t="s">
        <v>33</v>
      </c>
      <c r="L324" s="1">
        <v>32</v>
      </c>
      <c r="M324" s="1">
        <v>2</v>
      </c>
      <c r="N324" s="1" t="s">
        <v>44</v>
      </c>
      <c r="O324" s="1">
        <v>1</v>
      </c>
      <c r="P324" s="1">
        <v>2</v>
      </c>
      <c r="Q324" s="1">
        <v>4</v>
      </c>
      <c r="R324" s="1">
        <v>5055</v>
      </c>
      <c r="S324" s="1">
        <v>10</v>
      </c>
      <c r="T324" s="1">
        <v>2</v>
      </c>
      <c r="U324" s="1">
        <v>7</v>
      </c>
      <c r="V324" s="1">
        <v>7</v>
      </c>
      <c r="W324" s="1">
        <v>0</v>
      </c>
      <c r="X324" s="1">
        <v>7</v>
      </c>
    </row>
    <row r="325" spans="1:24">
      <c r="A325" s="1">
        <v>324</v>
      </c>
      <c r="B325" s="1" t="s">
        <v>24</v>
      </c>
      <c r="C325" s="1" t="s">
        <v>25</v>
      </c>
      <c r="D325" s="1" t="s">
        <v>43</v>
      </c>
      <c r="E325" s="1" t="s">
        <v>36</v>
      </c>
      <c r="F325" s="1" t="s">
        <v>45</v>
      </c>
      <c r="G325" s="1">
        <v>1</v>
      </c>
      <c r="H325" s="1" t="s">
        <v>37</v>
      </c>
      <c r="I325" s="1" t="s">
        <v>38</v>
      </c>
      <c r="J325" s="1" t="s">
        <v>39</v>
      </c>
      <c r="K325" s="1" t="s">
        <v>24</v>
      </c>
      <c r="L325" s="1">
        <v>28</v>
      </c>
      <c r="M325" s="1">
        <v>2</v>
      </c>
      <c r="N325" s="1" t="s">
        <v>44</v>
      </c>
      <c r="O325" s="1">
        <v>1</v>
      </c>
      <c r="P325" s="1">
        <v>1</v>
      </c>
      <c r="Q325" s="1">
        <v>4</v>
      </c>
      <c r="R325" s="1">
        <v>3464</v>
      </c>
      <c r="S325" s="1">
        <v>5</v>
      </c>
      <c r="T325" s="1">
        <v>2</v>
      </c>
      <c r="U325" s="1">
        <v>3</v>
      </c>
      <c r="V325" s="1">
        <v>2</v>
      </c>
      <c r="W325" s="1">
        <v>2</v>
      </c>
      <c r="X325" s="1">
        <v>2</v>
      </c>
    </row>
    <row r="326" spans="1:24">
      <c r="A326" s="1">
        <v>325</v>
      </c>
      <c r="B326" s="1" t="s">
        <v>33</v>
      </c>
      <c r="C326" s="1" t="s">
        <v>25</v>
      </c>
      <c r="D326" s="1" t="s">
        <v>43</v>
      </c>
      <c r="E326" s="1" t="s">
        <v>36</v>
      </c>
      <c r="F326" s="1" t="s">
        <v>45</v>
      </c>
      <c r="G326" s="1">
        <v>1</v>
      </c>
      <c r="H326" s="1" t="s">
        <v>29</v>
      </c>
      <c r="I326" s="1" t="s">
        <v>38</v>
      </c>
      <c r="J326" s="1" t="s">
        <v>39</v>
      </c>
      <c r="K326" s="1" t="s">
        <v>33</v>
      </c>
      <c r="L326" s="1">
        <v>30</v>
      </c>
      <c r="M326" s="1">
        <v>28</v>
      </c>
      <c r="N326" s="1" t="s">
        <v>32</v>
      </c>
      <c r="O326" s="1">
        <v>4</v>
      </c>
      <c r="P326" s="1">
        <v>2</v>
      </c>
      <c r="Q326" s="1">
        <v>4</v>
      </c>
      <c r="R326" s="1">
        <v>5775</v>
      </c>
      <c r="S326" s="1">
        <v>11</v>
      </c>
      <c r="T326" s="1">
        <v>3</v>
      </c>
      <c r="U326" s="1">
        <v>10</v>
      </c>
      <c r="V326" s="1">
        <v>8</v>
      </c>
      <c r="W326" s="1">
        <v>1</v>
      </c>
      <c r="X326" s="1">
        <v>9</v>
      </c>
    </row>
    <row r="327" spans="1:24">
      <c r="A327" s="1">
        <v>326</v>
      </c>
      <c r="B327" s="1" t="s">
        <v>33</v>
      </c>
      <c r="C327" s="1" t="s">
        <v>34</v>
      </c>
      <c r="D327" s="1" t="s">
        <v>43</v>
      </c>
      <c r="E327" s="1" t="s">
        <v>36</v>
      </c>
      <c r="F327" s="1" t="s">
        <v>28</v>
      </c>
      <c r="G327" s="1">
        <v>1</v>
      </c>
      <c r="H327" s="1" t="s">
        <v>29</v>
      </c>
      <c r="I327" s="1" t="s">
        <v>49</v>
      </c>
      <c r="J327" s="1" t="s">
        <v>39</v>
      </c>
      <c r="K327" s="1" t="s">
        <v>33</v>
      </c>
      <c r="L327" s="1">
        <v>31</v>
      </c>
      <c r="M327" s="1">
        <v>7</v>
      </c>
      <c r="N327" s="1" t="s">
        <v>32</v>
      </c>
      <c r="O327" s="1">
        <v>3</v>
      </c>
      <c r="P327" s="1">
        <v>3</v>
      </c>
      <c r="Q327" s="1">
        <v>3</v>
      </c>
      <c r="R327" s="1">
        <v>8943</v>
      </c>
      <c r="S327" s="1">
        <v>10</v>
      </c>
      <c r="T327" s="1">
        <v>3</v>
      </c>
      <c r="U327" s="1">
        <v>10</v>
      </c>
      <c r="V327" s="1">
        <v>9</v>
      </c>
      <c r="W327" s="1">
        <v>8</v>
      </c>
      <c r="X327" s="1">
        <v>9</v>
      </c>
    </row>
    <row r="328" spans="1:24">
      <c r="A328" s="1">
        <v>327</v>
      </c>
      <c r="B328" s="1" t="s">
        <v>33</v>
      </c>
      <c r="C328" s="1" t="s">
        <v>34</v>
      </c>
      <c r="D328" s="1" t="s">
        <v>26</v>
      </c>
      <c r="E328" s="1" t="s">
        <v>36</v>
      </c>
      <c r="F328" s="1" t="s">
        <v>45</v>
      </c>
      <c r="G328" s="1">
        <v>1</v>
      </c>
      <c r="H328" s="1" t="s">
        <v>37</v>
      </c>
      <c r="I328" s="1" t="s">
        <v>53</v>
      </c>
      <c r="J328" s="1" t="s">
        <v>39</v>
      </c>
      <c r="K328" s="1" t="s">
        <v>33</v>
      </c>
      <c r="L328" s="1">
        <v>39</v>
      </c>
      <c r="M328" s="1">
        <v>7</v>
      </c>
      <c r="N328" s="1" t="s">
        <v>32</v>
      </c>
      <c r="O328" s="1">
        <v>3</v>
      </c>
      <c r="P328" s="1">
        <v>5</v>
      </c>
      <c r="Q328" s="1">
        <v>4</v>
      </c>
      <c r="R328" s="1">
        <v>19272</v>
      </c>
      <c r="S328" s="1">
        <v>21</v>
      </c>
      <c r="T328" s="1">
        <v>3</v>
      </c>
      <c r="U328" s="1">
        <v>21</v>
      </c>
      <c r="V328" s="1">
        <v>9</v>
      </c>
      <c r="W328" s="1">
        <v>13</v>
      </c>
      <c r="X328" s="1">
        <v>3</v>
      </c>
    </row>
    <row r="329" spans="1:24">
      <c r="A329" s="1">
        <v>328</v>
      </c>
      <c r="B329" s="1" t="s">
        <v>24</v>
      </c>
      <c r="C329" s="1" t="s">
        <v>25</v>
      </c>
      <c r="D329" s="1" t="s">
        <v>26</v>
      </c>
      <c r="E329" s="1" t="s">
        <v>27</v>
      </c>
      <c r="F329" s="1" t="s">
        <v>45</v>
      </c>
      <c r="G329" s="1">
        <v>1</v>
      </c>
      <c r="H329" s="1" t="s">
        <v>29</v>
      </c>
      <c r="I329" s="1" t="s">
        <v>30</v>
      </c>
      <c r="J329" s="1" t="s">
        <v>39</v>
      </c>
      <c r="K329" s="1" t="s">
        <v>24</v>
      </c>
      <c r="L329" s="1">
        <v>39</v>
      </c>
      <c r="M329" s="1">
        <v>3</v>
      </c>
      <c r="N329" s="1" t="s">
        <v>32</v>
      </c>
      <c r="O329" s="1">
        <v>4</v>
      </c>
      <c r="P329" s="1">
        <v>2</v>
      </c>
      <c r="Q329" s="1">
        <v>3</v>
      </c>
      <c r="R329" s="1">
        <v>5238</v>
      </c>
      <c r="S329" s="1">
        <v>12</v>
      </c>
      <c r="T329" s="1">
        <v>2</v>
      </c>
      <c r="U329" s="1">
        <v>1</v>
      </c>
      <c r="V329" s="1">
        <v>0</v>
      </c>
      <c r="W329" s="1">
        <v>0</v>
      </c>
      <c r="X329" s="1">
        <v>0</v>
      </c>
    </row>
    <row r="330" spans="1:24">
      <c r="A330" s="1">
        <v>329</v>
      </c>
      <c r="B330" s="1" t="s">
        <v>33</v>
      </c>
      <c r="C330" s="1" t="s">
        <v>34</v>
      </c>
      <c r="D330" s="1" t="s">
        <v>43</v>
      </c>
      <c r="E330" s="1" t="s">
        <v>27</v>
      </c>
      <c r="F330" s="1" t="s">
        <v>56</v>
      </c>
      <c r="G330" s="1">
        <v>1</v>
      </c>
      <c r="H330" s="1" t="s">
        <v>37</v>
      </c>
      <c r="I330" s="1" t="s">
        <v>30</v>
      </c>
      <c r="J330" s="1" t="s">
        <v>31</v>
      </c>
      <c r="K330" s="1" t="s">
        <v>33</v>
      </c>
      <c r="L330" s="1">
        <v>33</v>
      </c>
      <c r="M330" s="1">
        <v>10</v>
      </c>
      <c r="N330" s="1" t="s">
        <v>47</v>
      </c>
      <c r="O330" s="1">
        <v>2</v>
      </c>
      <c r="P330" s="1">
        <v>2</v>
      </c>
      <c r="Q330" s="1">
        <v>4</v>
      </c>
      <c r="R330" s="1">
        <v>4682</v>
      </c>
      <c r="S330" s="1">
        <v>9</v>
      </c>
      <c r="T330" s="1">
        <v>2</v>
      </c>
      <c r="U330" s="1">
        <v>7</v>
      </c>
      <c r="V330" s="1">
        <v>7</v>
      </c>
      <c r="W330" s="1">
        <v>0</v>
      </c>
      <c r="X330" s="1">
        <v>1</v>
      </c>
    </row>
    <row r="331" spans="1:24">
      <c r="A331" s="1">
        <v>330</v>
      </c>
      <c r="B331" s="1" t="s">
        <v>33</v>
      </c>
      <c r="C331" s="1" t="s">
        <v>25</v>
      </c>
      <c r="D331" s="1" t="s">
        <v>35</v>
      </c>
      <c r="E331" s="1" t="s">
        <v>36</v>
      </c>
      <c r="F331" s="1" t="s">
        <v>28</v>
      </c>
      <c r="G331" s="1">
        <v>1</v>
      </c>
      <c r="H331" s="1" t="s">
        <v>37</v>
      </c>
      <c r="I331" s="1" t="s">
        <v>55</v>
      </c>
      <c r="J331" s="1" t="s">
        <v>39</v>
      </c>
      <c r="K331" s="1" t="s">
        <v>33</v>
      </c>
      <c r="L331" s="1">
        <v>47</v>
      </c>
      <c r="M331" s="1">
        <v>5</v>
      </c>
      <c r="N331" s="1" t="s">
        <v>58</v>
      </c>
      <c r="O331" s="1">
        <v>4</v>
      </c>
      <c r="P331" s="1">
        <v>5</v>
      </c>
      <c r="Q331" s="1">
        <v>3</v>
      </c>
      <c r="R331" s="1">
        <v>18300</v>
      </c>
      <c r="S331" s="1">
        <v>21</v>
      </c>
      <c r="T331" s="1">
        <v>3</v>
      </c>
      <c r="U331" s="1">
        <v>3</v>
      </c>
      <c r="V331" s="1">
        <v>2</v>
      </c>
      <c r="W331" s="1">
        <v>1</v>
      </c>
      <c r="X331" s="1">
        <v>1</v>
      </c>
    </row>
    <row r="332" spans="1:24">
      <c r="A332" s="1">
        <v>331</v>
      </c>
      <c r="B332" s="1" t="s">
        <v>33</v>
      </c>
      <c r="C332" s="1" t="s">
        <v>34</v>
      </c>
      <c r="D332" s="1" t="s">
        <v>26</v>
      </c>
      <c r="E332" s="1" t="s">
        <v>36</v>
      </c>
      <c r="F332" s="1" t="s">
        <v>28</v>
      </c>
      <c r="G332" s="1">
        <v>1</v>
      </c>
      <c r="H332" s="1" t="s">
        <v>29</v>
      </c>
      <c r="I332" s="1" t="s">
        <v>42</v>
      </c>
      <c r="J332" s="1" t="s">
        <v>48</v>
      </c>
      <c r="K332" s="1" t="s">
        <v>33</v>
      </c>
      <c r="L332" s="1">
        <v>43</v>
      </c>
      <c r="M332" s="1">
        <v>10</v>
      </c>
      <c r="N332" s="1" t="s">
        <v>44</v>
      </c>
      <c r="O332" s="1">
        <v>3</v>
      </c>
      <c r="P332" s="1">
        <v>2</v>
      </c>
      <c r="Q332" s="1">
        <v>3</v>
      </c>
      <c r="R332" s="1">
        <v>5257</v>
      </c>
      <c r="S332" s="1">
        <v>9</v>
      </c>
      <c r="T332" s="1">
        <v>4</v>
      </c>
      <c r="U332" s="1">
        <v>9</v>
      </c>
      <c r="V332" s="1">
        <v>7</v>
      </c>
      <c r="W332" s="1">
        <v>0</v>
      </c>
      <c r="X332" s="1">
        <v>0</v>
      </c>
    </row>
    <row r="333" spans="1:24">
      <c r="A333" s="1">
        <v>332</v>
      </c>
      <c r="B333" s="1" t="s">
        <v>33</v>
      </c>
      <c r="C333" s="1" t="s">
        <v>51</v>
      </c>
      <c r="D333" s="1" t="s">
        <v>43</v>
      </c>
      <c r="E333" s="1" t="s">
        <v>27</v>
      </c>
      <c r="F333" s="1" t="s">
        <v>56</v>
      </c>
      <c r="G333" s="1">
        <v>1</v>
      </c>
      <c r="H333" s="1" t="s">
        <v>37</v>
      </c>
      <c r="I333" s="1" t="s">
        <v>30</v>
      </c>
      <c r="J333" s="1" t="s">
        <v>39</v>
      </c>
      <c r="K333" s="1" t="s">
        <v>24</v>
      </c>
      <c r="L333" s="1">
        <v>27</v>
      </c>
      <c r="M333" s="1">
        <v>1</v>
      </c>
      <c r="N333" s="1" t="s">
        <v>40</v>
      </c>
      <c r="O333" s="1">
        <v>3</v>
      </c>
      <c r="P333" s="1">
        <v>2</v>
      </c>
      <c r="Q333" s="1">
        <v>2</v>
      </c>
      <c r="R333" s="1">
        <v>6349</v>
      </c>
      <c r="S333" s="1">
        <v>6</v>
      </c>
      <c r="T333" s="1">
        <v>3</v>
      </c>
      <c r="U333" s="1">
        <v>5</v>
      </c>
      <c r="V333" s="1">
        <v>4</v>
      </c>
      <c r="W333" s="1">
        <v>1</v>
      </c>
      <c r="X333" s="1">
        <v>4</v>
      </c>
    </row>
    <row r="334" spans="1:24">
      <c r="A334" s="1">
        <v>333</v>
      </c>
      <c r="B334" s="1" t="s">
        <v>33</v>
      </c>
      <c r="C334" s="1" t="s">
        <v>34</v>
      </c>
      <c r="D334" s="1" t="s">
        <v>35</v>
      </c>
      <c r="E334" s="1" t="s">
        <v>36</v>
      </c>
      <c r="F334" s="1" t="s">
        <v>28</v>
      </c>
      <c r="G334" s="1">
        <v>1</v>
      </c>
      <c r="H334" s="1" t="s">
        <v>29</v>
      </c>
      <c r="I334" s="1" t="s">
        <v>38</v>
      </c>
      <c r="J334" s="1" t="s">
        <v>31</v>
      </c>
      <c r="K334" s="1" t="s">
        <v>33</v>
      </c>
      <c r="L334" s="1">
        <v>54</v>
      </c>
      <c r="M334" s="1">
        <v>20</v>
      </c>
      <c r="N334" s="1" t="s">
        <v>44</v>
      </c>
      <c r="O334" s="1">
        <v>4</v>
      </c>
      <c r="P334" s="1">
        <v>2</v>
      </c>
      <c r="Q334" s="1">
        <v>3</v>
      </c>
      <c r="R334" s="1">
        <v>4869</v>
      </c>
      <c r="S334" s="1">
        <v>20</v>
      </c>
      <c r="T334" s="1">
        <v>2</v>
      </c>
      <c r="U334" s="1">
        <v>4</v>
      </c>
      <c r="V334" s="1">
        <v>3</v>
      </c>
      <c r="W334" s="1">
        <v>0</v>
      </c>
      <c r="X334" s="1">
        <v>3</v>
      </c>
    </row>
    <row r="335" spans="1:24">
      <c r="A335" s="1">
        <v>334</v>
      </c>
      <c r="B335" s="1" t="s">
        <v>33</v>
      </c>
      <c r="C335" s="1" t="s">
        <v>25</v>
      </c>
      <c r="D335" s="1" t="s">
        <v>26</v>
      </c>
      <c r="E335" s="1" t="s">
        <v>36</v>
      </c>
      <c r="F335" s="1" t="s">
        <v>28</v>
      </c>
      <c r="G335" s="1">
        <v>1</v>
      </c>
      <c r="H335" s="1" t="s">
        <v>29</v>
      </c>
      <c r="I335" s="1" t="s">
        <v>50</v>
      </c>
      <c r="J335" s="1" t="s">
        <v>39</v>
      </c>
      <c r="K335" s="1" t="s">
        <v>33</v>
      </c>
      <c r="L335" s="1">
        <v>43</v>
      </c>
      <c r="M335" s="1">
        <v>7</v>
      </c>
      <c r="N335" s="1" t="s">
        <v>47</v>
      </c>
      <c r="O335" s="1">
        <v>3</v>
      </c>
      <c r="P335" s="1">
        <v>3</v>
      </c>
      <c r="Q335" s="1">
        <v>1</v>
      </c>
      <c r="R335" s="1">
        <v>9985</v>
      </c>
      <c r="S335" s="1">
        <v>10</v>
      </c>
      <c r="T335" s="1">
        <v>2</v>
      </c>
      <c r="U335" s="1">
        <v>1</v>
      </c>
      <c r="V335" s="1">
        <v>0</v>
      </c>
      <c r="W335" s="1">
        <v>0</v>
      </c>
      <c r="X335" s="1">
        <v>0</v>
      </c>
    </row>
    <row r="336" spans="1:24">
      <c r="A336" s="1">
        <v>335</v>
      </c>
      <c r="B336" s="1" t="s">
        <v>33</v>
      </c>
      <c r="C336" s="1" t="s">
        <v>25</v>
      </c>
      <c r="D336" s="1" t="s">
        <v>35</v>
      </c>
      <c r="E336" s="1" t="s">
        <v>36</v>
      </c>
      <c r="F336" s="1" t="s">
        <v>41</v>
      </c>
      <c r="G336" s="1">
        <v>1</v>
      </c>
      <c r="H336" s="1" t="s">
        <v>37</v>
      </c>
      <c r="I336" s="1" t="s">
        <v>38</v>
      </c>
      <c r="J336" s="1" t="s">
        <v>39</v>
      </c>
      <c r="K336" s="1" t="s">
        <v>33</v>
      </c>
      <c r="L336" s="1">
        <v>45</v>
      </c>
      <c r="M336" s="1">
        <v>8</v>
      </c>
      <c r="N336" s="1" t="s">
        <v>44</v>
      </c>
      <c r="O336" s="1">
        <v>4</v>
      </c>
      <c r="P336" s="1">
        <v>2</v>
      </c>
      <c r="Q336" s="1">
        <v>4</v>
      </c>
      <c r="R336" s="1">
        <v>3697</v>
      </c>
      <c r="S336" s="1">
        <v>12</v>
      </c>
      <c r="T336" s="1">
        <v>3</v>
      </c>
      <c r="U336" s="1">
        <v>10</v>
      </c>
      <c r="V336" s="1">
        <v>9</v>
      </c>
      <c r="W336" s="1">
        <v>9</v>
      </c>
      <c r="X336" s="1">
        <v>8</v>
      </c>
    </row>
    <row r="337" spans="1:24">
      <c r="A337" s="1">
        <v>336</v>
      </c>
      <c r="B337" s="1" t="s">
        <v>33</v>
      </c>
      <c r="C337" s="1" t="s">
        <v>25</v>
      </c>
      <c r="D337" s="1" t="s">
        <v>26</v>
      </c>
      <c r="E337" s="1" t="s">
        <v>27</v>
      </c>
      <c r="F337" s="1" t="s">
        <v>45</v>
      </c>
      <c r="G337" s="1">
        <v>1</v>
      </c>
      <c r="H337" s="1" t="s">
        <v>37</v>
      </c>
      <c r="I337" s="1" t="s">
        <v>30</v>
      </c>
      <c r="J337" s="1" t="s">
        <v>39</v>
      </c>
      <c r="K337" s="1" t="s">
        <v>24</v>
      </c>
      <c r="L337" s="1">
        <v>40</v>
      </c>
      <c r="M337" s="1">
        <v>1</v>
      </c>
      <c r="N337" s="1" t="s">
        <v>32</v>
      </c>
      <c r="O337" s="1">
        <v>2</v>
      </c>
      <c r="P337" s="1">
        <v>2</v>
      </c>
      <c r="Q337" s="1">
        <v>4</v>
      </c>
      <c r="R337" s="1">
        <v>7457</v>
      </c>
      <c r="S337" s="1">
        <v>6</v>
      </c>
      <c r="T337" s="1">
        <v>2</v>
      </c>
      <c r="U337" s="1">
        <v>4</v>
      </c>
      <c r="V337" s="1">
        <v>3</v>
      </c>
      <c r="W337" s="1">
        <v>0</v>
      </c>
      <c r="X337" s="1">
        <v>2</v>
      </c>
    </row>
    <row r="338" spans="1:24">
      <c r="A338" s="1">
        <v>337</v>
      </c>
      <c r="B338" s="1" t="s">
        <v>24</v>
      </c>
      <c r="C338" s="1" t="s">
        <v>25</v>
      </c>
      <c r="D338" s="1" t="s">
        <v>43</v>
      </c>
      <c r="E338" s="1" t="s">
        <v>36</v>
      </c>
      <c r="F338" s="1" t="s">
        <v>41</v>
      </c>
      <c r="G338" s="1">
        <v>1</v>
      </c>
      <c r="H338" s="1" t="s">
        <v>37</v>
      </c>
      <c r="I338" s="1" t="s">
        <v>42</v>
      </c>
      <c r="J338" s="1" t="s">
        <v>39</v>
      </c>
      <c r="K338" s="1" t="s">
        <v>24</v>
      </c>
      <c r="L338" s="1">
        <v>29</v>
      </c>
      <c r="M338" s="1">
        <v>8</v>
      </c>
      <c r="N338" s="1" t="s">
        <v>44</v>
      </c>
      <c r="O338" s="1">
        <v>2</v>
      </c>
      <c r="P338" s="1">
        <v>1</v>
      </c>
      <c r="Q338" s="1">
        <v>1</v>
      </c>
      <c r="R338" s="1">
        <v>2119</v>
      </c>
      <c r="S338" s="1">
        <v>7</v>
      </c>
      <c r="T338" s="1">
        <v>2</v>
      </c>
      <c r="U338" s="1">
        <v>7</v>
      </c>
      <c r="V338" s="1">
        <v>7</v>
      </c>
      <c r="W338" s="1">
        <v>0</v>
      </c>
      <c r="X338" s="1">
        <v>7</v>
      </c>
    </row>
    <row r="339" spans="1:24">
      <c r="A339" s="1">
        <v>338</v>
      </c>
      <c r="B339" s="1" t="s">
        <v>33</v>
      </c>
      <c r="C339" s="1" t="s">
        <v>25</v>
      </c>
      <c r="D339" s="1" t="s">
        <v>43</v>
      </c>
      <c r="E339" s="1" t="s">
        <v>36</v>
      </c>
      <c r="F339" s="1" t="s">
        <v>41</v>
      </c>
      <c r="G339" s="1">
        <v>1</v>
      </c>
      <c r="H339" s="1" t="s">
        <v>37</v>
      </c>
      <c r="I339" s="1" t="s">
        <v>42</v>
      </c>
      <c r="J339" s="1" t="s">
        <v>31</v>
      </c>
      <c r="K339" s="1" t="s">
        <v>33</v>
      </c>
      <c r="L339" s="1">
        <v>29</v>
      </c>
      <c r="M339" s="1">
        <v>9</v>
      </c>
      <c r="N339" s="1" t="s">
        <v>58</v>
      </c>
      <c r="O339" s="1">
        <v>2</v>
      </c>
      <c r="P339" s="1">
        <v>1</v>
      </c>
      <c r="Q339" s="1">
        <v>4</v>
      </c>
      <c r="R339" s="1">
        <v>3983</v>
      </c>
      <c r="S339" s="1">
        <v>4</v>
      </c>
      <c r="T339" s="1">
        <v>3</v>
      </c>
      <c r="U339" s="1">
        <v>3</v>
      </c>
      <c r="V339" s="1">
        <v>2</v>
      </c>
      <c r="W339" s="1">
        <v>2</v>
      </c>
      <c r="X339" s="1">
        <v>2</v>
      </c>
    </row>
    <row r="340" spans="1:24">
      <c r="A340" s="1">
        <v>339</v>
      </c>
      <c r="B340" s="1" t="s">
        <v>33</v>
      </c>
      <c r="C340" s="1" t="s">
        <v>25</v>
      </c>
      <c r="D340" s="1" t="s">
        <v>43</v>
      </c>
      <c r="E340" s="1" t="s">
        <v>27</v>
      </c>
      <c r="F340" s="1" t="s">
        <v>56</v>
      </c>
      <c r="G340" s="1">
        <v>1</v>
      </c>
      <c r="H340" s="1" t="s">
        <v>29</v>
      </c>
      <c r="I340" s="1" t="s">
        <v>30</v>
      </c>
      <c r="J340" s="1" t="s">
        <v>48</v>
      </c>
      <c r="K340" s="1" t="s">
        <v>33</v>
      </c>
      <c r="L340" s="1">
        <v>30</v>
      </c>
      <c r="M340" s="1">
        <v>5</v>
      </c>
      <c r="N340" s="1" t="s">
        <v>47</v>
      </c>
      <c r="O340" s="1">
        <v>4</v>
      </c>
      <c r="P340" s="1">
        <v>2</v>
      </c>
      <c r="Q340" s="1">
        <v>3</v>
      </c>
      <c r="R340" s="1">
        <v>6118</v>
      </c>
      <c r="S340" s="1">
        <v>10</v>
      </c>
      <c r="T340" s="1">
        <v>3</v>
      </c>
      <c r="U340" s="1">
        <v>10</v>
      </c>
      <c r="V340" s="1">
        <v>9</v>
      </c>
      <c r="W340" s="1">
        <v>1</v>
      </c>
      <c r="X340" s="1">
        <v>2</v>
      </c>
    </row>
    <row r="341" spans="1:24">
      <c r="A341" s="1">
        <v>340</v>
      </c>
      <c r="B341" s="1" t="s">
        <v>33</v>
      </c>
      <c r="C341" s="1" t="s">
        <v>25</v>
      </c>
      <c r="D341" s="1" t="s">
        <v>43</v>
      </c>
      <c r="E341" s="1" t="s">
        <v>27</v>
      </c>
      <c r="F341" s="1" t="s">
        <v>56</v>
      </c>
      <c r="G341" s="1">
        <v>1</v>
      </c>
      <c r="H341" s="1" t="s">
        <v>29</v>
      </c>
      <c r="I341" s="1" t="s">
        <v>30</v>
      </c>
      <c r="J341" s="1" t="s">
        <v>39</v>
      </c>
      <c r="K341" s="1" t="s">
        <v>33</v>
      </c>
      <c r="L341" s="1">
        <v>27</v>
      </c>
      <c r="M341" s="1">
        <v>8</v>
      </c>
      <c r="N341" s="1" t="s">
        <v>44</v>
      </c>
      <c r="O341" s="1">
        <v>2</v>
      </c>
      <c r="P341" s="1">
        <v>2</v>
      </c>
      <c r="Q341" s="1">
        <v>2</v>
      </c>
      <c r="R341" s="1">
        <v>6214</v>
      </c>
      <c r="S341" s="1">
        <v>8</v>
      </c>
      <c r="T341" s="1">
        <v>3</v>
      </c>
      <c r="U341" s="1">
        <v>8</v>
      </c>
      <c r="V341" s="1">
        <v>7</v>
      </c>
      <c r="W341" s="1">
        <v>0</v>
      </c>
      <c r="X341" s="1">
        <v>7</v>
      </c>
    </row>
    <row r="342" spans="1:24">
      <c r="A342" s="1">
        <v>341</v>
      </c>
      <c r="B342" s="1" t="s">
        <v>33</v>
      </c>
      <c r="C342" s="1" t="s">
        <v>25</v>
      </c>
      <c r="D342" s="1" t="s">
        <v>26</v>
      </c>
      <c r="E342" s="1" t="s">
        <v>36</v>
      </c>
      <c r="F342" s="1" t="s">
        <v>45</v>
      </c>
      <c r="G342" s="1">
        <v>1</v>
      </c>
      <c r="H342" s="1" t="s">
        <v>37</v>
      </c>
      <c r="I342" s="1" t="s">
        <v>49</v>
      </c>
      <c r="J342" s="1" t="s">
        <v>48</v>
      </c>
      <c r="K342" s="1" t="s">
        <v>33</v>
      </c>
      <c r="L342" s="1">
        <v>37</v>
      </c>
      <c r="M342" s="1">
        <v>5</v>
      </c>
      <c r="N342" s="1" t="s">
        <v>32</v>
      </c>
      <c r="O342" s="1">
        <v>4</v>
      </c>
      <c r="P342" s="1">
        <v>2</v>
      </c>
      <c r="Q342" s="1">
        <v>4</v>
      </c>
      <c r="R342" s="1">
        <v>6347</v>
      </c>
      <c r="S342" s="1">
        <v>8</v>
      </c>
      <c r="T342" s="1">
        <v>2</v>
      </c>
      <c r="U342" s="1">
        <v>6</v>
      </c>
      <c r="V342" s="1">
        <v>2</v>
      </c>
      <c r="W342" s="1">
        <v>0</v>
      </c>
      <c r="X342" s="1">
        <v>4</v>
      </c>
    </row>
    <row r="343" spans="1:24">
      <c r="A343" s="1">
        <v>342</v>
      </c>
      <c r="B343" s="1" t="s">
        <v>33</v>
      </c>
      <c r="C343" s="1" t="s">
        <v>25</v>
      </c>
      <c r="D343" s="1" t="s">
        <v>26</v>
      </c>
      <c r="E343" s="1" t="s">
        <v>36</v>
      </c>
      <c r="F343" s="1" t="s">
        <v>28</v>
      </c>
      <c r="G343" s="1">
        <v>1</v>
      </c>
      <c r="H343" s="1" t="s">
        <v>37</v>
      </c>
      <c r="I343" s="1" t="s">
        <v>55</v>
      </c>
      <c r="J343" s="1" t="s">
        <v>48</v>
      </c>
      <c r="K343" s="1" t="s">
        <v>24</v>
      </c>
      <c r="L343" s="1">
        <v>38</v>
      </c>
      <c r="M343" s="1">
        <v>15</v>
      </c>
      <c r="N343" s="1" t="s">
        <v>32</v>
      </c>
      <c r="O343" s="1">
        <v>3</v>
      </c>
      <c r="P343" s="1">
        <v>3</v>
      </c>
      <c r="Q343" s="1">
        <v>4</v>
      </c>
      <c r="R343" s="1">
        <v>11510</v>
      </c>
      <c r="S343" s="1">
        <v>12</v>
      </c>
      <c r="T343" s="1">
        <v>3</v>
      </c>
      <c r="U343" s="1">
        <v>11</v>
      </c>
      <c r="V343" s="1">
        <v>10</v>
      </c>
      <c r="W343" s="1">
        <v>2</v>
      </c>
      <c r="X343" s="1">
        <v>9</v>
      </c>
    </row>
    <row r="344" spans="1:24">
      <c r="A344" s="1">
        <v>343</v>
      </c>
      <c r="B344" s="1" t="s">
        <v>33</v>
      </c>
      <c r="C344" s="1" t="s">
        <v>25</v>
      </c>
      <c r="D344" s="1" t="s">
        <v>43</v>
      </c>
      <c r="E344" s="1" t="s">
        <v>36</v>
      </c>
      <c r="F344" s="1" t="s">
        <v>45</v>
      </c>
      <c r="G344" s="1">
        <v>1</v>
      </c>
      <c r="H344" s="1" t="s">
        <v>29</v>
      </c>
      <c r="I344" s="1" t="s">
        <v>49</v>
      </c>
      <c r="J344" s="1" t="s">
        <v>31</v>
      </c>
      <c r="K344" s="1" t="s">
        <v>24</v>
      </c>
      <c r="L344" s="1">
        <v>31</v>
      </c>
      <c r="M344" s="1">
        <v>7</v>
      </c>
      <c r="N344" s="1" t="s">
        <v>44</v>
      </c>
      <c r="O344" s="1">
        <v>3</v>
      </c>
      <c r="P344" s="1">
        <v>3</v>
      </c>
      <c r="Q344" s="1">
        <v>4</v>
      </c>
      <c r="R344" s="1">
        <v>7143</v>
      </c>
      <c r="S344" s="1">
        <v>11</v>
      </c>
      <c r="T344" s="1">
        <v>2</v>
      </c>
      <c r="U344" s="1">
        <v>11</v>
      </c>
      <c r="V344" s="1">
        <v>9</v>
      </c>
      <c r="W344" s="1">
        <v>4</v>
      </c>
      <c r="X344" s="1">
        <v>10</v>
      </c>
    </row>
    <row r="345" spans="1:24">
      <c r="A345" s="1">
        <v>344</v>
      </c>
      <c r="B345" s="1" t="s">
        <v>33</v>
      </c>
      <c r="C345" s="1" t="s">
        <v>25</v>
      </c>
      <c r="D345" s="1" t="s">
        <v>43</v>
      </c>
      <c r="E345" s="1" t="s">
        <v>27</v>
      </c>
      <c r="F345" s="1" t="s">
        <v>56</v>
      </c>
      <c r="G345" s="1">
        <v>1</v>
      </c>
      <c r="H345" s="1" t="s">
        <v>29</v>
      </c>
      <c r="I345" s="1" t="s">
        <v>30</v>
      </c>
      <c r="J345" s="1" t="s">
        <v>48</v>
      </c>
      <c r="K345" s="1" t="s">
        <v>24</v>
      </c>
      <c r="L345" s="1">
        <v>29</v>
      </c>
      <c r="M345" s="1">
        <v>10</v>
      </c>
      <c r="N345" s="1" t="s">
        <v>40</v>
      </c>
      <c r="O345" s="1">
        <v>4</v>
      </c>
      <c r="P345" s="1">
        <v>2</v>
      </c>
      <c r="Q345" s="1">
        <v>2</v>
      </c>
      <c r="R345" s="1">
        <v>8268</v>
      </c>
      <c r="S345" s="1">
        <v>7</v>
      </c>
      <c r="T345" s="1">
        <v>3</v>
      </c>
      <c r="U345" s="1">
        <v>7</v>
      </c>
      <c r="V345" s="1">
        <v>7</v>
      </c>
      <c r="W345" s="1">
        <v>1</v>
      </c>
      <c r="X345" s="1">
        <v>7</v>
      </c>
    </row>
    <row r="346" spans="1:24">
      <c r="A346" s="1">
        <v>345</v>
      </c>
      <c r="B346" s="1" t="s">
        <v>33</v>
      </c>
      <c r="C346" s="1" t="s">
        <v>25</v>
      </c>
      <c r="D346" s="1" t="s">
        <v>26</v>
      </c>
      <c r="E346" s="1" t="s">
        <v>36</v>
      </c>
      <c r="F346" s="1" t="s">
        <v>57</v>
      </c>
      <c r="G346" s="1">
        <v>1</v>
      </c>
      <c r="H346" s="1" t="s">
        <v>37</v>
      </c>
      <c r="I346" s="1" t="s">
        <v>49</v>
      </c>
      <c r="J346" s="1" t="s">
        <v>31</v>
      </c>
      <c r="K346" s="1" t="s">
        <v>33</v>
      </c>
      <c r="L346" s="1">
        <v>35</v>
      </c>
      <c r="M346" s="1">
        <v>5</v>
      </c>
      <c r="N346" s="1" t="s">
        <v>44</v>
      </c>
      <c r="O346" s="1">
        <v>3</v>
      </c>
      <c r="P346" s="1">
        <v>3</v>
      </c>
      <c r="Q346" s="1">
        <v>2</v>
      </c>
      <c r="R346" s="1">
        <v>8095</v>
      </c>
      <c r="S346" s="1">
        <v>17</v>
      </c>
      <c r="T346" s="1">
        <v>3</v>
      </c>
      <c r="U346" s="1">
        <v>16</v>
      </c>
      <c r="V346" s="1">
        <v>6</v>
      </c>
      <c r="W346" s="1">
        <v>0</v>
      </c>
      <c r="X346" s="1">
        <v>13</v>
      </c>
    </row>
    <row r="347" spans="1:24">
      <c r="A347" s="1">
        <v>346</v>
      </c>
      <c r="B347" s="1" t="s">
        <v>33</v>
      </c>
      <c r="C347" s="1" t="s">
        <v>25</v>
      </c>
      <c r="D347" s="1" t="s">
        <v>52</v>
      </c>
      <c r="E347" s="1" t="s">
        <v>36</v>
      </c>
      <c r="F347" s="1" t="s">
        <v>28</v>
      </c>
      <c r="G347" s="1">
        <v>1</v>
      </c>
      <c r="H347" s="1" t="s">
        <v>37</v>
      </c>
      <c r="I347" s="1" t="s">
        <v>38</v>
      </c>
      <c r="J347" s="1" t="s">
        <v>48</v>
      </c>
      <c r="K347" s="1" t="s">
        <v>33</v>
      </c>
      <c r="L347" s="1">
        <v>23</v>
      </c>
      <c r="M347" s="1">
        <v>26</v>
      </c>
      <c r="N347" s="1" t="s">
        <v>40</v>
      </c>
      <c r="O347" s="1">
        <v>3</v>
      </c>
      <c r="P347" s="1">
        <v>1</v>
      </c>
      <c r="Q347" s="1">
        <v>4</v>
      </c>
      <c r="R347" s="1">
        <v>2904</v>
      </c>
      <c r="S347" s="1">
        <v>4</v>
      </c>
      <c r="T347" s="1">
        <v>2</v>
      </c>
      <c r="U347" s="1">
        <v>4</v>
      </c>
      <c r="V347" s="1">
        <v>2</v>
      </c>
      <c r="W347" s="1">
        <v>0</v>
      </c>
      <c r="X347" s="1">
        <v>2</v>
      </c>
    </row>
    <row r="348" spans="1:24">
      <c r="A348" s="1">
        <v>347</v>
      </c>
      <c r="B348" s="1" t="s">
        <v>33</v>
      </c>
      <c r="C348" s="1" t="s">
        <v>25</v>
      </c>
      <c r="D348" s="1" t="s">
        <v>26</v>
      </c>
      <c r="E348" s="1" t="s">
        <v>36</v>
      </c>
      <c r="F348" s="1" t="s">
        <v>45</v>
      </c>
      <c r="G348" s="1">
        <v>1</v>
      </c>
      <c r="H348" s="1" t="s">
        <v>37</v>
      </c>
      <c r="I348" s="1" t="s">
        <v>49</v>
      </c>
      <c r="J348" s="1" t="s">
        <v>31</v>
      </c>
      <c r="K348" s="1" t="s">
        <v>24</v>
      </c>
      <c r="L348" s="1">
        <v>41</v>
      </c>
      <c r="M348" s="1">
        <v>6</v>
      </c>
      <c r="N348" s="1" t="s">
        <v>47</v>
      </c>
      <c r="O348" s="1">
        <v>4</v>
      </c>
      <c r="P348" s="1">
        <v>2</v>
      </c>
      <c r="Q348" s="1">
        <v>2</v>
      </c>
      <c r="R348" s="1">
        <v>6032</v>
      </c>
      <c r="S348" s="1">
        <v>8</v>
      </c>
      <c r="T348" s="1">
        <v>3</v>
      </c>
      <c r="U348" s="1">
        <v>5</v>
      </c>
      <c r="V348" s="1">
        <v>4</v>
      </c>
      <c r="W348" s="1">
        <v>1</v>
      </c>
      <c r="X348" s="1">
        <v>2</v>
      </c>
    </row>
    <row r="349" spans="1:24">
      <c r="A349" s="1">
        <v>348</v>
      </c>
      <c r="B349" s="1" t="s">
        <v>33</v>
      </c>
      <c r="C349" s="1" t="s">
        <v>34</v>
      </c>
      <c r="D349" s="1" t="s">
        <v>35</v>
      </c>
      <c r="E349" s="1" t="s">
        <v>27</v>
      </c>
      <c r="F349" s="1" t="s">
        <v>45</v>
      </c>
      <c r="G349" s="1">
        <v>1</v>
      </c>
      <c r="H349" s="1" t="s">
        <v>37</v>
      </c>
      <c r="I349" s="1" t="s">
        <v>54</v>
      </c>
      <c r="J349" s="1" t="s">
        <v>31</v>
      </c>
      <c r="K349" s="1" t="s">
        <v>33</v>
      </c>
      <c r="L349" s="1">
        <v>47</v>
      </c>
      <c r="M349" s="1">
        <v>4</v>
      </c>
      <c r="N349" s="1" t="s">
        <v>40</v>
      </c>
      <c r="O349" s="1">
        <v>2</v>
      </c>
      <c r="P349" s="1">
        <v>2</v>
      </c>
      <c r="Q349" s="1">
        <v>3</v>
      </c>
      <c r="R349" s="1">
        <v>2976</v>
      </c>
      <c r="S349" s="1">
        <v>5</v>
      </c>
      <c r="T349" s="1">
        <v>3</v>
      </c>
      <c r="U349" s="1">
        <v>0</v>
      </c>
      <c r="V349" s="1">
        <v>0</v>
      </c>
      <c r="W349" s="1">
        <v>0</v>
      </c>
      <c r="X349" s="1">
        <v>0</v>
      </c>
    </row>
    <row r="350" spans="1:24">
      <c r="A350" s="1">
        <v>349</v>
      </c>
      <c r="B350" s="1" t="s">
        <v>33</v>
      </c>
      <c r="C350" s="1" t="s">
        <v>25</v>
      </c>
      <c r="D350" s="1" t="s">
        <v>26</v>
      </c>
      <c r="E350" s="1" t="s">
        <v>36</v>
      </c>
      <c r="F350" s="1" t="s">
        <v>28</v>
      </c>
      <c r="G350" s="1">
        <v>1</v>
      </c>
      <c r="H350" s="1" t="s">
        <v>29</v>
      </c>
      <c r="I350" s="1" t="s">
        <v>55</v>
      </c>
      <c r="J350" s="1" t="s">
        <v>31</v>
      </c>
      <c r="K350" s="1" t="s">
        <v>33</v>
      </c>
      <c r="L350" s="1">
        <v>42</v>
      </c>
      <c r="M350" s="1">
        <v>23</v>
      </c>
      <c r="N350" s="1" t="s">
        <v>58</v>
      </c>
      <c r="O350" s="1">
        <v>1</v>
      </c>
      <c r="P350" s="1">
        <v>4</v>
      </c>
      <c r="Q350" s="1">
        <v>4</v>
      </c>
      <c r="R350" s="1">
        <v>15992</v>
      </c>
      <c r="S350" s="1">
        <v>16</v>
      </c>
      <c r="T350" s="1">
        <v>3</v>
      </c>
      <c r="U350" s="1">
        <v>1</v>
      </c>
      <c r="V350" s="1">
        <v>0</v>
      </c>
      <c r="W350" s="1">
        <v>0</v>
      </c>
      <c r="X350" s="1">
        <v>0</v>
      </c>
    </row>
    <row r="351" spans="1:24">
      <c r="A351" s="1">
        <v>350</v>
      </c>
      <c r="B351" s="1" t="s">
        <v>33</v>
      </c>
      <c r="C351" s="1" t="s">
        <v>51</v>
      </c>
      <c r="D351" s="1" t="s">
        <v>43</v>
      </c>
      <c r="E351" s="1" t="s">
        <v>27</v>
      </c>
      <c r="F351" s="1" t="s">
        <v>28</v>
      </c>
      <c r="G351" s="1">
        <v>1</v>
      </c>
      <c r="H351" s="1" t="s">
        <v>37</v>
      </c>
      <c r="I351" s="1" t="s">
        <v>30</v>
      </c>
      <c r="J351" s="1" t="s">
        <v>39</v>
      </c>
      <c r="K351" s="1" t="s">
        <v>33</v>
      </c>
      <c r="L351" s="1">
        <v>29</v>
      </c>
      <c r="M351" s="1">
        <v>2</v>
      </c>
      <c r="N351" s="1" t="s">
        <v>47</v>
      </c>
      <c r="O351" s="1">
        <v>4</v>
      </c>
      <c r="P351" s="1">
        <v>2</v>
      </c>
      <c r="Q351" s="1">
        <v>3</v>
      </c>
      <c r="R351" s="1">
        <v>4649</v>
      </c>
      <c r="S351" s="1">
        <v>4</v>
      </c>
      <c r="T351" s="1">
        <v>2</v>
      </c>
      <c r="U351" s="1">
        <v>4</v>
      </c>
      <c r="V351" s="1">
        <v>3</v>
      </c>
      <c r="W351" s="1">
        <v>0</v>
      </c>
      <c r="X351" s="1">
        <v>2</v>
      </c>
    </row>
    <row r="352" spans="1:24">
      <c r="A352" s="1">
        <v>351</v>
      </c>
      <c r="B352" s="1" t="s">
        <v>33</v>
      </c>
      <c r="C352" s="1" t="s">
        <v>25</v>
      </c>
      <c r="D352" s="1" t="s">
        <v>26</v>
      </c>
      <c r="E352" s="1" t="s">
        <v>59</v>
      </c>
      <c r="F352" s="1" t="s">
        <v>57</v>
      </c>
      <c r="G352" s="1">
        <v>1</v>
      </c>
      <c r="H352" s="1" t="s">
        <v>37</v>
      </c>
      <c r="I352" s="1" t="s">
        <v>60</v>
      </c>
      <c r="J352" s="1" t="s">
        <v>48</v>
      </c>
      <c r="K352" s="1" t="s">
        <v>24</v>
      </c>
      <c r="L352" s="1">
        <v>42</v>
      </c>
      <c r="M352" s="1">
        <v>2</v>
      </c>
      <c r="N352" s="1" t="s">
        <v>40</v>
      </c>
      <c r="O352" s="1">
        <v>3</v>
      </c>
      <c r="P352" s="1">
        <v>1</v>
      </c>
      <c r="Q352" s="1">
        <v>3</v>
      </c>
      <c r="R352" s="1">
        <v>2696</v>
      </c>
      <c r="S352" s="1">
        <v>4</v>
      </c>
      <c r="T352" s="1">
        <v>3</v>
      </c>
      <c r="U352" s="1">
        <v>3</v>
      </c>
      <c r="V352" s="1">
        <v>2</v>
      </c>
      <c r="W352" s="1">
        <v>1</v>
      </c>
      <c r="X352" s="1">
        <v>0</v>
      </c>
    </row>
    <row r="353" spans="1:24">
      <c r="A353" s="1">
        <v>352</v>
      </c>
      <c r="B353" s="1" t="s">
        <v>33</v>
      </c>
      <c r="C353" s="1" t="s">
        <v>25</v>
      </c>
      <c r="D353" s="1" t="s">
        <v>43</v>
      </c>
      <c r="E353" s="1" t="s">
        <v>36</v>
      </c>
      <c r="F353" s="1" t="s">
        <v>45</v>
      </c>
      <c r="G353" s="1">
        <v>1</v>
      </c>
      <c r="H353" s="1" t="s">
        <v>29</v>
      </c>
      <c r="I353" s="1" t="s">
        <v>42</v>
      </c>
      <c r="J353" s="1" t="s">
        <v>39</v>
      </c>
      <c r="K353" s="1" t="s">
        <v>33</v>
      </c>
      <c r="L353" s="1">
        <v>32</v>
      </c>
      <c r="M353" s="1">
        <v>2</v>
      </c>
      <c r="N353" s="1" t="s">
        <v>47</v>
      </c>
      <c r="O353" s="1">
        <v>3</v>
      </c>
      <c r="P353" s="1">
        <v>1</v>
      </c>
      <c r="Q353" s="1">
        <v>2</v>
      </c>
      <c r="R353" s="1">
        <v>2370</v>
      </c>
      <c r="S353" s="1">
        <v>8</v>
      </c>
      <c r="T353" s="1">
        <v>3</v>
      </c>
      <c r="U353" s="1">
        <v>8</v>
      </c>
      <c r="V353" s="1">
        <v>0</v>
      </c>
      <c r="W353" s="1">
        <v>0</v>
      </c>
      <c r="X353" s="1">
        <v>7</v>
      </c>
    </row>
    <row r="354" spans="1:24">
      <c r="A354" s="1">
        <v>353</v>
      </c>
      <c r="B354" s="1" t="s">
        <v>33</v>
      </c>
      <c r="C354" s="1" t="s">
        <v>25</v>
      </c>
      <c r="D354" s="1" t="s">
        <v>35</v>
      </c>
      <c r="E354" s="1" t="s">
        <v>27</v>
      </c>
      <c r="F354" s="1" t="s">
        <v>45</v>
      </c>
      <c r="G354" s="1">
        <v>1</v>
      </c>
      <c r="H354" s="1" t="s">
        <v>29</v>
      </c>
      <c r="I354" s="1" t="s">
        <v>53</v>
      </c>
      <c r="J354" s="1" t="s">
        <v>39</v>
      </c>
      <c r="K354" s="1" t="s">
        <v>33</v>
      </c>
      <c r="L354" s="1">
        <v>48</v>
      </c>
      <c r="M354" s="1">
        <v>29</v>
      </c>
      <c r="N354" s="1" t="s">
        <v>40</v>
      </c>
      <c r="O354" s="1">
        <v>1</v>
      </c>
      <c r="P354" s="1">
        <v>3</v>
      </c>
      <c r="Q354" s="1">
        <v>3</v>
      </c>
      <c r="R354" s="1">
        <v>12504</v>
      </c>
      <c r="S354" s="1">
        <v>15</v>
      </c>
      <c r="T354" s="1">
        <v>1</v>
      </c>
      <c r="U354" s="1">
        <v>0</v>
      </c>
      <c r="V354" s="1">
        <v>0</v>
      </c>
      <c r="W354" s="1">
        <v>0</v>
      </c>
      <c r="X354" s="1">
        <v>0</v>
      </c>
    </row>
    <row r="355" spans="1:24">
      <c r="A355" s="1">
        <v>354</v>
      </c>
      <c r="B355" s="1" t="s">
        <v>33</v>
      </c>
      <c r="C355" s="1" t="s">
        <v>25</v>
      </c>
      <c r="D355" s="1" t="s">
        <v>26</v>
      </c>
      <c r="E355" s="1" t="s">
        <v>36</v>
      </c>
      <c r="F355" s="1" t="s">
        <v>45</v>
      </c>
      <c r="G355" s="1">
        <v>1</v>
      </c>
      <c r="H355" s="1" t="s">
        <v>37</v>
      </c>
      <c r="I355" s="1" t="s">
        <v>38</v>
      </c>
      <c r="J355" s="1" t="s">
        <v>48</v>
      </c>
      <c r="K355" s="1" t="s">
        <v>24</v>
      </c>
      <c r="L355" s="1">
        <v>37</v>
      </c>
      <c r="M355" s="1">
        <v>6</v>
      </c>
      <c r="N355" s="1" t="s">
        <v>47</v>
      </c>
      <c r="O355" s="1">
        <v>3</v>
      </c>
      <c r="P355" s="1">
        <v>2</v>
      </c>
      <c r="Q355" s="1">
        <v>1</v>
      </c>
      <c r="R355" s="1">
        <v>5974</v>
      </c>
      <c r="S355" s="1">
        <v>13</v>
      </c>
      <c r="T355" s="1">
        <v>3</v>
      </c>
      <c r="U355" s="1">
        <v>7</v>
      </c>
      <c r="V355" s="1">
        <v>7</v>
      </c>
      <c r="W355" s="1">
        <v>6</v>
      </c>
      <c r="X355" s="1">
        <v>7</v>
      </c>
    </row>
    <row r="356" spans="1:24">
      <c r="A356" s="1">
        <v>355</v>
      </c>
      <c r="B356" s="1" t="s">
        <v>33</v>
      </c>
      <c r="C356" s="1" t="s">
        <v>51</v>
      </c>
      <c r="D356" s="1" t="s">
        <v>43</v>
      </c>
      <c r="E356" s="1" t="s">
        <v>27</v>
      </c>
      <c r="F356" s="1" t="s">
        <v>57</v>
      </c>
      <c r="G356" s="1">
        <v>1</v>
      </c>
      <c r="H356" s="1" t="s">
        <v>29</v>
      </c>
      <c r="I356" s="1" t="s">
        <v>30</v>
      </c>
      <c r="J356" s="1" t="s">
        <v>39</v>
      </c>
      <c r="K356" s="1" t="s">
        <v>24</v>
      </c>
      <c r="L356" s="1">
        <v>30</v>
      </c>
      <c r="M356" s="1">
        <v>25</v>
      </c>
      <c r="N356" s="1" t="s">
        <v>32</v>
      </c>
      <c r="O356" s="1">
        <v>4</v>
      </c>
      <c r="P356" s="1">
        <v>2</v>
      </c>
      <c r="Q356" s="1">
        <v>3</v>
      </c>
      <c r="R356" s="1">
        <v>4736</v>
      </c>
      <c r="S356" s="1">
        <v>4</v>
      </c>
      <c r="T356" s="1">
        <v>4</v>
      </c>
      <c r="U356" s="1">
        <v>2</v>
      </c>
      <c r="V356" s="1">
        <v>2</v>
      </c>
      <c r="W356" s="1">
        <v>2</v>
      </c>
      <c r="X356" s="1">
        <v>2</v>
      </c>
    </row>
    <row r="357" spans="1:24">
      <c r="A357" s="1">
        <v>356</v>
      </c>
      <c r="B357" s="1" t="s">
        <v>33</v>
      </c>
      <c r="C357" s="1" t="s">
        <v>25</v>
      </c>
      <c r="D357" s="1" t="s">
        <v>43</v>
      </c>
      <c r="E357" s="1" t="s">
        <v>27</v>
      </c>
      <c r="F357" s="1" t="s">
        <v>28</v>
      </c>
      <c r="G357" s="1">
        <v>1</v>
      </c>
      <c r="H357" s="1" t="s">
        <v>37</v>
      </c>
      <c r="I357" s="1" t="s">
        <v>30</v>
      </c>
      <c r="J357" s="1" t="s">
        <v>39</v>
      </c>
      <c r="K357" s="1" t="s">
        <v>33</v>
      </c>
      <c r="L357" s="1">
        <v>26</v>
      </c>
      <c r="M357" s="1">
        <v>1</v>
      </c>
      <c r="N357" s="1" t="s">
        <v>47</v>
      </c>
      <c r="O357" s="1">
        <v>3</v>
      </c>
      <c r="P357" s="1">
        <v>2</v>
      </c>
      <c r="Q357" s="1">
        <v>3</v>
      </c>
      <c r="R357" s="1">
        <v>5296</v>
      </c>
      <c r="S357" s="1">
        <v>8</v>
      </c>
      <c r="T357" s="1">
        <v>3</v>
      </c>
      <c r="U357" s="1">
        <v>8</v>
      </c>
      <c r="V357" s="1">
        <v>7</v>
      </c>
      <c r="W357" s="1">
        <v>7</v>
      </c>
      <c r="X357" s="1">
        <v>7</v>
      </c>
    </row>
    <row r="358" spans="1:24">
      <c r="A358" s="1">
        <v>357</v>
      </c>
      <c r="B358" s="1" t="s">
        <v>33</v>
      </c>
      <c r="C358" s="1" t="s">
        <v>25</v>
      </c>
      <c r="D358" s="1" t="s">
        <v>26</v>
      </c>
      <c r="E358" s="1" t="s">
        <v>36</v>
      </c>
      <c r="F358" s="1" t="s">
        <v>41</v>
      </c>
      <c r="G358" s="1">
        <v>1</v>
      </c>
      <c r="H358" s="1" t="s">
        <v>37</v>
      </c>
      <c r="I358" s="1" t="s">
        <v>50</v>
      </c>
      <c r="J358" s="1" t="s">
        <v>31</v>
      </c>
      <c r="K358" s="1" t="s">
        <v>33</v>
      </c>
      <c r="L358" s="1">
        <v>42</v>
      </c>
      <c r="M358" s="1">
        <v>2</v>
      </c>
      <c r="N358" s="1" t="s">
        <v>44</v>
      </c>
      <c r="O358" s="1">
        <v>1</v>
      </c>
      <c r="P358" s="1">
        <v>2</v>
      </c>
      <c r="Q358" s="1">
        <v>4</v>
      </c>
      <c r="R358" s="1">
        <v>6781</v>
      </c>
      <c r="S358" s="1">
        <v>14</v>
      </c>
      <c r="T358" s="1">
        <v>3</v>
      </c>
      <c r="U358" s="1">
        <v>1</v>
      </c>
      <c r="V358" s="1">
        <v>0</v>
      </c>
      <c r="W358" s="1">
        <v>0</v>
      </c>
      <c r="X358" s="1">
        <v>0</v>
      </c>
    </row>
    <row r="359" spans="1:24">
      <c r="A359" s="1">
        <v>358</v>
      </c>
      <c r="B359" s="1" t="s">
        <v>24</v>
      </c>
      <c r="C359" s="1" t="s">
        <v>34</v>
      </c>
      <c r="D359" s="1" t="s">
        <v>52</v>
      </c>
      <c r="E359" s="1" t="s">
        <v>27</v>
      </c>
      <c r="F359" s="1" t="s">
        <v>57</v>
      </c>
      <c r="G359" s="1">
        <v>1</v>
      </c>
      <c r="H359" s="1" t="s">
        <v>29</v>
      </c>
      <c r="I359" s="1" t="s">
        <v>54</v>
      </c>
      <c r="J359" s="1" t="s">
        <v>31</v>
      </c>
      <c r="K359" s="1" t="s">
        <v>24</v>
      </c>
      <c r="L359" s="1">
        <v>21</v>
      </c>
      <c r="M359" s="1">
        <v>1</v>
      </c>
      <c r="N359" s="1" t="s">
        <v>40</v>
      </c>
      <c r="O359" s="1">
        <v>1</v>
      </c>
      <c r="P359" s="1">
        <v>1</v>
      </c>
      <c r="Q359" s="1">
        <v>2</v>
      </c>
      <c r="R359" s="1">
        <v>2174</v>
      </c>
      <c r="S359" s="1">
        <v>3</v>
      </c>
      <c r="T359" s="1">
        <v>3</v>
      </c>
      <c r="U359" s="1">
        <v>3</v>
      </c>
      <c r="V359" s="1">
        <v>2</v>
      </c>
      <c r="W359" s="1">
        <v>1</v>
      </c>
      <c r="X359" s="1">
        <v>2</v>
      </c>
    </row>
    <row r="360" spans="1:24">
      <c r="A360" s="1">
        <v>359</v>
      </c>
      <c r="B360" s="1" t="s">
        <v>33</v>
      </c>
      <c r="C360" s="1" t="s">
        <v>51</v>
      </c>
      <c r="D360" s="1" t="s">
        <v>26</v>
      </c>
      <c r="E360" s="1" t="s">
        <v>27</v>
      </c>
      <c r="F360" s="1" t="s">
        <v>45</v>
      </c>
      <c r="G360" s="1">
        <v>1</v>
      </c>
      <c r="H360" s="1" t="s">
        <v>29</v>
      </c>
      <c r="I360" s="1" t="s">
        <v>30</v>
      </c>
      <c r="J360" s="1" t="s">
        <v>31</v>
      </c>
      <c r="K360" s="1" t="s">
        <v>33</v>
      </c>
      <c r="L360" s="1">
        <v>36</v>
      </c>
      <c r="M360" s="1">
        <v>1</v>
      </c>
      <c r="N360" s="1" t="s">
        <v>58</v>
      </c>
      <c r="O360" s="1">
        <v>4</v>
      </c>
      <c r="P360" s="1">
        <v>2</v>
      </c>
      <c r="Q360" s="1">
        <v>4</v>
      </c>
      <c r="R360" s="1">
        <v>6653</v>
      </c>
      <c r="S360" s="1">
        <v>7</v>
      </c>
      <c r="T360" s="1">
        <v>3</v>
      </c>
      <c r="U360" s="1">
        <v>1</v>
      </c>
      <c r="V360" s="1">
        <v>0</v>
      </c>
      <c r="W360" s="1">
        <v>0</v>
      </c>
      <c r="X360" s="1">
        <v>0</v>
      </c>
    </row>
    <row r="361" spans="1:24">
      <c r="A361" s="1">
        <v>360</v>
      </c>
      <c r="B361" s="1" t="s">
        <v>33</v>
      </c>
      <c r="C361" s="1" t="s">
        <v>34</v>
      </c>
      <c r="D361" s="1" t="s">
        <v>26</v>
      </c>
      <c r="E361" s="1" t="s">
        <v>27</v>
      </c>
      <c r="F361" s="1" t="s">
        <v>45</v>
      </c>
      <c r="G361" s="1">
        <v>1</v>
      </c>
      <c r="H361" s="1" t="s">
        <v>37</v>
      </c>
      <c r="I361" s="1" t="s">
        <v>30</v>
      </c>
      <c r="J361" s="1" t="s">
        <v>39</v>
      </c>
      <c r="K361" s="1" t="s">
        <v>33</v>
      </c>
      <c r="L361" s="1">
        <v>36</v>
      </c>
      <c r="M361" s="1">
        <v>3</v>
      </c>
      <c r="N361" s="1" t="s">
        <v>44</v>
      </c>
      <c r="O361" s="1">
        <v>1</v>
      </c>
      <c r="P361" s="1">
        <v>3</v>
      </c>
      <c r="Q361" s="1">
        <v>4</v>
      </c>
      <c r="R361" s="1">
        <v>9699</v>
      </c>
      <c r="S361" s="1">
        <v>16</v>
      </c>
      <c r="T361" s="1">
        <v>3</v>
      </c>
      <c r="U361" s="1">
        <v>13</v>
      </c>
      <c r="V361" s="1">
        <v>9</v>
      </c>
      <c r="W361" s="1">
        <v>1</v>
      </c>
      <c r="X361" s="1">
        <v>12</v>
      </c>
    </row>
    <row r="362" spans="1:24">
      <c r="A362" s="1">
        <v>361</v>
      </c>
      <c r="B362" s="1" t="s">
        <v>33</v>
      </c>
      <c r="C362" s="1" t="s">
        <v>25</v>
      </c>
      <c r="D362" s="1" t="s">
        <v>46</v>
      </c>
      <c r="E362" s="1" t="s">
        <v>36</v>
      </c>
      <c r="F362" s="1" t="s">
        <v>45</v>
      </c>
      <c r="G362" s="1">
        <v>1</v>
      </c>
      <c r="H362" s="1" t="s">
        <v>37</v>
      </c>
      <c r="I362" s="1" t="s">
        <v>50</v>
      </c>
      <c r="J362" s="1" t="s">
        <v>39</v>
      </c>
      <c r="K362" s="1" t="s">
        <v>33</v>
      </c>
      <c r="L362" s="1">
        <v>57</v>
      </c>
      <c r="M362" s="1">
        <v>1</v>
      </c>
      <c r="N362" s="1" t="s">
        <v>44</v>
      </c>
      <c r="O362" s="1">
        <v>4</v>
      </c>
      <c r="P362" s="1">
        <v>2</v>
      </c>
      <c r="Q362" s="1">
        <v>3</v>
      </c>
      <c r="R362" s="1">
        <v>6755</v>
      </c>
      <c r="S362" s="1">
        <v>15</v>
      </c>
      <c r="T362" s="1">
        <v>3</v>
      </c>
      <c r="U362" s="1">
        <v>3</v>
      </c>
      <c r="V362" s="1">
        <v>2</v>
      </c>
      <c r="W362" s="1">
        <v>1</v>
      </c>
      <c r="X362" s="1">
        <v>2</v>
      </c>
    </row>
    <row r="363" spans="1:24">
      <c r="A363" s="1">
        <v>362</v>
      </c>
      <c r="B363" s="1" t="s">
        <v>33</v>
      </c>
      <c r="C363" s="1" t="s">
        <v>25</v>
      </c>
      <c r="D363" s="1" t="s">
        <v>26</v>
      </c>
      <c r="E363" s="1" t="s">
        <v>36</v>
      </c>
      <c r="F363" s="1" t="s">
        <v>28</v>
      </c>
      <c r="G363" s="1">
        <v>1</v>
      </c>
      <c r="H363" s="1" t="s">
        <v>29</v>
      </c>
      <c r="I363" s="1" t="s">
        <v>42</v>
      </c>
      <c r="J363" s="1" t="s">
        <v>39</v>
      </c>
      <c r="K363" s="1" t="s">
        <v>24</v>
      </c>
      <c r="L363" s="1">
        <v>40</v>
      </c>
      <c r="M363" s="1">
        <v>10</v>
      </c>
      <c r="N363" s="1" t="s">
        <v>44</v>
      </c>
      <c r="O363" s="1">
        <v>4</v>
      </c>
      <c r="P363" s="1">
        <v>1</v>
      </c>
      <c r="Q363" s="1">
        <v>3</v>
      </c>
      <c r="R363" s="1">
        <v>2213</v>
      </c>
      <c r="S363" s="1">
        <v>10</v>
      </c>
      <c r="T363" s="1">
        <v>3</v>
      </c>
      <c r="U363" s="1">
        <v>7</v>
      </c>
      <c r="V363" s="1">
        <v>7</v>
      </c>
      <c r="W363" s="1">
        <v>1</v>
      </c>
      <c r="X363" s="1">
        <v>7</v>
      </c>
    </row>
    <row r="364" spans="1:24">
      <c r="A364" s="1">
        <v>363</v>
      </c>
      <c r="B364" s="1" t="s">
        <v>33</v>
      </c>
      <c r="C364" s="1" t="s">
        <v>51</v>
      </c>
      <c r="D364" s="1" t="s">
        <v>52</v>
      </c>
      <c r="E364" s="1" t="s">
        <v>27</v>
      </c>
      <c r="F364" s="1" t="s">
        <v>45</v>
      </c>
      <c r="G364" s="1">
        <v>1</v>
      </c>
      <c r="H364" s="1" t="s">
        <v>37</v>
      </c>
      <c r="I364" s="1" t="s">
        <v>54</v>
      </c>
      <c r="J364" s="1" t="s">
        <v>31</v>
      </c>
      <c r="K364" s="1" t="s">
        <v>33</v>
      </c>
      <c r="L364" s="1">
        <v>21</v>
      </c>
      <c r="M364" s="1">
        <v>9</v>
      </c>
      <c r="N364" s="1" t="s">
        <v>32</v>
      </c>
      <c r="O364" s="1">
        <v>1</v>
      </c>
      <c r="P364" s="1">
        <v>1</v>
      </c>
      <c r="Q364" s="1">
        <v>4</v>
      </c>
      <c r="R364" s="1">
        <v>2610</v>
      </c>
      <c r="S364" s="1">
        <v>3</v>
      </c>
      <c r="T364" s="1">
        <v>2</v>
      </c>
      <c r="U364" s="1">
        <v>3</v>
      </c>
      <c r="V364" s="1">
        <v>2</v>
      </c>
      <c r="W364" s="1">
        <v>2</v>
      </c>
      <c r="X364" s="1">
        <v>2</v>
      </c>
    </row>
    <row r="365" spans="1:24">
      <c r="A365" s="1">
        <v>364</v>
      </c>
      <c r="B365" s="1" t="s">
        <v>24</v>
      </c>
      <c r="C365" s="1" t="s">
        <v>25</v>
      </c>
      <c r="D365" s="1" t="s">
        <v>43</v>
      </c>
      <c r="E365" s="1" t="s">
        <v>27</v>
      </c>
      <c r="F365" s="1" t="s">
        <v>56</v>
      </c>
      <c r="G365" s="1">
        <v>1</v>
      </c>
      <c r="H365" s="1" t="s">
        <v>29</v>
      </c>
      <c r="I365" s="1" t="s">
        <v>54</v>
      </c>
      <c r="J365" s="1" t="s">
        <v>31</v>
      </c>
      <c r="K365" s="1" t="s">
        <v>24</v>
      </c>
      <c r="L365" s="1">
        <v>33</v>
      </c>
      <c r="M365" s="1">
        <v>5</v>
      </c>
      <c r="N365" s="1" t="s">
        <v>47</v>
      </c>
      <c r="O365" s="1">
        <v>4</v>
      </c>
      <c r="P365" s="1">
        <v>1</v>
      </c>
      <c r="Q365" s="1">
        <v>3</v>
      </c>
      <c r="R365" s="1">
        <v>2851</v>
      </c>
      <c r="S365" s="1">
        <v>1</v>
      </c>
      <c r="T365" s="1">
        <v>3</v>
      </c>
      <c r="U365" s="1">
        <v>1</v>
      </c>
      <c r="V365" s="1">
        <v>0</v>
      </c>
      <c r="W365" s="1">
        <v>0</v>
      </c>
      <c r="X365" s="1">
        <v>0</v>
      </c>
    </row>
    <row r="366" spans="1:24">
      <c r="A366" s="1">
        <v>365</v>
      </c>
      <c r="B366" s="1" t="s">
        <v>33</v>
      </c>
      <c r="C366" s="1" t="s">
        <v>25</v>
      </c>
      <c r="D366" s="1" t="s">
        <v>26</v>
      </c>
      <c r="E366" s="1" t="s">
        <v>36</v>
      </c>
      <c r="F366" s="1" t="s">
        <v>45</v>
      </c>
      <c r="G366" s="1">
        <v>1</v>
      </c>
      <c r="H366" s="1" t="s">
        <v>29</v>
      </c>
      <c r="I366" s="1" t="s">
        <v>42</v>
      </c>
      <c r="J366" s="1" t="s">
        <v>39</v>
      </c>
      <c r="K366" s="1" t="s">
        <v>33</v>
      </c>
      <c r="L366" s="1">
        <v>37</v>
      </c>
      <c r="M366" s="1">
        <v>10</v>
      </c>
      <c r="N366" s="1" t="s">
        <v>47</v>
      </c>
      <c r="O366" s="1">
        <v>3</v>
      </c>
      <c r="P366" s="1">
        <v>1</v>
      </c>
      <c r="Q366" s="1">
        <v>1</v>
      </c>
      <c r="R366" s="1">
        <v>3452</v>
      </c>
      <c r="S366" s="1">
        <v>17</v>
      </c>
      <c r="T366" s="1">
        <v>3</v>
      </c>
      <c r="U366" s="1">
        <v>5</v>
      </c>
      <c r="V366" s="1">
        <v>4</v>
      </c>
      <c r="W366" s="1">
        <v>0</v>
      </c>
      <c r="X366" s="1">
        <v>3</v>
      </c>
    </row>
    <row r="367" spans="1:24">
      <c r="A367" s="1">
        <v>366</v>
      </c>
      <c r="B367" s="1" t="s">
        <v>33</v>
      </c>
      <c r="C367" s="1" t="s">
        <v>51</v>
      </c>
      <c r="D367" s="1" t="s">
        <v>35</v>
      </c>
      <c r="E367" s="1" t="s">
        <v>36</v>
      </c>
      <c r="F367" s="1" t="s">
        <v>45</v>
      </c>
      <c r="G367" s="1">
        <v>1</v>
      </c>
      <c r="H367" s="1" t="s">
        <v>29</v>
      </c>
      <c r="I367" s="1" t="s">
        <v>49</v>
      </c>
      <c r="J367" s="1" t="s">
        <v>39</v>
      </c>
      <c r="K367" s="1" t="s">
        <v>33</v>
      </c>
      <c r="L367" s="1">
        <v>46</v>
      </c>
      <c r="M367" s="1">
        <v>7</v>
      </c>
      <c r="N367" s="1" t="s">
        <v>44</v>
      </c>
      <c r="O367" s="1">
        <v>3</v>
      </c>
      <c r="P367" s="1">
        <v>2</v>
      </c>
      <c r="Q367" s="1">
        <v>3</v>
      </c>
      <c r="R367" s="1">
        <v>5258</v>
      </c>
      <c r="S367" s="1">
        <v>7</v>
      </c>
      <c r="T367" s="1">
        <v>4</v>
      </c>
      <c r="U367" s="1">
        <v>1</v>
      </c>
      <c r="V367" s="1">
        <v>0</v>
      </c>
      <c r="W367" s="1">
        <v>0</v>
      </c>
      <c r="X367" s="1">
        <v>0</v>
      </c>
    </row>
    <row r="368" spans="1:24">
      <c r="A368" s="1">
        <v>367</v>
      </c>
      <c r="B368" s="1" t="s">
        <v>24</v>
      </c>
      <c r="C368" s="1" t="s">
        <v>34</v>
      </c>
      <c r="D368" s="1" t="s">
        <v>26</v>
      </c>
      <c r="E368" s="1" t="s">
        <v>27</v>
      </c>
      <c r="F368" s="1" t="s">
        <v>56</v>
      </c>
      <c r="G368" s="1">
        <v>1</v>
      </c>
      <c r="H368" s="1" t="s">
        <v>37</v>
      </c>
      <c r="I368" s="1" t="s">
        <v>30</v>
      </c>
      <c r="J368" s="1" t="s">
        <v>31</v>
      </c>
      <c r="K368" s="1" t="s">
        <v>33</v>
      </c>
      <c r="L368" s="1">
        <v>41</v>
      </c>
      <c r="M368" s="1">
        <v>4</v>
      </c>
      <c r="N368" s="1" t="s">
        <v>47</v>
      </c>
      <c r="O368" s="1">
        <v>1</v>
      </c>
      <c r="P368" s="1">
        <v>2</v>
      </c>
      <c r="Q368" s="1">
        <v>2</v>
      </c>
      <c r="R368" s="1">
        <v>9355</v>
      </c>
      <c r="S368" s="1">
        <v>8</v>
      </c>
      <c r="T368" s="1">
        <v>3</v>
      </c>
      <c r="U368" s="1">
        <v>8</v>
      </c>
      <c r="V368" s="1">
        <v>7</v>
      </c>
      <c r="W368" s="1">
        <v>7</v>
      </c>
      <c r="X368" s="1">
        <v>7</v>
      </c>
    </row>
    <row r="369" spans="1:24">
      <c r="A369" s="1">
        <v>368</v>
      </c>
      <c r="B369" s="1" t="s">
        <v>33</v>
      </c>
      <c r="C369" s="1" t="s">
        <v>25</v>
      </c>
      <c r="D369" s="1" t="s">
        <v>35</v>
      </c>
      <c r="E369" s="1" t="s">
        <v>36</v>
      </c>
      <c r="F369" s="1" t="s">
        <v>57</v>
      </c>
      <c r="G369" s="1">
        <v>1</v>
      </c>
      <c r="H369" s="1" t="s">
        <v>37</v>
      </c>
      <c r="I369" s="1" t="s">
        <v>50</v>
      </c>
      <c r="J369" s="1" t="s">
        <v>31</v>
      </c>
      <c r="K369" s="1" t="s">
        <v>33</v>
      </c>
      <c r="L369" s="1">
        <v>50</v>
      </c>
      <c r="M369" s="1">
        <v>10</v>
      </c>
      <c r="N369" s="1" t="s">
        <v>47</v>
      </c>
      <c r="O369" s="1">
        <v>4</v>
      </c>
      <c r="P369" s="1">
        <v>3</v>
      </c>
      <c r="Q369" s="1">
        <v>4</v>
      </c>
      <c r="R369" s="1">
        <v>10496</v>
      </c>
      <c r="S369" s="1">
        <v>20</v>
      </c>
      <c r="T369" s="1">
        <v>3</v>
      </c>
      <c r="U369" s="1">
        <v>4</v>
      </c>
      <c r="V369" s="1">
        <v>3</v>
      </c>
      <c r="W369" s="1">
        <v>1</v>
      </c>
      <c r="X369" s="1">
        <v>3</v>
      </c>
    </row>
    <row r="370" spans="1:24">
      <c r="A370" s="1">
        <v>369</v>
      </c>
      <c r="B370" s="1" t="s">
        <v>24</v>
      </c>
      <c r="C370" s="1" t="s">
        <v>25</v>
      </c>
      <c r="D370" s="1" t="s">
        <v>26</v>
      </c>
      <c r="E370" s="1" t="s">
        <v>27</v>
      </c>
      <c r="F370" s="1" t="s">
        <v>56</v>
      </c>
      <c r="G370" s="1">
        <v>1</v>
      </c>
      <c r="H370" s="1" t="s">
        <v>37</v>
      </c>
      <c r="I370" s="1" t="s">
        <v>30</v>
      </c>
      <c r="J370" s="1" t="s">
        <v>39</v>
      </c>
      <c r="K370" s="1" t="s">
        <v>24</v>
      </c>
      <c r="L370" s="1">
        <v>40</v>
      </c>
      <c r="M370" s="1">
        <v>22</v>
      </c>
      <c r="N370" s="1" t="s">
        <v>32</v>
      </c>
      <c r="O370" s="1">
        <v>3</v>
      </c>
      <c r="P370" s="1">
        <v>2</v>
      </c>
      <c r="Q370" s="1">
        <v>3</v>
      </c>
      <c r="R370" s="1">
        <v>6380</v>
      </c>
      <c r="S370" s="1">
        <v>8</v>
      </c>
      <c r="T370" s="1">
        <v>3</v>
      </c>
      <c r="U370" s="1">
        <v>6</v>
      </c>
      <c r="V370" s="1">
        <v>4</v>
      </c>
      <c r="W370" s="1">
        <v>1</v>
      </c>
      <c r="X370" s="1">
        <v>0</v>
      </c>
    </row>
    <row r="371" spans="1:24">
      <c r="A371" s="1">
        <v>370</v>
      </c>
      <c r="B371" s="1" t="s">
        <v>33</v>
      </c>
      <c r="C371" s="1" t="s">
        <v>25</v>
      </c>
      <c r="D371" s="1" t="s">
        <v>43</v>
      </c>
      <c r="E371" s="1" t="s">
        <v>36</v>
      </c>
      <c r="F371" s="1" t="s">
        <v>28</v>
      </c>
      <c r="G371" s="1">
        <v>1</v>
      </c>
      <c r="H371" s="1" t="s">
        <v>37</v>
      </c>
      <c r="I371" s="1" t="s">
        <v>38</v>
      </c>
      <c r="J371" s="1" t="s">
        <v>31</v>
      </c>
      <c r="K371" s="1" t="s">
        <v>24</v>
      </c>
      <c r="L371" s="1">
        <v>31</v>
      </c>
      <c r="M371" s="1">
        <v>9</v>
      </c>
      <c r="N371" s="1" t="s">
        <v>44</v>
      </c>
      <c r="O371" s="1">
        <v>3</v>
      </c>
      <c r="P371" s="1">
        <v>1</v>
      </c>
      <c r="Q371" s="1">
        <v>2</v>
      </c>
      <c r="R371" s="1">
        <v>2657</v>
      </c>
      <c r="S371" s="1">
        <v>3</v>
      </c>
      <c r="T371" s="1">
        <v>3</v>
      </c>
      <c r="U371" s="1">
        <v>2</v>
      </c>
      <c r="V371" s="1">
        <v>2</v>
      </c>
      <c r="W371" s="1">
        <v>2</v>
      </c>
      <c r="X371" s="1">
        <v>2</v>
      </c>
    </row>
    <row r="372" spans="1:24">
      <c r="A372" s="1">
        <v>371</v>
      </c>
      <c r="B372" s="1" t="s">
        <v>24</v>
      </c>
      <c r="C372" s="1" t="s">
        <v>25</v>
      </c>
      <c r="D372" s="1" t="s">
        <v>52</v>
      </c>
      <c r="E372" s="1" t="s">
        <v>27</v>
      </c>
      <c r="F372" s="1" t="s">
        <v>28</v>
      </c>
      <c r="G372" s="1">
        <v>1</v>
      </c>
      <c r="H372" s="1" t="s">
        <v>29</v>
      </c>
      <c r="I372" s="1" t="s">
        <v>54</v>
      </c>
      <c r="J372" s="1" t="s">
        <v>31</v>
      </c>
      <c r="K372" s="1" t="s">
        <v>33</v>
      </c>
      <c r="L372" s="1">
        <v>21</v>
      </c>
      <c r="M372" s="1">
        <v>12</v>
      </c>
      <c r="N372" s="1" t="s">
        <v>47</v>
      </c>
      <c r="O372" s="1">
        <v>3</v>
      </c>
      <c r="P372" s="1">
        <v>1</v>
      </c>
      <c r="Q372" s="1">
        <v>2</v>
      </c>
      <c r="R372" s="1">
        <v>2716</v>
      </c>
      <c r="S372" s="1">
        <v>1</v>
      </c>
      <c r="T372" s="1">
        <v>3</v>
      </c>
      <c r="U372" s="1">
        <v>1</v>
      </c>
      <c r="V372" s="1">
        <v>0</v>
      </c>
      <c r="W372" s="1">
        <v>0</v>
      </c>
      <c r="X372" s="1">
        <v>0</v>
      </c>
    </row>
    <row r="373" spans="1:24">
      <c r="A373" s="1">
        <v>372</v>
      </c>
      <c r="B373" s="1" t="s">
        <v>33</v>
      </c>
      <c r="C373" s="1" t="s">
        <v>25</v>
      </c>
      <c r="D373" s="1" t="s">
        <v>43</v>
      </c>
      <c r="E373" s="1" t="s">
        <v>36</v>
      </c>
      <c r="F373" s="1" t="s">
        <v>28</v>
      </c>
      <c r="G373" s="1">
        <v>1</v>
      </c>
      <c r="H373" s="1" t="s">
        <v>37</v>
      </c>
      <c r="I373" s="1" t="s">
        <v>38</v>
      </c>
      <c r="J373" s="1" t="s">
        <v>31</v>
      </c>
      <c r="K373" s="1" t="s">
        <v>33</v>
      </c>
      <c r="L373" s="1">
        <v>29</v>
      </c>
      <c r="M373" s="1">
        <v>23</v>
      </c>
      <c r="N373" s="1" t="s">
        <v>47</v>
      </c>
      <c r="O373" s="1">
        <v>4</v>
      </c>
      <c r="P373" s="1">
        <v>1</v>
      </c>
      <c r="Q373" s="1">
        <v>4</v>
      </c>
      <c r="R373" s="1">
        <v>2201</v>
      </c>
      <c r="S373" s="1">
        <v>6</v>
      </c>
      <c r="T373" s="1">
        <v>3</v>
      </c>
      <c r="U373" s="1">
        <v>3</v>
      </c>
      <c r="V373" s="1">
        <v>2</v>
      </c>
      <c r="W373" s="1">
        <v>1</v>
      </c>
      <c r="X373" s="1">
        <v>2</v>
      </c>
    </row>
    <row r="374" spans="1:24">
      <c r="A374" s="1">
        <v>373</v>
      </c>
      <c r="B374" s="1" t="s">
        <v>33</v>
      </c>
      <c r="C374" s="1" t="s">
        <v>25</v>
      </c>
      <c r="D374" s="1" t="s">
        <v>26</v>
      </c>
      <c r="E374" s="1" t="s">
        <v>36</v>
      </c>
      <c r="F374" s="1" t="s">
        <v>28</v>
      </c>
      <c r="G374" s="1">
        <v>1</v>
      </c>
      <c r="H374" s="1" t="s">
        <v>37</v>
      </c>
      <c r="I374" s="1" t="s">
        <v>50</v>
      </c>
      <c r="J374" s="1" t="s">
        <v>31</v>
      </c>
      <c r="K374" s="1" t="s">
        <v>33</v>
      </c>
      <c r="L374" s="1">
        <v>35</v>
      </c>
      <c r="M374" s="1">
        <v>9</v>
      </c>
      <c r="N374" s="1" t="s">
        <v>44</v>
      </c>
      <c r="O374" s="1">
        <v>3</v>
      </c>
      <c r="P374" s="1">
        <v>2</v>
      </c>
      <c r="Q374" s="1">
        <v>2</v>
      </c>
      <c r="R374" s="1">
        <v>6540</v>
      </c>
      <c r="S374" s="1">
        <v>10</v>
      </c>
      <c r="T374" s="1">
        <v>3</v>
      </c>
      <c r="U374" s="1">
        <v>1</v>
      </c>
      <c r="V374" s="1">
        <v>1</v>
      </c>
      <c r="W374" s="1">
        <v>0</v>
      </c>
      <c r="X374" s="1">
        <v>0</v>
      </c>
    </row>
    <row r="375" spans="1:24">
      <c r="A375" s="1">
        <v>374</v>
      </c>
      <c r="B375" s="1" t="s">
        <v>33</v>
      </c>
      <c r="C375" s="1" t="s">
        <v>25</v>
      </c>
      <c r="D375" s="1" t="s">
        <v>43</v>
      </c>
      <c r="E375" s="1" t="s">
        <v>36</v>
      </c>
      <c r="F375" s="1" t="s">
        <v>45</v>
      </c>
      <c r="G375" s="1">
        <v>1</v>
      </c>
      <c r="H375" s="1" t="s">
        <v>37</v>
      </c>
      <c r="I375" s="1" t="s">
        <v>42</v>
      </c>
      <c r="J375" s="1" t="s">
        <v>48</v>
      </c>
      <c r="K375" s="1" t="s">
        <v>33</v>
      </c>
      <c r="L375" s="1">
        <v>27</v>
      </c>
      <c r="M375" s="1">
        <v>1</v>
      </c>
      <c r="N375" s="1" t="s">
        <v>32</v>
      </c>
      <c r="O375" s="1">
        <v>4</v>
      </c>
      <c r="P375" s="1">
        <v>1</v>
      </c>
      <c r="Q375" s="1">
        <v>2</v>
      </c>
      <c r="R375" s="1">
        <v>3816</v>
      </c>
      <c r="S375" s="1">
        <v>5</v>
      </c>
      <c r="T375" s="1">
        <v>3</v>
      </c>
      <c r="U375" s="1">
        <v>5</v>
      </c>
      <c r="V375" s="1">
        <v>2</v>
      </c>
      <c r="W375" s="1">
        <v>0</v>
      </c>
      <c r="X375" s="1">
        <v>4</v>
      </c>
    </row>
    <row r="376" spans="1:24">
      <c r="A376" s="1">
        <v>375</v>
      </c>
      <c r="B376" s="1" t="s">
        <v>33</v>
      </c>
      <c r="C376" s="1" t="s">
        <v>25</v>
      </c>
      <c r="D376" s="1" t="s">
        <v>43</v>
      </c>
      <c r="E376" s="1" t="s">
        <v>27</v>
      </c>
      <c r="F376" s="1" t="s">
        <v>28</v>
      </c>
      <c r="G376" s="1">
        <v>1</v>
      </c>
      <c r="H376" s="1" t="s">
        <v>37</v>
      </c>
      <c r="I376" s="1" t="s">
        <v>30</v>
      </c>
      <c r="J376" s="1" t="s">
        <v>31</v>
      </c>
      <c r="K376" s="1" t="s">
        <v>33</v>
      </c>
      <c r="L376" s="1">
        <v>28</v>
      </c>
      <c r="M376" s="1">
        <v>9</v>
      </c>
      <c r="N376" s="1" t="s">
        <v>44</v>
      </c>
      <c r="O376" s="1">
        <v>2</v>
      </c>
      <c r="P376" s="1">
        <v>2</v>
      </c>
      <c r="Q376" s="1">
        <v>4</v>
      </c>
      <c r="R376" s="1">
        <v>5253</v>
      </c>
      <c r="S376" s="1">
        <v>7</v>
      </c>
      <c r="T376" s="1">
        <v>3</v>
      </c>
      <c r="U376" s="1">
        <v>7</v>
      </c>
      <c r="V376" s="1">
        <v>5</v>
      </c>
      <c r="W376" s="1">
        <v>0</v>
      </c>
      <c r="X376" s="1">
        <v>7</v>
      </c>
    </row>
    <row r="377" spans="1:24">
      <c r="A377" s="1">
        <v>376</v>
      </c>
      <c r="B377" s="1" t="s">
        <v>33</v>
      </c>
      <c r="C377" s="1" t="s">
        <v>25</v>
      </c>
      <c r="D377" s="1" t="s">
        <v>35</v>
      </c>
      <c r="E377" s="1" t="s">
        <v>36</v>
      </c>
      <c r="F377" s="1" t="s">
        <v>41</v>
      </c>
      <c r="G377" s="1">
        <v>1</v>
      </c>
      <c r="H377" s="1" t="s">
        <v>37</v>
      </c>
      <c r="I377" s="1" t="s">
        <v>50</v>
      </c>
      <c r="J377" s="1" t="s">
        <v>31</v>
      </c>
      <c r="K377" s="1" t="s">
        <v>33</v>
      </c>
      <c r="L377" s="1">
        <v>49</v>
      </c>
      <c r="M377" s="1">
        <v>7</v>
      </c>
      <c r="N377" s="1" t="s">
        <v>47</v>
      </c>
      <c r="O377" s="1">
        <v>2</v>
      </c>
      <c r="P377" s="1">
        <v>3</v>
      </c>
      <c r="Q377" s="1">
        <v>3</v>
      </c>
      <c r="R377" s="1">
        <v>10965</v>
      </c>
      <c r="S377" s="1">
        <v>26</v>
      </c>
      <c r="T377" s="1">
        <v>3</v>
      </c>
      <c r="U377" s="1">
        <v>5</v>
      </c>
      <c r="V377" s="1">
        <v>2</v>
      </c>
      <c r="W377" s="1">
        <v>0</v>
      </c>
      <c r="X377" s="1">
        <v>0</v>
      </c>
    </row>
    <row r="378" spans="1:24">
      <c r="A378" s="1">
        <v>377</v>
      </c>
      <c r="B378" s="1" t="s">
        <v>33</v>
      </c>
      <c r="C378" s="1" t="s">
        <v>25</v>
      </c>
      <c r="D378" s="1" t="s">
        <v>35</v>
      </c>
      <c r="E378" s="1" t="s">
        <v>27</v>
      </c>
      <c r="F378" s="1" t="s">
        <v>28</v>
      </c>
      <c r="G378" s="1">
        <v>1</v>
      </c>
      <c r="H378" s="1" t="s">
        <v>29</v>
      </c>
      <c r="I378" s="1" t="s">
        <v>30</v>
      </c>
      <c r="J378" s="1" t="s">
        <v>39</v>
      </c>
      <c r="K378" s="1" t="s">
        <v>33</v>
      </c>
      <c r="L378" s="1">
        <v>51</v>
      </c>
      <c r="M378" s="1">
        <v>14</v>
      </c>
      <c r="N378" s="1" t="s">
        <v>32</v>
      </c>
      <c r="O378" s="1">
        <v>3</v>
      </c>
      <c r="P378" s="1">
        <v>2</v>
      </c>
      <c r="Q378" s="1">
        <v>4</v>
      </c>
      <c r="R378" s="1">
        <v>4936</v>
      </c>
      <c r="S378" s="1">
        <v>18</v>
      </c>
      <c r="T378" s="1">
        <v>2</v>
      </c>
      <c r="U378" s="1">
        <v>7</v>
      </c>
      <c r="V378" s="1">
        <v>7</v>
      </c>
      <c r="W378" s="1">
        <v>0</v>
      </c>
      <c r="X378" s="1">
        <v>7</v>
      </c>
    </row>
    <row r="379" spans="1:24">
      <c r="A379" s="1">
        <v>378</v>
      </c>
      <c r="B379" s="1" t="s">
        <v>33</v>
      </c>
      <c r="C379" s="1" t="s">
        <v>25</v>
      </c>
      <c r="D379" s="1" t="s">
        <v>26</v>
      </c>
      <c r="E379" s="1" t="s">
        <v>36</v>
      </c>
      <c r="F379" s="1" t="s">
        <v>28</v>
      </c>
      <c r="G379" s="1">
        <v>1</v>
      </c>
      <c r="H379" s="1" t="s">
        <v>29</v>
      </c>
      <c r="I379" s="1" t="s">
        <v>38</v>
      </c>
      <c r="J379" s="1" t="s">
        <v>39</v>
      </c>
      <c r="K379" s="1" t="s">
        <v>33</v>
      </c>
      <c r="L379" s="1">
        <v>36</v>
      </c>
      <c r="M379" s="1">
        <v>2</v>
      </c>
      <c r="N379" s="1" t="s">
        <v>47</v>
      </c>
      <c r="O379" s="1">
        <v>4</v>
      </c>
      <c r="P379" s="1">
        <v>1</v>
      </c>
      <c r="Q379" s="1">
        <v>3</v>
      </c>
      <c r="R379" s="1">
        <v>2543</v>
      </c>
      <c r="S379" s="1">
        <v>6</v>
      </c>
      <c r="T379" s="1">
        <v>3</v>
      </c>
      <c r="U379" s="1">
        <v>2</v>
      </c>
      <c r="V379" s="1">
        <v>2</v>
      </c>
      <c r="W379" s="1">
        <v>2</v>
      </c>
      <c r="X379" s="1">
        <v>2</v>
      </c>
    </row>
    <row r="380" spans="1:24">
      <c r="A380" s="1">
        <v>379</v>
      </c>
      <c r="B380" s="1" t="s">
        <v>24</v>
      </c>
      <c r="C380" s="1" t="s">
        <v>51</v>
      </c>
      <c r="D380" s="1" t="s">
        <v>43</v>
      </c>
      <c r="E380" s="1" t="s">
        <v>27</v>
      </c>
      <c r="F380" s="1" t="s">
        <v>56</v>
      </c>
      <c r="G380" s="1">
        <v>1</v>
      </c>
      <c r="H380" s="1" t="s">
        <v>37</v>
      </c>
      <c r="I380" s="1" t="s">
        <v>30</v>
      </c>
      <c r="J380" s="1" t="s">
        <v>31</v>
      </c>
      <c r="K380" s="1" t="s">
        <v>24</v>
      </c>
      <c r="L380" s="1">
        <v>34</v>
      </c>
      <c r="M380" s="1">
        <v>19</v>
      </c>
      <c r="N380" s="1" t="s">
        <v>47</v>
      </c>
      <c r="O380" s="1">
        <v>1</v>
      </c>
      <c r="P380" s="1">
        <v>2</v>
      </c>
      <c r="Q380" s="1">
        <v>4</v>
      </c>
      <c r="R380" s="1">
        <v>5304</v>
      </c>
      <c r="S380" s="1">
        <v>9</v>
      </c>
      <c r="T380" s="1">
        <v>2</v>
      </c>
      <c r="U380" s="1">
        <v>5</v>
      </c>
      <c r="V380" s="1">
        <v>2</v>
      </c>
      <c r="W380" s="1">
        <v>0</v>
      </c>
      <c r="X380" s="1">
        <v>4</v>
      </c>
    </row>
    <row r="381" spans="1:24">
      <c r="A381" s="1">
        <v>380</v>
      </c>
      <c r="B381" s="1" t="s">
        <v>33</v>
      </c>
      <c r="C381" s="1" t="s">
        <v>25</v>
      </c>
      <c r="D381" s="1" t="s">
        <v>46</v>
      </c>
      <c r="E381" s="1" t="s">
        <v>36</v>
      </c>
      <c r="F381" s="1" t="s">
        <v>28</v>
      </c>
      <c r="G381" s="1">
        <v>1</v>
      </c>
      <c r="H381" s="1" t="s">
        <v>29</v>
      </c>
      <c r="I381" s="1" t="s">
        <v>53</v>
      </c>
      <c r="J381" s="1" t="s">
        <v>31</v>
      </c>
      <c r="K381" s="1" t="s">
        <v>24</v>
      </c>
      <c r="L381" s="1">
        <v>55</v>
      </c>
      <c r="M381" s="1">
        <v>2</v>
      </c>
      <c r="N381" s="1" t="s">
        <v>47</v>
      </c>
      <c r="O381" s="1">
        <v>3</v>
      </c>
      <c r="P381" s="1">
        <v>4</v>
      </c>
      <c r="Q381" s="1">
        <v>4</v>
      </c>
      <c r="R381" s="1">
        <v>16659</v>
      </c>
      <c r="S381" s="1">
        <v>30</v>
      </c>
      <c r="T381" s="1">
        <v>3</v>
      </c>
      <c r="U381" s="1">
        <v>5</v>
      </c>
      <c r="V381" s="1">
        <v>4</v>
      </c>
      <c r="W381" s="1">
        <v>1</v>
      </c>
      <c r="X381" s="1">
        <v>2</v>
      </c>
    </row>
    <row r="382" spans="1:24">
      <c r="A382" s="1">
        <v>381</v>
      </c>
      <c r="B382" s="1" t="s">
        <v>33</v>
      </c>
      <c r="C382" s="1" t="s">
        <v>25</v>
      </c>
      <c r="D382" s="1" t="s">
        <v>52</v>
      </c>
      <c r="E382" s="1" t="s">
        <v>27</v>
      </c>
      <c r="F382" s="1" t="s">
        <v>56</v>
      </c>
      <c r="G382" s="1">
        <v>1</v>
      </c>
      <c r="H382" s="1" t="s">
        <v>29</v>
      </c>
      <c r="I382" s="1" t="s">
        <v>30</v>
      </c>
      <c r="J382" s="1" t="s">
        <v>48</v>
      </c>
      <c r="K382" s="1" t="s">
        <v>24</v>
      </c>
      <c r="L382" s="1">
        <v>24</v>
      </c>
      <c r="M382" s="1">
        <v>10</v>
      </c>
      <c r="N382" s="1" t="s">
        <v>44</v>
      </c>
      <c r="O382" s="1">
        <v>4</v>
      </c>
      <c r="P382" s="1">
        <v>2</v>
      </c>
      <c r="Q382" s="1">
        <v>3</v>
      </c>
      <c r="R382" s="1">
        <v>4260</v>
      </c>
      <c r="S382" s="1">
        <v>5</v>
      </c>
      <c r="T382" s="1">
        <v>4</v>
      </c>
      <c r="U382" s="1">
        <v>5</v>
      </c>
      <c r="V382" s="1">
        <v>2</v>
      </c>
      <c r="W382" s="1">
        <v>0</v>
      </c>
      <c r="X382" s="1">
        <v>3</v>
      </c>
    </row>
    <row r="383" spans="1:24">
      <c r="A383" s="1">
        <v>382</v>
      </c>
      <c r="B383" s="1" t="s">
        <v>33</v>
      </c>
      <c r="C383" s="1" t="s">
        <v>25</v>
      </c>
      <c r="D383" s="1" t="s">
        <v>43</v>
      </c>
      <c r="E383" s="1" t="s">
        <v>27</v>
      </c>
      <c r="F383" s="1" t="s">
        <v>57</v>
      </c>
      <c r="G383" s="1">
        <v>1</v>
      </c>
      <c r="H383" s="1" t="s">
        <v>37</v>
      </c>
      <c r="I383" s="1" t="s">
        <v>54</v>
      </c>
      <c r="J383" s="1" t="s">
        <v>39</v>
      </c>
      <c r="K383" s="1" t="s">
        <v>33</v>
      </c>
      <c r="L383" s="1">
        <v>30</v>
      </c>
      <c r="M383" s="1">
        <v>2</v>
      </c>
      <c r="N383" s="1" t="s">
        <v>40</v>
      </c>
      <c r="O383" s="1">
        <v>3</v>
      </c>
      <c r="P383" s="1">
        <v>1</v>
      </c>
      <c r="Q383" s="1">
        <v>2</v>
      </c>
      <c r="R383" s="1">
        <v>2476</v>
      </c>
      <c r="S383" s="1">
        <v>1</v>
      </c>
      <c r="T383" s="1">
        <v>3</v>
      </c>
      <c r="U383" s="1">
        <v>1</v>
      </c>
      <c r="V383" s="1">
        <v>0</v>
      </c>
      <c r="W383" s="1">
        <v>0</v>
      </c>
      <c r="X383" s="1">
        <v>0</v>
      </c>
    </row>
    <row r="384" spans="1:24">
      <c r="A384" s="1">
        <v>383</v>
      </c>
      <c r="B384" s="1" t="s">
        <v>24</v>
      </c>
      <c r="C384" s="1" t="s">
        <v>34</v>
      </c>
      <c r="D384" s="1" t="s">
        <v>43</v>
      </c>
      <c r="E384" s="1" t="s">
        <v>36</v>
      </c>
      <c r="F384" s="1" t="s">
        <v>57</v>
      </c>
      <c r="G384" s="1">
        <v>1</v>
      </c>
      <c r="H384" s="1" t="s">
        <v>37</v>
      </c>
      <c r="I384" s="1" t="s">
        <v>38</v>
      </c>
      <c r="J384" s="1" t="s">
        <v>31</v>
      </c>
      <c r="K384" s="1" t="s">
        <v>33</v>
      </c>
      <c r="L384" s="1">
        <v>26</v>
      </c>
      <c r="M384" s="1">
        <v>3</v>
      </c>
      <c r="N384" s="1" t="s">
        <v>40</v>
      </c>
      <c r="O384" s="1">
        <v>3</v>
      </c>
      <c r="P384" s="1">
        <v>1</v>
      </c>
      <c r="Q384" s="1">
        <v>1</v>
      </c>
      <c r="R384" s="1">
        <v>3102</v>
      </c>
      <c r="S384" s="1">
        <v>7</v>
      </c>
      <c r="T384" s="1">
        <v>3</v>
      </c>
      <c r="U384" s="1">
        <v>6</v>
      </c>
      <c r="V384" s="1">
        <v>4</v>
      </c>
      <c r="W384" s="1">
        <v>0</v>
      </c>
      <c r="X384" s="1">
        <v>4</v>
      </c>
    </row>
    <row r="385" spans="1:24">
      <c r="A385" s="1">
        <v>384</v>
      </c>
      <c r="B385" s="1" t="s">
        <v>33</v>
      </c>
      <c r="C385" s="1" t="s">
        <v>25</v>
      </c>
      <c r="D385" s="1" t="s">
        <v>52</v>
      </c>
      <c r="E385" s="1" t="s">
        <v>36</v>
      </c>
      <c r="F385" s="1" t="s">
        <v>45</v>
      </c>
      <c r="G385" s="1">
        <v>1</v>
      </c>
      <c r="H385" s="1" t="s">
        <v>29</v>
      </c>
      <c r="I385" s="1" t="s">
        <v>38</v>
      </c>
      <c r="J385" s="1" t="s">
        <v>39</v>
      </c>
      <c r="K385" s="1" t="s">
        <v>33</v>
      </c>
      <c r="L385" s="1">
        <v>22</v>
      </c>
      <c r="M385" s="1">
        <v>11</v>
      </c>
      <c r="N385" s="1" t="s">
        <v>47</v>
      </c>
      <c r="O385" s="1">
        <v>1</v>
      </c>
      <c r="P385" s="1">
        <v>1</v>
      </c>
      <c r="Q385" s="1">
        <v>2</v>
      </c>
      <c r="R385" s="1">
        <v>2244</v>
      </c>
      <c r="S385" s="1">
        <v>2</v>
      </c>
      <c r="T385" s="1">
        <v>3</v>
      </c>
      <c r="U385" s="1">
        <v>2</v>
      </c>
      <c r="V385" s="1">
        <v>1</v>
      </c>
      <c r="W385" s="1">
        <v>1</v>
      </c>
      <c r="X385" s="1">
        <v>2</v>
      </c>
    </row>
    <row r="386" spans="1:24">
      <c r="A386" s="1">
        <v>385</v>
      </c>
      <c r="B386" s="1" t="s">
        <v>33</v>
      </c>
      <c r="C386" s="1" t="s">
        <v>25</v>
      </c>
      <c r="D386" s="1" t="s">
        <v>26</v>
      </c>
      <c r="E386" s="1" t="s">
        <v>27</v>
      </c>
      <c r="F386" s="1" t="s">
        <v>45</v>
      </c>
      <c r="G386" s="1">
        <v>1</v>
      </c>
      <c r="H386" s="1" t="s">
        <v>37</v>
      </c>
      <c r="I386" s="1" t="s">
        <v>30</v>
      </c>
      <c r="J386" s="1" t="s">
        <v>39</v>
      </c>
      <c r="K386" s="1" t="s">
        <v>33</v>
      </c>
      <c r="L386" s="1">
        <v>36</v>
      </c>
      <c r="M386" s="1">
        <v>2</v>
      </c>
      <c r="N386" s="1" t="s">
        <v>32</v>
      </c>
      <c r="O386" s="1">
        <v>2</v>
      </c>
      <c r="P386" s="1">
        <v>3</v>
      </c>
      <c r="Q386" s="1">
        <v>3</v>
      </c>
      <c r="R386" s="1">
        <v>7596</v>
      </c>
      <c r="S386" s="1">
        <v>10</v>
      </c>
      <c r="T386" s="1">
        <v>3</v>
      </c>
      <c r="U386" s="1">
        <v>10</v>
      </c>
      <c r="V386" s="1">
        <v>9</v>
      </c>
      <c r="W386" s="1">
        <v>9</v>
      </c>
      <c r="X386" s="1">
        <v>0</v>
      </c>
    </row>
    <row r="387" spans="1:24">
      <c r="A387" s="1">
        <v>386</v>
      </c>
      <c r="B387" s="1" t="s">
        <v>24</v>
      </c>
      <c r="C387" s="1" t="s">
        <v>34</v>
      </c>
      <c r="D387" s="1" t="s">
        <v>43</v>
      </c>
      <c r="E387" s="1" t="s">
        <v>36</v>
      </c>
      <c r="F387" s="1" t="s">
        <v>57</v>
      </c>
      <c r="G387" s="1">
        <v>1</v>
      </c>
      <c r="H387" s="1" t="s">
        <v>37</v>
      </c>
      <c r="I387" s="1" t="s">
        <v>38</v>
      </c>
      <c r="J387" s="1" t="s">
        <v>31</v>
      </c>
      <c r="K387" s="1" t="s">
        <v>24</v>
      </c>
      <c r="L387" s="1">
        <v>30</v>
      </c>
      <c r="M387" s="1">
        <v>4</v>
      </c>
      <c r="N387" s="1" t="s">
        <v>47</v>
      </c>
      <c r="O387" s="1">
        <v>3</v>
      </c>
      <c r="P387" s="1">
        <v>1</v>
      </c>
      <c r="Q387" s="1">
        <v>4</v>
      </c>
      <c r="R387" s="1">
        <v>2285</v>
      </c>
      <c r="S387" s="1">
        <v>3</v>
      </c>
      <c r="T387" s="1">
        <v>3</v>
      </c>
      <c r="U387" s="1">
        <v>1</v>
      </c>
      <c r="V387" s="1">
        <v>0</v>
      </c>
      <c r="W387" s="1">
        <v>0</v>
      </c>
      <c r="X387" s="1">
        <v>0</v>
      </c>
    </row>
    <row r="388" spans="1:24">
      <c r="A388" s="1">
        <v>387</v>
      </c>
      <c r="B388" s="1" t="s">
        <v>33</v>
      </c>
      <c r="C388" s="1" t="s">
        <v>25</v>
      </c>
      <c r="D388" s="1" t="s">
        <v>26</v>
      </c>
      <c r="E388" s="1" t="s">
        <v>36</v>
      </c>
      <c r="F388" s="1" t="s">
        <v>28</v>
      </c>
      <c r="G388" s="1">
        <v>1</v>
      </c>
      <c r="H388" s="1" t="s">
        <v>29</v>
      </c>
      <c r="I388" s="1" t="s">
        <v>42</v>
      </c>
      <c r="J388" s="1" t="s">
        <v>48</v>
      </c>
      <c r="K388" s="1" t="s">
        <v>33</v>
      </c>
      <c r="L388" s="1">
        <v>37</v>
      </c>
      <c r="M388" s="1">
        <v>14</v>
      </c>
      <c r="N388" s="1" t="s">
        <v>47</v>
      </c>
      <c r="O388" s="1">
        <v>4</v>
      </c>
      <c r="P388" s="1">
        <v>1</v>
      </c>
      <c r="Q388" s="1">
        <v>1</v>
      </c>
      <c r="R388" s="1">
        <v>3034</v>
      </c>
      <c r="S388" s="1">
        <v>18</v>
      </c>
      <c r="T388" s="1">
        <v>2</v>
      </c>
      <c r="U388" s="1">
        <v>18</v>
      </c>
      <c r="V388" s="1">
        <v>7</v>
      </c>
      <c r="W388" s="1">
        <v>12</v>
      </c>
      <c r="X388" s="1">
        <v>17</v>
      </c>
    </row>
    <row r="389" spans="1:24">
      <c r="A389" s="1">
        <v>388</v>
      </c>
      <c r="B389" s="1" t="s">
        <v>33</v>
      </c>
      <c r="C389" s="1" t="s">
        <v>25</v>
      </c>
      <c r="D389" s="1" t="s">
        <v>26</v>
      </c>
      <c r="E389" s="1" t="s">
        <v>27</v>
      </c>
      <c r="F389" s="1" t="s">
        <v>56</v>
      </c>
      <c r="G389" s="1">
        <v>1</v>
      </c>
      <c r="H389" s="1" t="s">
        <v>29</v>
      </c>
      <c r="I389" s="1" t="s">
        <v>30</v>
      </c>
      <c r="J389" s="1" t="s">
        <v>48</v>
      </c>
      <c r="K389" s="1" t="s">
        <v>33</v>
      </c>
      <c r="L389" s="1">
        <v>40</v>
      </c>
      <c r="M389" s="1">
        <v>2</v>
      </c>
      <c r="N389" s="1" t="s">
        <v>32</v>
      </c>
      <c r="O389" s="1">
        <v>4</v>
      </c>
      <c r="P389" s="1">
        <v>2</v>
      </c>
      <c r="Q389" s="1">
        <v>2</v>
      </c>
      <c r="R389" s="1">
        <v>5715</v>
      </c>
      <c r="S389" s="1">
        <v>8</v>
      </c>
      <c r="T389" s="1">
        <v>3</v>
      </c>
      <c r="U389" s="1">
        <v>5</v>
      </c>
      <c r="V389" s="1">
        <v>4</v>
      </c>
      <c r="W389" s="1">
        <v>1</v>
      </c>
      <c r="X389" s="1">
        <v>3</v>
      </c>
    </row>
    <row r="390" spans="1:24">
      <c r="A390" s="1">
        <v>389</v>
      </c>
      <c r="B390" s="1" t="s">
        <v>33</v>
      </c>
      <c r="C390" s="1" t="s">
        <v>25</v>
      </c>
      <c r="D390" s="1" t="s">
        <v>26</v>
      </c>
      <c r="E390" s="1" t="s">
        <v>36</v>
      </c>
      <c r="F390" s="1" t="s">
        <v>28</v>
      </c>
      <c r="G390" s="1">
        <v>1</v>
      </c>
      <c r="H390" s="1" t="s">
        <v>29</v>
      </c>
      <c r="I390" s="1" t="s">
        <v>42</v>
      </c>
      <c r="J390" s="1" t="s">
        <v>48</v>
      </c>
      <c r="K390" s="1" t="s">
        <v>33</v>
      </c>
      <c r="L390" s="1">
        <v>42</v>
      </c>
      <c r="M390" s="1">
        <v>1</v>
      </c>
      <c r="N390" s="1" t="s">
        <v>44</v>
      </c>
      <c r="O390" s="1">
        <v>2</v>
      </c>
      <c r="P390" s="1">
        <v>1</v>
      </c>
      <c r="Q390" s="1">
        <v>1</v>
      </c>
      <c r="R390" s="1">
        <v>2576</v>
      </c>
      <c r="S390" s="1">
        <v>8</v>
      </c>
      <c r="T390" s="1">
        <v>3</v>
      </c>
      <c r="U390" s="1">
        <v>5</v>
      </c>
      <c r="V390" s="1">
        <v>2</v>
      </c>
      <c r="W390" s="1">
        <v>1</v>
      </c>
      <c r="X390" s="1">
        <v>2</v>
      </c>
    </row>
    <row r="391" spans="1:24">
      <c r="A391" s="1">
        <v>390</v>
      </c>
      <c r="B391" s="1" t="s">
        <v>33</v>
      </c>
      <c r="C391" s="1" t="s">
        <v>25</v>
      </c>
      <c r="D391" s="1" t="s">
        <v>26</v>
      </c>
      <c r="E391" s="1" t="s">
        <v>36</v>
      </c>
      <c r="F391" s="1" t="s">
        <v>28</v>
      </c>
      <c r="G391" s="1">
        <v>1</v>
      </c>
      <c r="H391" s="1" t="s">
        <v>37</v>
      </c>
      <c r="I391" s="1" t="s">
        <v>49</v>
      </c>
      <c r="J391" s="1" t="s">
        <v>31</v>
      </c>
      <c r="K391" s="1" t="s">
        <v>24</v>
      </c>
      <c r="L391" s="1">
        <v>37</v>
      </c>
      <c r="M391" s="1">
        <v>10</v>
      </c>
      <c r="N391" s="1" t="s">
        <v>44</v>
      </c>
      <c r="O391" s="1">
        <v>3</v>
      </c>
      <c r="P391" s="1">
        <v>2</v>
      </c>
      <c r="Q391" s="1">
        <v>2</v>
      </c>
      <c r="R391" s="1">
        <v>4197</v>
      </c>
      <c r="S391" s="1">
        <v>18</v>
      </c>
      <c r="T391" s="1">
        <v>2</v>
      </c>
      <c r="U391" s="1">
        <v>1</v>
      </c>
      <c r="V391" s="1">
        <v>0</v>
      </c>
      <c r="W391" s="1">
        <v>0</v>
      </c>
      <c r="X391" s="1">
        <v>1</v>
      </c>
    </row>
    <row r="392" spans="1:24">
      <c r="A392" s="1">
        <v>391</v>
      </c>
      <c r="B392" s="1" t="s">
        <v>33</v>
      </c>
      <c r="C392" s="1" t="s">
        <v>25</v>
      </c>
      <c r="D392" s="1" t="s">
        <v>26</v>
      </c>
      <c r="E392" s="1" t="s">
        <v>36</v>
      </c>
      <c r="F392" s="1" t="s">
        <v>28</v>
      </c>
      <c r="G392" s="1">
        <v>1</v>
      </c>
      <c r="H392" s="1" t="s">
        <v>37</v>
      </c>
      <c r="I392" s="1" t="s">
        <v>55</v>
      </c>
      <c r="J392" s="1" t="s">
        <v>48</v>
      </c>
      <c r="K392" s="1" t="s">
        <v>33</v>
      </c>
      <c r="L392" s="1">
        <v>43</v>
      </c>
      <c r="M392" s="1">
        <v>12</v>
      </c>
      <c r="N392" s="1" t="s">
        <v>47</v>
      </c>
      <c r="O392" s="1">
        <v>1</v>
      </c>
      <c r="P392" s="1">
        <v>4</v>
      </c>
      <c r="Q392" s="1">
        <v>2</v>
      </c>
      <c r="R392" s="1">
        <v>14336</v>
      </c>
      <c r="S392" s="1">
        <v>25</v>
      </c>
      <c r="T392" s="1">
        <v>3</v>
      </c>
      <c r="U392" s="1">
        <v>25</v>
      </c>
      <c r="V392" s="1">
        <v>10</v>
      </c>
      <c r="W392" s="1">
        <v>3</v>
      </c>
      <c r="X392" s="1">
        <v>9</v>
      </c>
    </row>
    <row r="393" spans="1:24">
      <c r="A393" s="1">
        <v>392</v>
      </c>
      <c r="B393" s="1" t="s">
        <v>33</v>
      </c>
      <c r="C393" s="1" t="s">
        <v>25</v>
      </c>
      <c r="D393" s="1" t="s">
        <v>26</v>
      </c>
      <c r="E393" s="1" t="s">
        <v>36</v>
      </c>
      <c r="F393" s="1" t="s">
        <v>45</v>
      </c>
      <c r="G393" s="1">
        <v>1</v>
      </c>
      <c r="H393" s="1" t="s">
        <v>29</v>
      </c>
      <c r="I393" s="1" t="s">
        <v>42</v>
      </c>
      <c r="J393" s="1" t="s">
        <v>39</v>
      </c>
      <c r="K393" s="1" t="s">
        <v>33</v>
      </c>
      <c r="L393" s="1">
        <v>40</v>
      </c>
      <c r="M393" s="1">
        <v>2</v>
      </c>
      <c r="N393" s="1" t="s">
        <v>47</v>
      </c>
      <c r="O393" s="1">
        <v>2</v>
      </c>
      <c r="P393" s="1">
        <v>2</v>
      </c>
      <c r="Q393" s="1">
        <v>3</v>
      </c>
      <c r="R393" s="1">
        <v>3448</v>
      </c>
      <c r="S393" s="1">
        <v>20</v>
      </c>
      <c r="T393" s="1">
        <v>3</v>
      </c>
      <c r="U393" s="1">
        <v>1</v>
      </c>
      <c r="V393" s="1">
        <v>0</v>
      </c>
      <c r="W393" s="1">
        <v>0</v>
      </c>
      <c r="X393" s="1">
        <v>0</v>
      </c>
    </row>
    <row r="394" spans="1:24">
      <c r="A394" s="1">
        <v>393</v>
      </c>
      <c r="B394" s="1" t="s">
        <v>33</v>
      </c>
      <c r="C394" s="1" t="s">
        <v>25</v>
      </c>
      <c r="D394" s="1" t="s">
        <v>35</v>
      </c>
      <c r="E394" s="1" t="s">
        <v>36</v>
      </c>
      <c r="F394" s="1" t="s">
        <v>45</v>
      </c>
      <c r="G394" s="1">
        <v>1</v>
      </c>
      <c r="H394" s="1" t="s">
        <v>37</v>
      </c>
      <c r="I394" s="1" t="s">
        <v>55</v>
      </c>
      <c r="J394" s="1" t="s">
        <v>39</v>
      </c>
      <c r="K394" s="1" t="s">
        <v>33</v>
      </c>
      <c r="L394" s="1">
        <v>54</v>
      </c>
      <c r="M394" s="1">
        <v>5</v>
      </c>
      <c r="N394" s="1" t="s">
        <v>32</v>
      </c>
      <c r="O394" s="1">
        <v>1</v>
      </c>
      <c r="P394" s="1">
        <v>5</v>
      </c>
      <c r="Q394" s="1">
        <v>1</v>
      </c>
      <c r="R394" s="1">
        <v>19406</v>
      </c>
      <c r="S394" s="1">
        <v>24</v>
      </c>
      <c r="T394" s="1">
        <v>2</v>
      </c>
      <c r="U394" s="1">
        <v>4</v>
      </c>
      <c r="V394" s="1">
        <v>2</v>
      </c>
      <c r="W394" s="1">
        <v>1</v>
      </c>
      <c r="X394" s="1">
        <v>2</v>
      </c>
    </row>
    <row r="395" spans="1:24">
      <c r="A395" s="1">
        <v>394</v>
      </c>
      <c r="B395" s="1" t="s">
        <v>33</v>
      </c>
      <c r="C395" s="1" t="s">
        <v>51</v>
      </c>
      <c r="D395" s="1" t="s">
        <v>43</v>
      </c>
      <c r="E395" s="1" t="s">
        <v>27</v>
      </c>
      <c r="F395" s="1" t="s">
        <v>56</v>
      </c>
      <c r="G395" s="1">
        <v>1</v>
      </c>
      <c r="H395" s="1" t="s">
        <v>29</v>
      </c>
      <c r="I395" s="1" t="s">
        <v>30</v>
      </c>
      <c r="J395" s="1" t="s">
        <v>39</v>
      </c>
      <c r="K395" s="1" t="s">
        <v>33</v>
      </c>
      <c r="L395" s="1">
        <v>34</v>
      </c>
      <c r="M395" s="1">
        <v>4</v>
      </c>
      <c r="N395" s="1" t="s">
        <v>44</v>
      </c>
      <c r="O395" s="1">
        <v>3</v>
      </c>
      <c r="P395" s="1">
        <v>2</v>
      </c>
      <c r="Q395" s="1">
        <v>3</v>
      </c>
      <c r="R395" s="1">
        <v>6538</v>
      </c>
      <c r="S395" s="1">
        <v>6</v>
      </c>
      <c r="T395" s="1">
        <v>3</v>
      </c>
      <c r="U395" s="1">
        <v>3</v>
      </c>
      <c r="V395" s="1">
        <v>2</v>
      </c>
      <c r="W395" s="1">
        <v>1</v>
      </c>
      <c r="X395" s="1">
        <v>2</v>
      </c>
    </row>
    <row r="396" spans="1:24">
      <c r="A396" s="1">
        <v>395</v>
      </c>
      <c r="B396" s="1" t="s">
        <v>33</v>
      </c>
      <c r="C396" s="1" t="s">
        <v>25</v>
      </c>
      <c r="D396" s="1" t="s">
        <v>43</v>
      </c>
      <c r="E396" s="1" t="s">
        <v>36</v>
      </c>
      <c r="F396" s="1" t="s">
        <v>45</v>
      </c>
      <c r="G396" s="1">
        <v>1</v>
      </c>
      <c r="H396" s="1" t="s">
        <v>29</v>
      </c>
      <c r="I396" s="1" t="s">
        <v>49</v>
      </c>
      <c r="J396" s="1" t="s">
        <v>39</v>
      </c>
      <c r="K396" s="1" t="s">
        <v>33</v>
      </c>
      <c r="L396" s="1">
        <v>31</v>
      </c>
      <c r="M396" s="1">
        <v>7</v>
      </c>
      <c r="N396" s="1" t="s">
        <v>32</v>
      </c>
      <c r="O396" s="1">
        <v>2</v>
      </c>
      <c r="P396" s="1">
        <v>2</v>
      </c>
      <c r="Q396" s="1">
        <v>1</v>
      </c>
      <c r="R396" s="1">
        <v>4306</v>
      </c>
      <c r="S396" s="1">
        <v>13</v>
      </c>
      <c r="T396" s="1">
        <v>1</v>
      </c>
      <c r="U396" s="1">
        <v>13</v>
      </c>
      <c r="V396" s="1">
        <v>10</v>
      </c>
      <c r="W396" s="1">
        <v>3</v>
      </c>
      <c r="X396" s="1">
        <v>12</v>
      </c>
    </row>
    <row r="397" spans="1:24">
      <c r="A397" s="1">
        <v>396</v>
      </c>
      <c r="B397" s="1" t="s">
        <v>33</v>
      </c>
      <c r="C397" s="1" t="s">
        <v>34</v>
      </c>
      <c r="D397" s="1" t="s">
        <v>26</v>
      </c>
      <c r="E397" s="1" t="s">
        <v>36</v>
      </c>
      <c r="F397" s="1" t="s">
        <v>45</v>
      </c>
      <c r="G397" s="1">
        <v>1</v>
      </c>
      <c r="H397" s="1" t="s">
        <v>37</v>
      </c>
      <c r="I397" s="1" t="s">
        <v>42</v>
      </c>
      <c r="J397" s="1" t="s">
        <v>39</v>
      </c>
      <c r="K397" s="1" t="s">
        <v>33</v>
      </c>
      <c r="L397" s="1">
        <v>43</v>
      </c>
      <c r="M397" s="1">
        <v>21</v>
      </c>
      <c r="N397" s="1" t="s">
        <v>47</v>
      </c>
      <c r="O397" s="1">
        <v>4</v>
      </c>
      <c r="P397" s="1">
        <v>1</v>
      </c>
      <c r="Q397" s="1">
        <v>4</v>
      </c>
      <c r="R397" s="1">
        <v>2258</v>
      </c>
      <c r="S397" s="1">
        <v>8</v>
      </c>
      <c r="T397" s="1">
        <v>3</v>
      </c>
      <c r="U397" s="1">
        <v>3</v>
      </c>
      <c r="V397" s="1">
        <v>2</v>
      </c>
      <c r="W397" s="1">
        <v>1</v>
      </c>
      <c r="X397" s="1">
        <v>2</v>
      </c>
    </row>
    <row r="398" spans="1:24">
      <c r="A398" s="1">
        <v>397</v>
      </c>
      <c r="B398" s="1" t="s">
        <v>33</v>
      </c>
      <c r="C398" s="1" t="s">
        <v>25</v>
      </c>
      <c r="D398" s="1" t="s">
        <v>26</v>
      </c>
      <c r="E398" s="1" t="s">
        <v>36</v>
      </c>
      <c r="F398" s="1" t="s">
        <v>41</v>
      </c>
      <c r="G398" s="1">
        <v>1</v>
      </c>
      <c r="H398" s="1" t="s">
        <v>29</v>
      </c>
      <c r="I398" s="1" t="s">
        <v>50</v>
      </c>
      <c r="J398" s="1" t="s">
        <v>48</v>
      </c>
      <c r="K398" s="1" t="s">
        <v>24</v>
      </c>
      <c r="L398" s="1">
        <v>43</v>
      </c>
      <c r="M398" s="1">
        <v>8</v>
      </c>
      <c r="N398" s="1" t="s">
        <v>44</v>
      </c>
      <c r="O398" s="1">
        <v>3</v>
      </c>
      <c r="P398" s="1">
        <v>2</v>
      </c>
      <c r="Q398" s="1">
        <v>3</v>
      </c>
      <c r="R398" s="1">
        <v>4522</v>
      </c>
      <c r="S398" s="1">
        <v>8</v>
      </c>
      <c r="T398" s="1">
        <v>3</v>
      </c>
      <c r="U398" s="1">
        <v>5</v>
      </c>
      <c r="V398" s="1">
        <v>2</v>
      </c>
      <c r="W398" s="1">
        <v>0</v>
      </c>
      <c r="X398" s="1">
        <v>2</v>
      </c>
    </row>
    <row r="399" spans="1:24">
      <c r="A399" s="1">
        <v>398</v>
      </c>
      <c r="B399" s="1" t="s">
        <v>33</v>
      </c>
      <c r="C399" s="1" t="s">
        <v>25</v>
      </c>
      <c r="D399" s="1" t="s">
        <v>43</v>
      </c>
      <c r="E399" s="1" t="s">
        <v>27</v>
      </c>
      <c r="F399" s="1" t="s">
        <v>28</v>
      </c>
      <c r="G399" s="1">
        <v>1</v>
      </c>
      <c r="H399" s="1" t="s">
        <v>29</v>
      </c>
      <c r="I399" s="1" t="s">
        <v>30</v>
      </c>
      <c r="J399" s="1" t="s">
        <v>31</v>
      </c>
      <c r="K399" s="1" t="s">
        <v>24</v>
      </c>
      <c r="L399" s="1">
        <v>25</v>
      </c>
      <c r="M399" s="1">
        <v>4</v>
      </c>
      <c r="N399" s="1" t="s">
        <v>32</v>
      </c>
      <c r="O399" s="1">
        <v>2</v>
      </c>
      <c r="P399" s="1">
        <v>2</v>
      </c>
      <c r="Q399" s="1">
        <v>4</v>
      </c>
      <c r="R399" s="1">
        <v>4487</v>
      </c>
      <c r="S399" s="1">
        <v>5</v>
      </c>
      <c r="T399" s="1">
        <v>3</v>
      </c>
      <c r="U399" s="1">
        <v>5</v>
      </c>
      <c r="V399" s="1">
        <v>4</v>
      </c>
      <c r="W399" s="1">
        <v>1</v>
      </c>
      <c r="X399" s="1">
        <v>3</v>
      </c>
    </row>
    <row r="400" spans="1:24">
      <c r="A400" s="1">
        <v>399</v>
      </c>
      <c r="B400" s="1" t="s">
        <v>33</v>
      </c>
      <c r="C400" s="1" t="s">
        <v>51</v>
      </c>
      <c r="D400" s="1" t="s">
        <v>26</v>
      </c>
      <c r="E400" s="1" t="s">
        <v>36</v>
      </c>
      <c r="F400" s="1" t="s">
        <v>45</v>
      </c>
      <c r="G400" s="1">
        <v>1</v>
      </c>
      <c r="H400" s="1" t="s">
        <v>29</v>
      </c>
      <c r="I400" s="1" t="s">
        <v>38</v>
      </c>
      <c r="J400" s="1" t="s">
        <v>39</v>
      </c>
      <c r="K400" s="1" t="s">
        <v>24</v>
      </c>
      <c r="L400" s="1">
        <v>37</v>
      </c>
      <c r="M400" s="1">
        <v>25</v>
      </c>
      <c r="N400" s="1" t="s">
        <v>58</v>
      </c>
      <c r="O400" s="1">
        <v>2</v>
      </c>
      <c r="P400" s="1">
        <v>2</v>
      </c>
      <c r="Q400" s="1">
        <v>3</v>
      </c>
      <c r="R400" s="1">
        <v>4449</v>
      </c>
      <c r="S400" s="1">
        <v>15</v>
      </c>
      <c r="T400" s="1">
        <v>3</v>
      </c>
      <c r="U400" s="1">
        <v>13</v>
      </c>
      <c r="V400" s="1">
        <v>11</v>
      </c>
      <c r="W400" s="1">
        <v>10</v>
      </c>
      <c r="X400" s="1">
        <v>7</v>
      </c>
    </row>
    <row r="401" spans="1:24">
      <c r="A401" s="1">
        <v>400</v>
      </c>
      <c r="B401" s="1" t="s">
        <v>33</v>
      </c>
      <c r="C401" s="1" t="s">
        <v>25</v>
      </c>
      <c r="D401" s="1" t="s">
        <v>43</v>
      </c>
      <c r="E401" s="1" t="s">
        <v>36</v>
      </c>
      <c r="F401" s="1" t="s">
        <v>28</v>
      </c>
      <c r="G401" s="1">
        <v>1</v>
      </c>
      <c r="H401" s="1" t="s">
        <v>37</v>
      </c>
      <c r="I401" s="1" t="s">
        <v>42</v>
      </c>
      <c r="J401" s="1" t="s">
        <v>39</v>
      </c>
      <c r="K401" s="1" t="s">
        <v>33</v>
      </c>
      <c r="L401" s="1">
        <v>31</v>
      </c>
      <c r="M401" s="1">
        <v>1</v>
      </c>
      <c r="N401" s="1" t="s">
        <v>32</v>
      </c>
      <c r="O401" s="1">
        <v>4</v>
      </c>
      <c r="P401" s="1">
        <v>1</v>
      </c>
      <c r="Q401" s="1">
        <v>1</v>
      </c>
      <c r="R401" s="1">
        <v>2218</v>
      </c>
      <c r="S401" s="1">
        <v>4</v>
      </c>
      <c r="T401" s="1">
        <v>3</v>
      </c>
      <c r="U401" s="1">
        <v>4</v>
      </c>
      <c r="V401" s="1">
        <v>2</v>
      </c>
      <c r="W401" s="1">
        <v>3</v>
      </c>
      <c r="X401" s="1">
        <v>2</v>
      </c>
    </row>
    <row r="402" spans="1:24">
      <c r="A402" s="1">
        <v>401</v>
      </c>
      <c r="B402" s="1" t="s">
        <v>33</v>
      </c>
      <c r="C402" s="1" t="s">
        <v>34</v>
      </c>
      <c r="D402" s="1" t="s">
        <v>26</v>
      </c>
      <c r="E402" s="1" t="s">
        <v>36</v>
      </c>
      <c r="F402" s="1" t="s">
        <v>28</v>
      </c>
      <c r="G402" s="1">
        <v>1</v>
      </c>
      <c r="H402" s="1" t="s">
        <v>37</v>
      </c>
      <c r="I402" s="1" t="s">
        <v>53</v>
      </c>
      <c r="J402" s="1" t="s">
        <v>48</v>
      </c>
      <c r="K402" s="1" t="s">
        <v>24</v>
      </c>
      <c r="L402" s="1">
        <v>39</v>
      </c>
      <c r="M402" s="1">
        <v>1</v>
      </c>
      <c r="N402" s="1" t="s">
        <v>40</v>
      </c>
      <c r="O402" s="1">
        <v>2</v>
      </c>
      <c r="P402" s="1">
        <v>5</v>
      </c>
      <c r="Q402" s="1">
        <v>3</v>
      </c>
      <c r="R402" s="1">
        <v>19197</v>
      </c>
      <c r="S402" s="1">
        <v>21</v>
      </c>
      <c r="T402" s="1">
        <v>3</v>
      </c>
      <c r="U402" s="1">
        <v>21</v>
      </c>
      <c r="V402" s="1">
        <v>8</v>
      </c>
      <c r="W402" s="1">
        <v>1</v>
      </c>
      <c r="X402" s="1">
        <v>6</v>
      </c>
    </row>
    <row r="403" spans="1:24">
      <c r="A403" s="1">
        <v>402</v>
      </c>
      <c r="B403" s="1" t="s">
        <v>33</v>
      </c>
      <c r="C403" s="1" t="s">
        <v>34</v>
      </c>
      <c r="D403" s="1" t="s">
        <v>46</v>
      </c>
      <c r="E403" s="1" t="s">
        <v>27</v>
      </c>
      <c r="F403" s="1" t="s">
        <v>28</v>
      </c>
      <c r="G403" s="1">
        <v>1</v>
      </c>
      <c r="H403" s="1" t="s">
        <v>29</v>
      </c>
      <c r="I403" s="1" t="s">
        <v>30</v>
      </c>
      <c r="J403" s="1" t="s">
        <v>39</v>
      </c>
      <c r="K403" s="1" t="s">
        <v>33</v>
      </c>
      <c r="L403" s="1">
        <v>56</v>
      </c>
      <c r="M403" s="1">
        <v>6</v>
      </c>
      <c r="N403" s="1" t="s">
        <v>47</v>
      </c>
      <c r="O403" s="1">
        <v>3</v>
      </c>
      <c r="P403" s="1">
        <v>4</v>
      </c>
      <c r="Q403" s="1">
        <v>1</v>
      </c>
      <c r="R403" s="1">
        <v>13212</v>
      </c>
      <c r="S403" s="1">
        <v>36</v>
      </c>
      <c r="T403" s="1">
        <v>2</v>
      </c>
      <c r="U403" s="1">
        <v>7</v>
      </c>
      <c r="V403" s="1">
        <v>7</v>
      </c>
      <c r="W403" s="1">
        <v>7</v>
      </c>
      <c r="X403" s="1">
        <v>7</v>
      </c>
    </row>
    <row r="404" spans="1:24">
      <c r="A404" s="1">
        <v>403</v>
      </c>
      <c r="B404" s="1" t="s">
        <v>33</v>
      </c>
      <c r="C404" s="1" t="s">
        <v>25</v>
      </c>
      <c r="D404" s="1" t="s">
        <v>43</v>
      </c>
      <c r="E404" s="1" t="s">
        <v>27</v>
      </c>
      <c r="F404" s="1" t="s">
        <v>57</v>
      </c>
      <c r="G404" s="1">
        <v>1</v>
      </c>
      <c r="H404" s="1" t="s">
        <v>29</v>
      </c>
      <c r="I404" s="1" t="s">
        <v>30</v>
      </c>
      <c r="J404" s="1" t="s">
        <v>31</v>
      </c>
      <c r="K404" s="1" t="s">
        <v>33</v>
      </c>
      <c r="L404" s="1">
        <v>30</v>
      </c>
      <c r="M404" s="1">
        <v>12</v>
      </c>
      <c r="N404" s="1" t="s">
        <v>47</v>
      </c>
      <c r="O404" s="1">
        <v>2</v>
      </c>
      <c r="P404" s="1">
        <v>2</v>
      </c>
      <c r="Q404" s="1">
        <v>3</v>
      </c>
      <c r="R404" s="1">
        <v>6577</v>
      </c>
      <c r="S404" s="1">
        <v>6</v>
      </c>
      <c r="T404" s="1">
        <v>3</v>
      </c>
      <c r="U404" s="1">
        <v>5</v>
      </c>
      <c r="V404" s="1">
        <v>4</v>
      </c>
      <c r="W404" s="1">
        <v>4</v>
      </c>
      <c r="X404" s="1">
        <v>4</v>
      </c>
    </row>
    <row r="405" spans="1:24">
      <c r="A405" s="1">
        <v>404</v>
      </c>
      <c r="B405" s="1" t="s">
        <v>33</v>
      </c>
      <c r="C405" s="1" t="s">
        <v>25</v>
      </c>
      <c r="D405" s="1" t="s">
        <v>26</v>
      </c>
      <c r="E405" s="1" t="s">
        <v>27</v>
      </c>
      <c r="F405" s="1" t="s">
        <v>56</v>
      </c>
      <c r="G405" s="1">
        <v>1</v>
      </c>
      <c r="H405" s="1" t="s">
        <v>37</v>
      </c>
      <c r="I405" s="1" t="s">
        <v>30</v>
      </c>
      <c r="J405" s="1" t="s">
        <v>39</v>
      </c>
      <c r="K405" s="1" t="s">
        <v>33</v>
      </c>
      <c r="L405" s="1">
        <v>41</v>
      </c>
      <c r="M405" s="1">
        <v>1</v>
      </c>
      <c r="N405" s="1" t="s">
        <v>47</v>
      </c>
      <c r="O405" s="1">
        <v>2</v>
      </c>
      <c r="P405" s="1">
        <v>3</v>
      </c>
      <c r="Q405" s="1">
        <v>1</v>
      </c>
      <c r="R405" s="1">
        <v>8392</v>
      </c>
      <c r="S405" s="1">
        <v>10</v>
      </c>
      <c r="T405" s="1">
        <v>3</v>
      </c>
      <c r="U405" s="1">
        <v>10</v>
      </c>
      <c r="V405" s="1">
        <v>7</v>
      </c>
      <c r="W405" s="1">
        <v>0</v>
      </c>
      <c r="X405" s="1">
        <v>7</v>
      </c>
    </row>
    <row r="406" spans="1:24">
      <c r="A406" s="1">
        <v>405</v>
      </c>
      <c r="B406" s="1" t="s">
        <v>33</v>
      </c>
      <c r="C406" s="1" t="s">
        <v>25</v>
      </c>
      <c r="D406" s="1" t="s">
        <v>43</v>
      </c>
      <c r="E406" s="1" t="s">
        <v>36</v>
      </c>
      <c r="F406" s="1" t="s">
        <v>45</v>
      </c>
      <c r="G406" s="1">
        <v>1</v>
      </c>
      <c r="H406" s="1" t="s">
        <v>37</v>
      </c>
      <c r="I406" s="1" t="s">
        <v>42</v>
      </c>
      <c r="J406" s="1" t="s">
        <v>48</v>
      </c>
      <c r="K406" s="1" t="s">
        <v>33</v>
      </c>
      <c r="L406" s="1">
        <v>28</v>
      </c>
      <c r="M406" s="1">
        <v>17</v>
      </c>
      <c r="N406" s="1" t="s">
        <v>32</v>
      </c>
      <c r="O406" s="1">
        <v>3</v>
      </c>
      <c r="P406" s="1">
        <v>2</v>
      </c>
      <c r="Q406" s="1">
        <v>1</v>
      </c>
      <c r="R406" s="1">
        <v>4558</v>
      </c>
      <c r="S406" s="1">
        <v>10</v>
      </c>
      <c r="T406" s="1">
        <v>3</v>
      </c>
      <c r="U406" s="1">
        <v>10</v>
      </c>
      <c r="V406" s="1">
        <v>0</v>
      </c>
      <c r="W406" s="1">
        <v>1</v>
      </c>
      <c r="X406" s="1">
        <v>8</v>
      </c>
    </row>
    <row r="407" spans="1:24">
      <c r="A407" s="1">
        <v>406</v>
      </c>
      <c r="B407" s="1" t="s">
        <v>24</v>
      </c>
      <c r="C407" s="1" t="s">
        <v>25</v>
      </c>
      <c r="D407" s="1" t="s">
        <v>43</v>
      </c>
      <c r="E407" s="1" t="s">
        <v>36</v>
      </c>
      <c r="F407" s="1" t="s">
        <v>45</v>
      </c>
      <c r="G407" s="1">
        <v>1</v>
      </c>
      <c r="H407" s="1" t="s">
        <v>37</v>
      </c>
      <c r="I407" s="1" t="s">
        <v>42</v>
      </c>
      <c r="J407" s="1" t="s">
        <v>39</v>
      </c>
      <c r="K407" s="1" t="s">
        <v>33</v>
      </c>
      <c r="L407" s="1">
        <v>25</v>
      </c>
      <c r="M407" s="1">
        <v>3</v>
      </c>
      <c r="N407" s="1" t="s">
        <v>47</v>
      </c>
      <c r="O407" s="1">
        <v>1</v>
      </c>
      <c r="P407" s="1">
        <v>1</v>
      </c>
      <c r="Q407" s="1">
        <v>1</v>
      </c>
      <c r="R407" s="1">
        <v>4031</v>
      </c>
      <c r="S407" s="1">
        <v>6</v>
      </c>
      <c r="T407" s="1">
        <v>3</v>
      </c>
      <c r="U407" s="1">
        <v>2</v>
      </c>
      <c r="V407" s="1">
        <v>2</v>
      </c>
      <c r="W407" s="1">
        <v>0</v>
      </c>
      <c r="X407" s="1">
        <v>2</v>
      </c>
    </row>
    <row r="408" spans="1:24">
      <c r="A408" s="1">
        <v>407</v>
      </c>
      <c r="B408" s="1" t="s">
        <v>33</v>
      </c>
      <c r="C408" s="1" t="s">
        <v>25</v>
      </c>
      <c r="D408" s="1" t="s">
        <v>35</v>
      </c>
      <c r="E408" s="1" t="s">
        <v>36</v>
      </c>
      <c r="F408" s="1" t="s">
        <v>45</v>
      </c>
      <c r="G408" s="1">
        <v>1</v>
      </c>
      <c r="H408" s="1" t="s">
        <v>37</v>
      </c>
      <c r="I408" s="1" t="s">
        <v>49</v>
      </c>
      <c r="J408" s="1" t="s">
        <v>39</v>
      </c>
      <c r="K408" s="1" t="s">
        <v>24</v>
      </c>
      <c r="L408" s="1">
        <v>52</v>
      </c>
      <c r="M408" s="1">
        <v>3</v>
      </c>
      <c r="N408" s="1" t="s">
        <v>47</v>
      </c>
      <c r="O408" s="1">
        <v>4</v>
      </c>
      <c r="P408" s="1">
        <v>3</v>
      </c>
      <c r="Q408" s="1">
        <v>3</v>
      </c>
      <c r="R408" s="1">
        <v>7969</v>
      </c>
      <c r="S408" s="1">
        <v>28</v>
      </c>
      <c r="T408" s="1">
        <v>3</v>
      </c>
      <c r="U408" s="1">
        <v>5</v>
      </c>
      <c r="V408" s="1">
        <v>4</v>
      </c>
      <c r="W408" s="1">
        <v>0</v>
      </c>
      <c r="X408" s="1">
        <v>4</v>
      </c>
    </row>
    <row r="409" spans="1:24">
      <c r="A409" s="1">
        <v>408</v>
      </c>
      <c r="B409" s="1" t="s">
        <v>33</v>
      </c>
      <c r="C409" s="1" t="s">
        <v>25</v>
      </c>
      <c r="D409" s="1" t="s">
        <v>35</v>
      </c>
      <c r="E409" s="1" t="s">
        <v>36</v>
      </c>
      <c r="F409" s="1" t="s">
        <v>28</v>
      </c>
      <c r="G409" s="1">
        <v>1</v>
      </c>
      <c r="H409" s="1" t="s">
        <v>37</v>
      </c>
      <c r="I409" s="1" t="s">
        <v>38</v>
      </c>
      <c r="J409" s="1" t="s">
        <v>39</v>
      </c>
      <c r="K409" s="1" t="s">
        <v>33</v>
      </c>
      <c r="L409" s="1">
        <v>45</v>
      </c>
      <c r="M409" s="1">
        <v>10</v>
      </c>
      <c r="N409" s="1" t="s">
        <v>32</v>
      </c>
      <c r="O409" s="1">
        <v>1</v>
      </c>
      <c r="P409" s="1">
        <v>1</v>
      </c>
      <c r="Q409" s="1">
        <v>4</v>
      </c>
      <c r="R409" s="1">
        <v>2654</v>
      </c>
      <c r="S409" s="1">
        <v>8</v>
      </c>
      <c r="T409" s="1">
        <v>2</v>
      </c>
      <c r="U409" s="1">
        <v>2</v>
      </c>
      <c r="V409" s="1">
        <v>2</v>
      </c>
      <c r="W409" s="1">
        <v>0</v>
      </c>
      <c r="X409" s="1">
        <v>2</v>
      </c>
    </row>
    <row r="410" spans="1:24">
      <c r="A410" s="1">
        <v>409</v>
      </c>
      <c r="B410" s="1" t="s">
        <v>33</v>
      </c>
      <c r="C410" s="1" t="s">
        <v>25</v>
      </c>
      <c r="D410" s="1" t="s">
        <v>35</v>
      </c>
      <c r="E410" s="1" t="s">
        <v>36</v>
      </c>
      <c r="F410" s="1" t="s">
        <v>28</v>
      </c>
      <c r="G410" s="1">
        <v>1</v>
      </c>
      <c r="H410" s="1" t="s">
        <v>29</v>
      </c>
      <c r="I410" s="1" t="s">
        <v>53</v>
      </c>
      <c r="J410" s="1" t="s">
        <v>39</v>
      </c>
      <c r="K410" s="1" t="s">
        <v>33</v>
      </c>
      <c r="L410" s="1">
        <v>52</v>
      </c>
      <c r="M410" s="1">
        <v>4</v>
      </c>
      <c r="N410" s="1" t="s">
        <v>32</v>
      </c>
      <c r="O410" s="1">
        <v>4</v>
      </c>
      <c r="P410" s="1">
        <v>4</v>
      </c>
      <c r="Q410" s="1">
        <v>4</v>
      </c>
      <c r="R410" s="1">
        <v>16555</v>
      </c>
      <c r="S410" s="1">
        <v>31</v>
      </c>
      <c r="T410" s="1">
        <v>1</v>
      </c>
      <c r="U410" s="1">
        <v>5</v>
      </c>
      <c r="V410" s="1">
        <v>2</v>
      </c>
      <c r="W410" s="1">
        <v>1</v>
      </c>
      <c r="X410" s="1">
        <v>4</v>
      </c>
    </row>
    <row r="411" spans="1:24">
      <c r="A411" s="1">
        <v>410</v>
      </c>
      <c r="B411" s="1" t="s">
        <v>33</v>
      </c>
      <c r="C411" s="1" t="s">
        <v>34</v>
      </c>
      <c r="D411" s="1" t="s">
        <v>26</v>
      </c>
      <c r="E411" s="1" t="s">
        <v>36</v>
      </c>
      <c r="F411" s="1" t="s">
        <v>28</v>
      </c>
      <c r="G411" s="1">
        <v>1</v>
      </c>
      <c r="H411" s="1" t="s">
        <v>29</v>
      </c>
      <c r="I411" s="1" t="s">
        <v>38</v>
      </c>
      <c r="J411" s="1" t="s">
        <v>48</v>
      </c>
      <c r="K411" s="1" t="s">
        <v>33</v>
      </c>
      <c r="L411" s="1">
        <v>42</v>
      </c>
      <c r="M411" s="1">
        <v>29</v>
      </c>
      <c r="N411" s="1" t="s">
        <v>32</v>
      </c>
      <c r="O411" s="1">
        <v>1</v>
      </c>
      <c r="P411" s="1">
        <v>2</v>
      </c>
      <c r="Q411" s="1">
        <v>3</v>
      </c>
      <c r="R411" s="1">
        <v>4556</v>
      </c>
      <c r="S411" s="1">
        <v>19</v>
      </c>
      <c r="T411" s="1">
        <v>3</v>
      </c>
      <c r="U411" s="1">
        <v>5</v>
      </c>
      <c r="V411" s="1">
        <v>4</v>
      </c>
      <c r="W411" s="1">
        <v>0</v>
      </c>
      <c r="X411" s="1">
        <v>2</v>
      </c>
    </row>
    <row r="412" spans="1:24">
      <c r="A412" s="1">
        <v>411</v>
      </c>
      <c r="B412" s="1" t="s">
        <v>33</v>
      </c>
      <c r="C412" s="1" t="s">
        <v>25</v>
      </c>
      <c r="D412" s="1" t="s">
        <v>43</v>
      </c>
      <c r="E412" s="1" t="s">
        <v>36</v>
      </c>
      <c r="F412" s="1" t="s">
        <v>28</v>
      </c>
      <c r="G412" s="1">
        <v>1</v>
      </c>
      <c r="H412" s="1" t="s">
        <v>29</v>
      </c>
      <c r="I412" s="1" t="s">
        <v>49</v>
      </c>
      <c r="J412" s="1" t="s">
        <v>31</v>
      </c>
      <c r="K412" s="1" t="s">
        <v>33</v>
      </c>
      <c r="L412" s="1">
        <v>30</v>
      </c>
      <c r="M412" s="1">
        <v>2</v>
      </c>
      <c r="N412" s="1" t="s">
        <v>47</v>
      </c>
      <c r="O412" s="1">
        <v>3</v>
      </c>
      <c r="P412" s="1">
        <v>2</v>
      </c>
      <c r="Q412" s="1">
        <v>4</v>
      </c>
      <c r="R412" s="1">
        <v>6091</v>
      </c>
      <c r="S412" s="1">
        <v>11</v>
      </c>
      <c r="T412" s="1">
        <v>3</v>
      </c>
      <c r="U412" s="1">
        <v>5</v>
      </c>
      <c r="V412" s="1">
        <v>4</v>
      </c>
      <c r="W412" s="1">
        <v>0</v>
      </c>
      <c r="X412" s="1">
        <v>2</v>
      </c>
    </row>
    <row r="413" spans="1:24">
      <c r="A413" s="1">
        <v>412</v>
      </c>
      <c r="B413" s="1" t="s">
        <v>33</v>
      </c>
      <c r="C413" s="1" t="s">
        <v>25</v>
      </c>
      <c r="D413" s="1" t="s">
        <v>46</v>
      </c>
      <c r="E413" s="1" t="s">
        <v>36</v>
      </c>
      <c r="F413" s="1" t="s">
        <v>28</v>
      </c>
      <c r="G413" s="1">
        <v>1</v>
      </c>
      <c r="H413" s="1" t="s">
        <v>29</v>
      </c>
      <c r="I413" s="1" t="s">
        <v>53</v>
      </c>
      <c r="J413" s="1" t="s">
        <v>39</v>
      </c>
      <c r="K413" s="1" t="s">
        <v>33</v>
      </c>
      <c r="L413" s="1">
        <v>60</v>
      </c>
      <c r="M413" s="1">
        <v>7</v>
      </c>
      <c r="N413" s="1" t="s">
        <v>47</v>
      </c>
      <c r="O413" s="1">
        <v>1</v>
      </c>
      <c r="P413" s="1">
        <v>5</v>
      </c>
      <c r="Q413" s="1">
        <v>1</v>
      </c>
      <c r="R413" s="1">
        <v>19566</v>
      </c>
      <c r="S413" s="1">
        <v>33</v>
      </c>
      <c r="T413" s="1">
        <v>1</v>
      </c>
      <c r="U413" s="1">
        <v>29</v>
      </c>
      <c r="V413" s="1">
        <v>8</v>
      </c>
      <c r="W413" s="1">
        <v>11</v>
      </c>
      <c r="X413" s="1">
        <v>10</v>
      </c>
    </row>
    <row r="414" spans="1:24">
      <c r="A414" s="1">
        <v>413</v>
      </c>
      <c r="B414" s="1" t="s">
        <v>33</v>
      </c>
      <c r="C414" s="1" t="s">
        <v>25</v>
      </c>
      <c r="D414" s="1" t="s">
        <v>35</v>
      </c>
      <c r="E414" s="1" t="s">
        <v>36</v>
      </c>
      <c r="F414" s="1" t="s">
        <v>45</v>
      </c>
      <c r="G414" s="1">
        <v>1</v>
      </c>
      <c r="H414" s="1" t="s">
        <v>29</v>
      </c>
      <c r="I414" s="1" t="s">
        <v>49</v>
      </c>
      <c r="J414" s="1" t="s">
        <v>48</v>
      </c>
      <c r="K414" s="1" t="s">
        <v>33</v>
      </c>
      <c r="L414" s="1">
        <v>46</v>
      </c>
      <c r="M414" s="1">
        <v>18</v>
      </c>
      <c r="N414" s="1" t="s">
        <v>47</v>
      </c>
      <c r="O414" s="1">
        <v>3</v>
      </c>
      <c r="P414" s="1">
        <v>2</v>
      </c>
      <c r="Q414" s="1">
        <v>3</v>
      </c>
      <c r="R414" s="1">
        <v>4810</v>
      </c>
      <c r="S414" s="1">
        <v>19</v>
      </c>
      <c r="T414" s="1">
        <v>2</v>
      </c>
      <c r="U414" s="1">
        <v>10</v>
      </c>
      <c r="V414" s="1">
        <v>7</v>
      </c>
      <c r="W414" s="1">
        <v>0</v>
      </c>
      <c r="X414" s="1">
        <v>8</v>
      </c>
    </row>
    <row r="415" spans="1:24">
      <c r="A415" s="1">
        <v>414</v>
      </c>
      <c r="B415" s="1" t="s">
        <v>33</v>
      </c>
      <c r="C415" s="1" t="s">
        <v>34</v>
      </c>
      <c r="D415" s="1" t="s">
        <v>26</v>
      </c>
      <c r="E415" s="1" t="s">
        <v>36</v>
      </c>
      <c r="F415" s="1" t="s">
        <v>57</v>
      </c>
      <c r="G415" s="1">
        <v>1</v>
      </c>
      <c r="H415" s="1" t="s">
        <v>29</v>
      </c>
      <c r="I415" s="1" t="s">
        <v>50</v>
      </c>
      <c r="J415" s="1" t="s">
        <v>39</v>
      </c>
      <c r="K415" s="1" t="s">
        <v>33</v>
      </c>
      <c r="L415" s="1">
        <v>42</v>
      </c>
      <c r="M415" s="1">
        <v>28</v>
      </c>
      <c r="N415" s="1" t="s">
        <v>44</v>
      </c>
      <c r="O415" s="1">
        <v>4</v>
      </c>
      <c r="P415" s="1">
        <v>2</v>
      </c>
      <c r="Q415" s="1">
        <v>4</v>
      </c>
      <c r="R415" s="1">
        <v>4523</v>
      </c>
      <c r="S415" s="1">
        <v>7</v>
      </c>
      <c r="T415" s="1">
        <v>4</v>
      </c>
      <c r="U415" s="1">
        <v>6</v>
      </c>
      <c r="V415" s="1">
        <v>5</v>
      </c>
      <c r="W415" s="1">
        <v>0</v>
      </c>
      <c r="X415" s="1">
        <v>4</v>
      </c>
    </row>
    <row r="416" spans="1:24">
      <c r="A416" s="1">
        <v>415</v>
      </c>
      <c r="B416" s="1" t="s">
        <v>24</v>
      </c>
      <c r="C416" s="1" t="s">
        <v>25</v>
      </c>
      <c r="D416" s="1" t="s">
        <v>52</v>
      </c>
      <c r="E416" s="1" t="s">
        <v>27</v>
      </c>
      <c r="F416" s="1" t="s">
        <v>57</v>
      </c>
      <c r="G416" s="1">
        <v>1</v>
      </c>
      <c r="H416" s="1" t="s">
        <v>29</v>
      </c>
      <c r="I416" s="1" t="s">
        <v>54</v>
      </c>
      <c r="J416" s="1" t="s">
        <v>31</v>
      </c>
      <c r="K416" s="1" t="s">
        <v>24</v>
      </c>
      <c r="L416" s="1">
        <v>24</v>
      </c>
      <c r="M416" s="1">
        <v>1</v>
      </c>
      <c r="N416" s="1" t="s">
        <v>40</v>
      </c>
      <c r="O416" s="1">
        <v>1</v>
      </c>
      <c r="P416" s="1">
        <v>1</v>
      </c>
      <c r="Q416" s="1">
        <v>2</v>
      </c>
      <c r="R416" s="1">
        <v>3202</v>
      </c>
      <c r="S416" s="1">
        <v>6</v>
      </c>
      <c r="T416" s="1">
        <v>3</v>
      </c>
      <c r="U416" s="1">
        <v>5</v>
      </c>
      <c r="V416" s="1">
        <v>3</v>
      </c>
      <c r="W416" s="1">
        <v>1</v>
      </c>
      <c r="X416" s="1">
        <v>4</v>
      </c>
    </row>
    <row r="417" spans="1:24">
      <c r="A417" s="1">
        <v>416</v>
      </c>
      <c r="B417" s="1" t="s">
        <v>24</v>
      </c>
      <c r="C417" s="1" t="s">
        <v>34</v>
      </c>
      <c r="D417" s="1" t="s">
        <v>43</v>
      </c>
      <c r="E417" s="1" t="s">
        <v>27</v>
      </c>
      <c r="F417" s="1" t="s">
        <v>56</v>
      </c>
      <c r="G417" s="1">
        <v>1</v>
      </c>
      <c r="H417" s="1" t="s">
        <v>29</v>
      </c>
      <c r="I417" s="1" t="s">
        <v>54</v>
      </c>
      <c r="J417" s="1" t="s">
        <v>48</v>
      </c>
      <c r="K417" s="1" t="s">
        <v>33</v>
      </c>
      <c r="L417" s="1">
        <v>34</v>
      </c>
      <c r="M417" s="1">
        <v>6</v>
      </c>
      <c r="N417" s="1" t="s">
        <v>32</v>
      </c>
      <c r="O417" s="1">
        <v>4</v>
      </c>
      <c r="P417" s="1">
        <v>1</v>
      </c>
      <c r="Q417" s="1">
        <v>3</v>
      </c>
      <c r="R417" s="1">
        <v>2351</v>
      </c>
      <c r="S417" s="1">
        <v>3</v>
      </c>
      <c r="T417" s="1">
        <v>2</v>
      </c>
      <c r="U417" s="1">
        <v>2</v>
      </c>
      <c r="V417" s="1">
        <v>2</v>
      </c>
      <c r="W417" s="1">
        <v>1</v>
      </c>
      <c r="X417" s="1">
        <v>0</v>
      </c>
    </row>
    <row r="418" spans="1:24">
      <c r="A418" s="1">
        <v>417</v>
      </c>
      <c r="B418" s="1" t="s">
        <v>33</v>
      </c>
      <c r="C418" s="1" t="s">
        <v>34</v>
      </c>
      <c r="D418" s="1" t="s">
        <v>26</v>
      </c>
      <c r="E418" s="1" t="s">
        <v>36</v>
      </c>
      <c r="F418" s="1" t="s">
        <v>28</v>
      </c>
      <c r="G418" s="1">
        <v>1</v>
      </c>
      <c r="H418" s="1" t="s">
        <v>37</v>
      </c>
      <c r="I418" s="1" t="s">
        <v>42</v>
      </c>
      <c r="J418" s="1" t="s">
        <v>39</v>
      </c>
      <c r="K418" s="1" t="s">
        <v>24</v>
      </c>
      <c r="L418" s="1">
        <v>38</v>
      </c>
      <c r="M418" s="1">
        <v>2</v>
      </c>
      <c r="N418" s="1" t="s">
        <v>32</v>
      </c>
      <c r="O418" s="1">
        <v>4</v>
      </c>
      <c r="P418" s="1">
        <v>1</v>
      </c>
      <c r="Q418" s="1">
        <v>4</v>
      </c>
      <c r="R418" s="1">
        <v>1702</v>
      </c>
      <c r="S418" s="1">
        <v>1</v>
      </c>
      <c r="T418" s="1">
        <v>3</v>
      </c>
      <c r="U418" s="1">
        <v>1</v>
      </c>
      <c r="V418" s="1">
        <v>0</v>
      </c>
      <c r="W418" s="1">
        <v>0</v>
      </c>
      <c r="X418" s="1">
        <v>0</v>
      </c>
    </row>
    <row r="419" spans="1:24">
      <c r="A419" s="1">
        <v>418</v>
      </c>
      <c r="B419" s="1" t="s">
        <v>33</v>
      </c>
      <c r="C419" s="1" t="s">
        <v>25</v>
      </c>
      <c r="D419" s="1" t="s">
        <v>26</v>
      </c>
      <c r="E419" s="1" t="s">
        <v>27</v>
      </c>
      <c r="F419" s="1" t="s">
        <v>28</v>
      </c>
      <c r="G419" s="1">
        <v>1</v>
      </c>
      <c r="H419" s="1" t="s">
        <v>29</v>
      </c>
      <c r="I419" s="1" t="s">
        <v>53</v>
      </c>
      <c r="J419" s="1" t="s">
        <v>39</v>
      </c>
      <c r="K419" s="1" t="s">
        <v>33</v>
      </c>
      <c r="L419" s="1">
        <v>40</v>
      </c>
      <c r="M419" s="1">
        <v>2</v>
      </c>
      <c r="N419" s="1" t="s">
        <v>44</v>
      </c>
      <c r="O419" s="1">
        <v>3</v>
      </c>
      <c r="P419" s="1">
        <v>5</v>
      </c>
      <c r="Q419" s="1">
        <v>3</v>
      </c>
      <c r="R419" s="1">
        <v>18041</v>
      </c>
      <c r="S419" s="1">
        <v>21</v>
      </c>
      <c r="T419" s="1">
        <v>3</v>
      </c>
      <c r="U419" s="1">
        <v>20</v>
      </c>
      <c r="V419" s="1">
        <v>15</v>
      </c>
      <c r="W419" s="1">
        <v>1</v>
      </c>
      <c r="X419" s="1">
        <v>12</v>
      </c>
    </row>
    <row r="420" spans="1:24">
      <c r="A420" s="1">
        <v>419</v>
      </c>
      <c r="B420" s="1" t="s">
        <v>33</v>
      </c>
      <c r="C420" s="1" t="s">
        <v>25</v>
      </c>
      <c r="D420" s="1" t="s">
        <v>43</v>
      </c>
      <c r="E420" s="1" t="s">
        <v>36</v>
      </c>
      <c r="F420" s="1" t="s">
        <v>28</v>
      </c>
      <c r="G420" s="1">
        <v>1</v>
      </c>
      <c r="H420" s="1" t="s">
        <v>29</v>
      </c>
      <c r="I420" s="1" t="s">
        <v>38</v>
      </c>
      <c r="J420" s="1" t="s">
        <v>48</v>
      </c>
      <c r="K420" s="1" t="s">
        <v>33</v>
      </c>
      <c r="L420" s="1">
        <v>26</v>
      </c>
      <c r="M420" s="1">
        <v>23</v>
      </c>
      <c r="N420" s="1" t="s">
        <v>47</v>
      </c>
      <c r="O420" s="1">
        <v>1</v>
      </c>
      <c r="P420" s="1">
        <v>1</v>
      </c>
      <c r="Q420" s="1">
        <v>4</v>
      </c>
      <c r="R420" s="1">
        <v>2886</v>
      </c>
      <c r="S420" s="1">
        <v>3</v>
      </c>
      <c r="T420" s="1">
        <v>1</v>
      </c>
      <c r="U420" s="1">
        <v>3</v>
      </c>
      <c r="V420" s="1">
        <v>2</v>
      </c>
      <c r="W420" s="1">
        <v>0</v>
      </c>
      <c r="X420" s="1">
        <v>2</v>
      </c>
    </row>
    <row r="421" spans="1:24">
      <c r="A421" s="1">
        <v>420</v>
      </c>
      <c r="B421" s="1" t="s">
        <v>33</v>
      </c>
      <c r="C421" s="1" t="s">
        <v>51</v>
      </c>
      <c r="D421" s="1" t="s">
        <v>43</v>
      </c>
      <c r="E421" s="1" t="s">
        <v>36</v>
      </c>
      <c r="F421" s="1" t="s">
        <v>28</v>
      </c>
      <c r="G421" s="1">
        <v>1</v>
      </c>
      <c r="H421" s="1" t="s">
        <v>37</v>
      </c>
      <c r="I421" s="1" t="s">
        <v>42</v>
      </c>
      <c r="J421" s="1" t="s">
        <v>39</v>
      </c>
      <c r="K421" s="1" t="s">
        <v>33</v>
      </c>
      <c r="L421" s="1">
        <v>30</v>
      </c>
      <c r="M421" s="1">
        <v>3</v>
      </c>
      <c r="N421" s="1" t="s">
        <v>47</v>
      </c>
      <c r="O421" s="1">
        <v>3</v>
      </c>
      <c r="P421" s="1">
        <v>1</v>
      </c>
      <c r="Q421" s="1">
        <v>4</v>
      </c>
      <c r="R421" s="1">
        <v>2097</v>
      </c>
      <c r="S421" s="1">
        <v>9</v>
      </c>
      <c r="T421" s="1">
        <v>1</v>
      </c>
      <c r="U421" s="1">
        <v>5</v>
      </c>
      <c r="V421" s="1">
        <v>3</v>
      </c>
      <c r="W421" s="1">
        <v>1</v>
      </c>
      <c r="X421" s="1">
        <v>4</v>
      </c>
    </row>
    <row r="422" spans="1:24">
      <c r="A422" s="1">
        <v>421</v>
      </c>
      <c r="B422" s="1" t="s">
        <v>33</v>
      </c>
      <c r="C422" s="1" t="s">
        <v>25</v>
      </c>
      <c r="D422" s="1" t="s">
        <v>43</v>
      </c>
      <c r="E422" s="1" t="s">
        <v>36</v>
      </c>
      <c r="F422" s="1" t="s">
        <v>45</v>
      </c>
      <c r="G422" s="1">
        <v>1</v>
      </c>
      <c r="H422" s="1" t="s">
        <v>37</v>
      </c>
      <c r="I422" s="1" t="s">
        <v>55</v>
      </c>
      <c r="J422" s="1" t="s">
        <v>39</v>
      </c>
      <c r="K422" s="1" t="s">
        <v>33</v>
      </c>
      <c r="L422" s="1">
        <v>29</v>
      </c>
      <c r="M422" s="1">
        <v>3</v>
      </c>
      <c r="N422" s="1" t="s">
        <v>44</v>
      </c>
      <c r="O422" s="1">
        <v>2</v>
      </c>
      <c r="P422" s="1">
        <v>3</v>
      </c>
      <c r="Q422" s="1">
        <v>3</v>
      </c>
      <c r="R422" s="1">
        <v>11935</v>
      </c>
      <c r="S422" s="1">
        <v>10</v>
      </c>
      <c r="T422" s="1">
        <v>3</v>
      </c>
      <c r="U422" s="1">
        <v>10</v>
      </c>
      <c r="V422" s="1">
        <v>2</v>
      </c>
      <c r="W422" s="1">
        <v>0</v>
      </c>
      <c r="X422" s="1">
        <v>7</v>
      </c>
    </row>
    <row r="423" spans="1:24">
      <c r="A423" s="1">
        <v>422</v>
      </c>
      <c r="B423" s="1" t="s">
        <v>24</v>
      </c>
      <c r="C423" s="1" t="s">
        <v>25</v>
      </c>
      <c r="D423" s="1" t="s">
        <v>43</v>
      </c>
      <c r="E423" s="1" t="s">
        <v>36</v>
      </c>
      <c r="F423" s="1" t="s">
        <v>57</v>
      </c>
      <c r="G423" s="1">
        <v>1</v>
      </c>
      <c r="H423" s="1" t="s">
        <v>29</v>
      </c>
      <c r="I423" s="1" t="s">
        <v>38</v>
      </c>
      <c r="J423" s="1" t="s">
        <v>39</v>
      </c>
      <c r="K423" s="1" t="s">
        <v>33</v>
      </c>
      <c r="L423" s="1">
        <v>29</v>
      </c>
      <c r="M423" s="1">
        <v>25</v>
      </c>
      <c r="N423" s="1" t="s">
        <v>58</v>
      </c>
      <c r="O423" s="1">
        <v>3</v>
      </c>
      <c r="P423" s="1">
        <v>1</v>
      </c>
      <c r="Q423" s="1">
        <v>2</v>
      </c>
      <c r="R423" s="1">
        <v>2546</v>
      </c>
      <c r="S423" s="1">
        <v>6</v>
      </c>
      <c r="T423" s="1">
        <v>4</v>
      </c>
      <c r="U423" s="1">
        <v>2</v>
      </c>
      <c r="V423" s="1">
        <v>2</v>
      </c>
      <c r="W423" s="1">
        <v>1</v>
      </c>
      <c r="X423" s="1">
        <v>1</v>
      </c>
    </row>
    <row r="424" spans="1:24">
      <c r="A424" s="1">
        <v>423</v>
      </c>
      <c r="B424" s="1" t="s">
        <v>24</v>
      </c>
      <c r="C424" s="1" t="s">
        <v>25</v>
      </c>
      <c r="D424" s="1" t="s">
        <v>52</v>
      </c>
      <c r="E424" s="1" t="s">
        <v>59</v>
      </c>
      <c r="F424" s="1" t="s">
        <v>57</v>
      </c>
      <c r="G424" s="1">
        <v>1</v>
      </c>
      <c r="H424" s="1" t="s">
        <v>37</v>
      </c>
      <c r="I424" s="1" t="s">
        <v>60</v>
      </c>
      <c r="J424" s="1" t="s">
        <v>31</v>
      </c>
      <c r="K424" s="1" t="s">
        <v>33</v>
      </c>
      <c r="L424" s="1">
        <v>19</v>
      </c>
      <c r="M424" s="1">
        <v>2</v>
      </c>
      <c r="N424" s="1" t="s">
        <v>32</v>
      </c>
      <c r="O424" s="1">
        <v>1</v>
      </c>
      <c r="P424" s="1">
        <v>1</v>
      </c>
      <c r="Q424" s="1">
        <v>4</v>
      </c>
      <c r="R424" s="1">
        <v>2564</v>
      </c>
      <c r="S424" s="1">
        <v>1</v>
      </c>
      <c r="T424" s="1">
        <v>4</v>
      </c>
      <c r="U424" s="1">
        <v>1</v>
      </c>
      <c r="V424" s="1">
        <v>0</v>
      </c>
      <c r="W424" s="1">
        <v>0</v>
      </c>
      <c r="X424" s="1">
        <v>0</v>
      </c>
    </row>
    <row r="425" spans="1:24">
      <c r="A425" s="1">
        <v>424</v>
      </c>
      <c r="B425" s="1" t="s">
        <v>33</v>
      </c>
      <c r="C425" s="1" t="s">
        <v>51</v>
      </c>
      <c r="D425" s="1" t="s">
        <v>43</v>
      </c>
      <c r="E425" s="1" t="s">
        <v>27</v>
      </c>
      <c r="F425" s="1" t="s">
        <v>41</v>
      </c>
      <c r="G425" s="1">
        <v>1</v>
      </c>
      <c r="H425" s="1" t="s">
        <v>29</v>
      </c>
      <c r="I425" s="1" t="s">
        <v>30</v>
      </c>
      <c r="J425" s="1" t="s">
        <v>39</v>
      </c>
      <c r="K425" s="1" t="s">
        <v>33</v>
      </c>
      <c r="L425" s="1">
        <v>30</v>
      </c>
      <c r="M425" s="1">
        <v>22</v>
      </c>
      <c r="N425" s="1" t="s">
        <v>44</v>
      </c>
      <c r="O425" s="1">
        <v>3</v>
      </c>
      <c r="P425" s="1">
        <v>3</v>
      </c>
      <c r="Q425" s="1">
        <v>1</v>
      </c>
      <c r="R425" s="1">
        <v>8412</v>
      </c>
      <c r="S425" s="1">
        <v>10</v>
      </c>
      <c r="T425" s="1">
        <v>3</v>
      </c>
      <c r="U425" s="1">
        <v>9</v>
      </c>
      <c r="V425" s="1">
        <v>8</v>
      </c>
      <c r="W425" s="1">
        <v>7</v>
      </c>
      <c r="X425" s="1">
        <v>8</v>
      </c>
    </row>
    <row r="426" spans="1:24">
      <c r="A426" s="1">
        <v>425</v>
      </c>
      <c r="B426" s="1" t="s">
        <v>33</v>
      </c>
      <c r="C426" s="1" t="s">
        <v>25</v>
      </c>
      <c r="D426" s="1" t="s">
        <v>46</v>
      </c>
      <c r="E426" s="1" t="s">
        <v>27</v>
      </c>
      <c r="F426" s="1" t="s">
        <v>56</v>
      </c>
      <c r="G426" s="1">
        <v>1</v>
      </c>
      <c r="H426" s="1" t="s">
        <v>37</v>
      </c>
      <c r="I426" s="1" t="s">
        <v>53</v>
      </c>
      <c r="J426" s="1" t="s">
        <v>48</v>
      </c>
      <c r="K426" s="1" t="s">
        <v>33</v>
      </c>
      <c r="L426" s="1">
        <v>57</v>
      </c>
      <c r="M426" s="1">
        <v>29</v>
      </c>
      <c r="N426" s="1" t="s">
        <v>47</v>
      </c>
      <c r="O426" s="1">
        <v>1</v>
      </c>
      <c r="P426" s="1">
        <v>4</v>
      </c>
      <c r="Q426" s="1">
        <v>4</v>
      </c>
      <c r="R426" s="1">
        <v>14118</v>
      </c>
      <c r="S426" s="1">
        <v>32</v>
      </c>
      <c r="T426" s="1">
        <v>2</v>
      </c>
      <c r="U426" s="1">
        <v>1</v>
      </c>
      <c r="V426" s="1">
        <v>0</v>
      </c>
      <c r="W426" s="1">
        <v>0</v>
      </c>
      <c r="X426" s="1">
        <v>0</v>
      </c>
    </row>
    <row r="427" spans="1:24">
      <c r="A427" s="1">
        <v>426</v>
      </c>
      <c r="B427" s="1" t="s">
        <v>33</v>
      </c>
      <c r="C427" s="1" t="s">
        <v>25</v>
      </c>
      <c r="D427" s="1" t="s">
        <v>35</v>
      </c>
      <c r="E427" s="1" t="s">
        <v>36</v>
      </c>
      <c r="F427" s="1" t="s">
        <v>28</v>
      </c>
      <c r="G427" s="1">
        <v>1</v>
      </c>
      <c r="H427" s="1" t="s">
        <v>37</v>
      </c>
      <c r="I427" s="1" t="s">
        <v>53</v>
      </c>
      <c r="J427" s="1" t="s">
        <v>39</v>
      </c>
      <c r="K427" s="1" t="s">
        <v>33</v>
      </c>
      <c r="L427" s="1">
        <v>50</v>
      </c>
      <c r="M427" s="1">
        <v>29</v>
      </c>
      <c r="N427" s="1" t="s">
        <v>44</v>
      </c>
      <c r="O427" s="1">
        <v>2</v>
      </c>
      <c r="P427" s="1">
        <v>4</v>
      </c>
      <c r="Q427" s="1">
        <v>3</v>
      </c>
      <c r="R427" s="1">
        <v>17046</v>
      </c>
      <c r="S427" s="1">
        <v>28</v>
      </c>
      <c r="T427" s="1">
        <v>3</v>
      </c>
      <c r="U427" s="1">
        <v>27</v>
      </c>
      <c r="V427" s="1">
        <v>10</v>
      </c>
      <c r="W427" s="1">
        <v>15</v>
      </c>
      <c r="X427" s="1">
        <v>7</v>
      </c>
    </row>
    <row r="428" spans="1:24">
      <c r="A428" s="1">
        <v>427</v>
      </c>
      <c r="B428" s="1" t="s">
        <v>33</v>
      </c>
      <c r="C428" s="1" t="s">
        <v>51</v>
      </c>
      <c r="D428" s="1" t="s">
        <v>43</v>
      </c>
      <c r="E428" s="1" t="s">
        <v>36</v>
      </c>
      <c r="F428" s="1" t="s">
        <v>45</v>
      </c>
      <c r="G428" s="1">
        <v>1</v>
      </c>
      <c r="H428" s="1" t="s">
        <v>29</v>
      </c>
      <c r="I428" s="1" t="s">
        <v>42</v>
      </c>
      <c r="J428" s="1" t="s">
        <v>31</v>
      </c>
      <c r="K428" s="1" t="s">
        <v>33</v>
      </c>
      <c r="L428" s="1">
        <v>30</v>
      </c>
      <c r="M428" s="1">
        <v>2</v>
      </c>
      <c r="N428" s="1" t="s">
        <v>47</v>
      </c>
      <c r="O428" s="1">
        <v>3</v>
      </c>
      <c r="P428" s="1">
        <v>1</v>
      </c>
      <c r="Q428" s="1">
        <v>4</v>
      </c>
      <c r="R428" s="1">
        <v>2564</v>
      </c>
      <c r="S428" s="1">
        <v>12</v>
      </c>
      <c r="T428" s="1">
        <v>2</v>
      </c>
      <c r="U428" s="1">
        <v>11</v>
      </c>
      <c r="V428" s="1">
        <v>7</v>
      </c>
      <c r="W428" s="1">
        <v>6</v>
      </c>
      <c r="X428" s="1">
        <v>7</v>
      </c>
    </row>
    <row r="429" spans="1:24">
      <c r="A429" s="1">
        <v>428</v>
      </c>
      <c r="B429" s="1" t="s">
        <v>33</v>
      </c>
      <c r="C429" s="1" t="s">
        <v>34</v>
      </c>
      <c r="D429" s="1" t="s">
        <v>46</v>
      </c>
      <c r="E429" s="1" t="s">
        <v>27</v>
      </c>
      <c r="F429" s="1" t="s">
        <v>56</v>
      </c>
      <c r="G429" s="1">
        <v>1</v>
      </c>
      <c r="H429" s="1" t="s">
        <v>29</v>
      </c>
      <c r="I429" s="1" t="s">
        <v>30</v>
      </c>
      <c r="J429" s="1" t="s">
        <v>39</v>
      </c>
      <c r="K429" s="1" t="s">
        <v>33</v>
      </c>
      <c r="L429" s="1">
        <v>60</v>
      </c>
      <c r="M429" s="1">
        <v>28</v>
      </c>
      <c r="N429" s="1" t="s">
        <v>47</v>
      </c>
      <c r="O429" s="1">
        <v>3</v>
      </c>
      <c r="P429" s="1">
        <v>3</v>
      </c>
      <c r="Q429" s="1">
        <v>1</v>
      </c>
      <c r="R429" s="1">
        <v>10266</v>
      </c>
      <c r="S429" s="1">
        <v>22</v>
      </c>
      <c r="T429" s="1">
        <v>4</v>
      </c>
      <c r="U429" s="1">
        <v>18</v>
      </c>
      <c r="V429" s="1">
        <v>13</v>
      </c>
      <c r="W429" s="1">
        <v>13</v>
      </c>
      <c r="X429" s="1">
        <v>11</v>
      </c>
    </row>
    <row r="430" spans="1:24">
      <c r="A430" s="1">
        <v>429</v>
      </c>
      <c r="B430" s="1" t="s">
        <v>33</v>
      </c>
      <c r="C430" s="1" t="s">
        <v>25</v>
      </c>
      <c r="D430" s="1" t="s">
        <v>35</v>
      </c>
      <c r="E430" s="1" t="s">
        <v>36</v>
      </c>
      <c r="F430" s="1" t="s">
        <v>45</v>
      </c>
      <c r="G430" s="1">
        <v>1</v>
      </c>
      <c r="H430" s="1" t="s">
        <v>29</v>
      </c>
      <c r="I430" s="1" t="s">
        <v>49</v>
      </c>
      <c r="J430" s="1" t="s">
        <v>48</v>
      </c>
      <c r="K430" s="1" t="s">
        <v>33</v>
      </c>
      <c r="L430" s="1">
        <v>47</v>
      </c>
      <c r="M430" s="1">
        <v>2</v>
      </c>
      <c r="N430" s="1" t="s">
        <v>32</v>
      </c>
      <c r="O430" s="1">
        <v>1</v>
      </c>
      <c r="P430" s="1">
        <v>2</v>
      </c>
      <c r="Q430" s="1">
        <v>4</v>
      </c>
      <c r="R430" s="1">
        <v>5070</v>
      </c>
      <c r="S430" s="1">
        <v>20</v>
      </c>
      <c r="T430" s="1">
        <v>3</v>
      </c>
      <c r="U430" s="1">
        <v>5</v>
      </c>
      <c r="V430" s="1">
        <v>0</v>
      </c>
      <c r="W430" s="1">
        <v>0</v>
      </c>
      <c r="X430" s="1">
        <v>4</v>
      </c>
    </row>
    <row r="431" spans="1:24">
      <c r="A431" s="1">
        <v>430</v>
      </c>
      <c r="B431" s="1" t="s">
        <v>33</v>
      </c>
      <c r="C431" s="1" t="s">
        <v>25</v>
      </c>
      <c r="D431" s="1" t="s">
        <v>35</v>
      </c>
      <c r="E431" s="1" t="s">
        <v>36</v>
      </c>
      <c r="F431" s="1" t="s">
        <v>28</v>
      </c>
      <c r="G431" s="1">
        <v>1</v>
      </c>
      <c r="H431" s="1" t="s">
        <v>37</v>
      </c>
      <c r="I431" s="1" t="s">
        <v>55</v>
      </c>
      <c r="J431" s="1" t="s">
        <v>39</v>
      </c>
      <c r="K431" s="1" t="s">
        <v>33</v>
      </c>
      <c r="L431" s="1">
        <v>46</v>
      </c>
      <c r="M431" s="1">
        <v>2</v>
      </c>
      <c r="N431" s="1" t="s">
        <v>47</v>
      </c>
      <c r="O431" s="1">
        <v>1</v>
      </c>
      <c r="P431" s="1">
        <v>4</v>
      </c>
      <c r="Q431" s="1">
        <v>3</v>
      </c>
      <c r="R431" s="1">
        <v>17861</v>
      </c>
      <c r="S431" s="1">
        <v>26</v>
      </c>
      <c r="T431" s="1">
        <v>1</v>
      </c>
      <c r="U431" s="1">
        <v>3</v>
      </c>
      <c r="V431" s="1">
        <v>2</v>
      </c>
      <c r="W431" s="1">
        <v>0</v>
      </c>
      <c r="X431" s="1">
        <v>1</v>
      </c>
    </row>
    <row r="432" spans="1:24">
      <c r="A432" s="1">
        <v>431</v>
      </c>
      <c r="B432" s="1" t="s">
        <v>33</v>
      </c>
      <c r="C432" s="1" t="s">
        <v>25</v>
      </c>
      <c r="D432" s="1" t="s">
        <v>26</v>
      </c>
      <c r="E432" s="1" t="s">
        <v>36</v>
      </c>
      <c r="F432" s="1" t="s">
        <v>28</v>
      </c>
      <c r="G432" s="1">
        <v>1</v>
      </c>
      <c r="H432" s="1" t="s">
        <v>37</v>
      </c>
      <c r="I432" s="1" t="s">
        <v>42</v>
      </c>
      <c r="J432" s="1" t="s">
        <v>31</v>
      </c>
      <c r="K432" s="1" t="s">
        <v>33</v>
      </c>
      <c r="L432" s="1">
        <v>35</v>
      </c>
      <c r="M432" s="1">
        <v>22</v>
      </c>
      <c r="N432" s="1" t="s">
        <v>47</v>
      </c>
      <c r="O432" s="1">
        <v>4</v>
      </c>
      <c r="P432" s="1">
        <v>1</v>
      </c>
      <c r="Q432" s="1">
        <v>3</v>
      </c>
      <c r="R432" s="1">
        <v>4230</v>
      </c>
      <c r="S432" s="1">
        <v>6</v>
      </c>
      <c r="T432" s="1">
        <v>3</v>
      </c>
      <c r="U432" s="1">
        <v>5</v>
      </c>
      <c r="V432" s="1">
        <v>4</v>
      </c>
      <c r="W432" s="1">
        <v>4</v>
      </c>
      <c r="X432" s="1">
        <v>3</v>
      </c>
    </row>
    <row r="433" spans="1:24">
      <c r="A433" s="1">
        <v>432</v>
      </c>
      <c r="B433" s="1" t="s">
        <v>33</v>
      </c>
      <c r="C433" s="1" t="s">
        <v>25</v>
      </c>
      <c r="D433" s="1" t="s">
        <v>35</v>
      </c>
      <c r="E433" s="1" t="s">
        <v>36</v>
      </c>
      <c r="F433" s="1" t="s">
        <v>28</v>
      </c>
      <c r="G433" s="1">
        <v>1</v>
      </c>
      <c r="H433" s="1" t="s">
        <v>29</v>
      </c>
      <c r="I433" s="1" t="s">
        <v>42</v>
      </c>
      <c r="J433" s="1" t="s">
        <v>31</v>
      </c>
      <c r="K433" s="1" t="s">
        <v>33</v>
      </c>
      <c r="L433" s="1">
        <v>54</v>
      </c>
      <c r="M433" s="1">
        <v>8</v>
      </c>
      <c r="N433" s="1" t="s">
        <v>44</v>
      </c>
      <c r="O433" s="1">
        <v>3</v>
      </c>
      <c r="P433" s="1">
        <v>2</v>
      </c>
      <c r="Q433" s="1">
        <v>3</v>
      </c>
      <c r="R433" s="1">
        <v>3780</v>
      </c>
      <c r="S433" s="1">
        <v>19</v>
      </c>
      <c r="T433" s="1">
        <v>3</v>
      </c>
      <c r="U433" s="1">
        <v>1</v>
      </c>
      <c r="V433" s="1">
        <v>0</v>
      </c>
      <c r="W433" s="1">
        <v>0</v>
      </c>
      <c r="X433" s="1">
        <v>0</v>
      </c>
    </row>
    <row r="434" spans="1:24">
      <c r="A434" s="1">
        <v>433</v>
      </c>
      <c r="B434" s="1" t="s">
        <v>33</v>
      </c>
      <c r="C434" s="1" t="s">
        <v>25</v>
      </c>
      <c r="D434" s="1" t="s">
        <v>43</v>
      </c>
      <c r="E434" s="1" t="s">
        <v>36</v>
      </c>
      <c r="F434" s="1" t="s">
        <v>28</v>
      </c>
      <c r="G434" s="1">
        <v>1</v>
      </c>
      <c r="H434" s="1" t="s">
        <v>37</v>
      </c>
      <c r="I434" s="1" t="s">
        <v>38</v>
      </c>
      <c r="J434" s="1" t="s">
        <v>48</v>
      </c>
      <c r="K434" s="1" t="s">
        <v>33</v>
      </c>
      <c r="L434" s="1">
        <v>34</v>
      </c>
      <c r="M434" s="1">
        <v>2</v>
      </c>
      <c r="N434" s="1" t="s">
        <v>44</v>
      </c>
      <c r="O434" s="1">
        <v>4</v>
      </c>
      <c r="P434" s="1">
        <v>1</v>
      </c>
      <c r="Q434" s="1">
        <v>3</v>
      </c>
      <c r="R434" s="1">
        <v>2768</v>
      </c>
      <c r="S434" s="1">
        <v>14</v>
      </c>
      <c r="T434" s="1">
        <v>3</v>
      </c>
      <c r="U434" s="1">
        <v>7</v>
      </c>
      <c r="V434" s="1">
        <v>3</v>
      </c>
      <c r="W434" s="1">
        <v>5</v>
      </c>
      <c r="X434" s="1">
        <v>7</v>
      </c>
    </row>
    <row r="435" spans="1:24">
      <c r="A435" s="1">
        <v>434</v>
      </c>
      <c r="B435" s="1" t="s">
        <v>33</v>
      </c>
      <c r="C435" s="1" t="s">
        <v>25</v>
      </c>
      <c r="D435" s="1" t="s">
        <v>35</v>
      </c>
      <c r="E435" s="1" t="s">
        <v>27</v>
      </c>
      <c r="F435" s="1" t="s">
        <v>56</v>
      </c>
      <c r="G435" s="1">
        <v>1</v>
      </c>
      <c r="H435" s="1" t="s">
        <v>29</v>
      </c>
      <c r="I435" s="1" t="s">
        <v>30</v>
      </c>
      <c r="J435" s="1" t="s">
        <v>39</v>
      </c>
      <c r="K435" s="1" t="s">
        <v>24</v>
      </c>
      <c r="L435" s="1">
        <v>46</v>
      </c>
      <c r="M435" s="1">
        <v>10</v>
      </c>
      <c r="N435" s="1" t="s">
        <v>47</v>
      </c>
      <c r="O435" s="1">
        <v>3</v>
      </c>
      <c r="P435" s="1">
        <v>3</v>
      </c>
      <c r="Q435" s="1">
        <v>4</v>
      </c>
      <c r="R435" s="1">
        <v>9071</v>
      </c>
      <c r="S435" s="1">
        <v>15</v>
      </c>
      <c r="T435" s="1">
        <v>3</v>
      </c>
      <c r="U435" s="1">
        <v>3</v>
      </c>
      <c r="V435" s="1">
        <v>2</v>
      </c>
      <c r="W435" s="1">
        <v>1</v>
      </c>
      <c r="X435" s="1">
        <v>2</v>
      </c>
    </row>
    <row r="436" spans="1:24">
      <c r="A436" s="1">
        <v>435</v>
      </c>
      <c r="B436" s="1" t="s">
        <v>33</v>
      </c>
      <c r="C436" s="1" t="s">
        <v>25</v>
      </c>
      <c r="D436" s="1" t="s">
        <v>43</v>
      </c>
      <c r="E436" s="1" t="s">
        <v>36</v>
      </c>
      <c r="F436" s="1" t="s">
        <v>28</v>
      </c>
      <c r="G436" s="1">
        <v>1</v>
      </c>
      <c r="H436" s="1" t="s">
        <v>37</v>
      </c>
      <c r="I436" s="1" t="s">
        <v>49</v>
      </c>
      <c r="J436" s="1" t="s">
        <v>48</v>
      </c>
      <c r="K436" s="1" t="s">
        <v>33</v>
      </c>
      <c r="L436" s="1">
        <v>31</v>
      </c>
      <c r="M436" s="1">
        <v>9</v>
      </c>
      <c r="N436" s="1" t="s">
        <v>40</v>
      </c>
      <c r="O436" s="1">
        <v>3</v>
      </c>
      <c r="P436" s="1">
        <v>3</v>
      </c>
      <c r="Q436" s="1">
        <v>2</v>
      </c>
      <c r="R436" s="1">
        <v>10648</v>
      </c>
      <c r="S436" s="1">
        <v>13</v>
      </c>
      <c r="T436" s="1">
        <v>4</v>
      </c>
      <c r="U436" s="1">
        <v>13</v>
      </c>
      <c r="V436" s="1">
        <v>8</v>
      </c>
      <c r="W436" s="1">
        <v>0</v>
      </c>
      <c r="X436" s="1">
        <v>8</v>
      </c>
    </row>
    <row r="437" spans="1:24">
      <c r="A437" s="1">
        <v>436</v>
      </c>
      <c r="B437" s="1" t="s">
        <v>24</v>
      </c>
      <c r="C437" s="1" t="s">
        <v>25</v>
      </c>
      <c r="D437" s="1" t="s">
        <v>43</v>
      </c>
      <c r="E437" s="1" t="s">
        <v>36</v>
      </c>
      <c r="F437" s="1" t="s">
        <v>45</v>
      </c>
      <c r="G437" s="1">
        <v>1</v>
      </c>
      <c r="H437" s="1" t="s">
        <v>37</v>
      </c>
      <c r="I437" s="1" t="s">
        <v>53</v>
      </c>
      <c r="J437" s="1" t="s">
        <v>39</v>
      </c>
      <c r="K437" s="1" t="s">
        <v>24</v>
      </c>
      <c r="L437" s="1">
        <v>33</v>
      </c>
      <c r="M437" s="1">
        <v>15</v>
      </c>
      <c r="N437" s="1" t="s">
        <v>40</v>
      </c>
      <c r="O437" s="1">
        <v>2</v>
      </c>
      <c r="P437" s="1">
        <v>3</v>
      </c>
      <c r="Q437" s="1">
        <v>3</v>
      </c>
      <c r="R437" s="1">
        <v>13610</v>
      </c>
      <c r="S437" s="1">
        <v>15</v>
      </c>
      <c r="T437" s="1">
        <v>4</v>
      </c>
      <c r="U437" s="1">
        <v>7</v>
      </c>
      <c r="V437" s="1">
        <v>6</v>
      </c>
      <c r="W437" s="1">
        <v>7</v>
      </c>
      <c r="X437" s="1">
        <v>7</v>
      </c>
    </row>
    <row r="438" spans="1:24">
      <c r="A438" s="1">
        <v>437</v>
      </c>
      <c r="B438" s="1" t="s">
        <v>24</v>
      </c>
      <c r="C438" s="1" t="s">
        <v>25</v>
      </c>
      <c r="D438" s="1" t="s">
        <v>43</v>
      </c>
      <c r="E438" s="1" t="s">
        <v>36</v>
      </c>
      <c r="F438" s="1" t="s">
        <v>45</v>
      </c>
      <c r="G438" s="1">
        <v>1</v>
      </c>
      <c r="H438" s="1" t="s">
        <v>37</v>
      </c>
      <c r="I438" s="1" t="s">
        <v>42</v>
      </c>
      <c r="J438" s="1" t="s">
        <v>48</v>
      </c>
      <c r="K438" s="1" t="s">
        <v>33</v>
      </c>
      <c r="L438" s="1">
        <v>33</v>
      </c>
      <c r="M438" s="1">
        <v>10</v>
      </c>
      <c r="N438" s="1" t="s">
        <v>40</v>
      </c>
      <c r="O438" s="1">
        <v>1</v>
      </c>
      <c r="P438" s="1">
        <v>1</v>
      </c>
      <c r="Q438" s="1">
        <v>4</v>
      </c>
      <c r="R438" s="1">
        <v>3408</v>
      </c>
      <c r="S438" s="1">
        <v>8</v>
      </c>
      <c r="T438" s="1">
        <v>3</v>
      </c>
      <c r="U438" s="1">
        <v>4</v>
      </c>
      <c r="V438" s="1">
        <v>3</v>
      </c>
      <c r="W438" s="1">
        <v>1</v>
      </c>
      <c r="X438" s="1">
        <v>3</v>
      </c>
    </row>
    <row r="439" spans="1:24">
      <c r="A439" s="1">
        <v>438</v>
      </c>
      <c r="B439" s="1" t="s">
        <v>33</v>
      </c>
      <c r="C439" s="1" t="s">
        <v>25</v>
      </c>
      <c r="D439" s="1" t="s">
        <v>43</v>
      </c>
      <c r="E439" s="1" t="s">
        <v>27</v>
      </c>
      <c r="F439" s="1" t="s">
        <v>56</v>
      </c>
      <c r="G439" s="1">
        <v>1</v>
      </c>
      <c r="H439" s="1" t="s">
        <v>37</v>
      </c>
      <c r="I439" s="1" t="s">
        <v>54</v>
      </c>
      <c r="J439" s="1" t="s">
        <v>31</v>
      </c>
      <c r="K439" s="1" t="s">
        <v>33</v>
      </c>
      <c r="L439" s="1">
        <v>30</v>
      </c>
      <c r="M439" s="1">
        <v>7</v>
      </c>
      <c r="N439" s="1" t="s">
        <v>40</v>
      </c>
      <c r="O439" s="1">
        <v>4</v>
      </c>
      <c r="P439" s="1">
        <v>1</v>
      </c>
      <c r="Q439" s="1">
        <v>2</v>
      </c>
      <c r="R439" s="1">
        <v>2983</v>
      </c>
      <c r="S439" s="1">
        <v>4</v>
      </c>
      <c r="T439" s="1">
        <v>3</v>
      </c>
      <c r="U439" s="1">
        <v>3</v>
      </c>
      <c r="V439" s="1">
        <v>2</v>
      </c>
      <c r="W439" s="1">
        <v>1</v>
      </c>
      <c r="X439" s="1">
        <v>2</v>
      </c>
    </row>
    <row r="440" spans="1:24">
      <c r="A440" s="1">
        <v>439</v>
      </c>
      <c r="B440" s="1" t="s">
        <v>33</v>
      </c>
      <c r="C440" s="1" t="s">
        <v>25</v>
      </c>
      <c r="D440" s="1" t="s">
        <v>26</v>
      </c>
      <c r="E440" s="1" t="s">
        <v>36</v>
      </c>
      <c r="F440" s="1" t="s">
        <v>28</v>
      </c>
      <c r="G440" s="1">
        <v>1</v>
      </c>
      <c r="H440" s="1" t="s">
        <v>37</v>
      </c>
      <c r="I440" s="1" t="s">
        <v>50</v>
      </c>
      <c r="J440" s="1" t="s">
        <v>39</v>
      </c>
      <c r="K440" s="1" t="s">
        <v>24</v>
      </c>
      <c r="L440" s="1">
        <v>35</v>
      </c>
      <c r="M440" s="1">
        <v>16</v>
      </c>
      <c r="N440" s="1" t="s">
        <v>47</v>
      </c>
      <c r="O440" s="1">
        <v>4</v>
      </c>
      <c r="P440" s="1">
        <v>3</v>
      </c>
      <c r="Q440" s="1">
        <v>3</v>
      </c>
      <c r="R440" s="1">
        <v>7632</v>
      </c>
      <c r="S440" s="1">
        <v>10</v>
      </c>
      <c r="T440" s="1">
        <v>3</v>
      </c>
      <c r="U440" s="1">
        <v>8</v>
      </c>
      <c r="V440" s="1">
        <v>7</v>
      </c>
      <c r="W440" s="1">
        <v>0</v>
      </c>
      <c r="X440" s="1">
        <v>0</v>
      </c>
    </row>
    <row r="441" spans="1:24">
      <c r="A441" s="1">
        <v>440</v>
      </c>
      <c r="B441" s="1" t="s">
        <v>24</v>
      </c>
      <c r="C441" s="1" t="s">
        <v>34</v>
      </c>
      <c r="D441" s="1" t="s">
        <v>43</v>
      </c>
      <c r="E441" s="1" t="s">
        <v>36</v>
      </c>
      <c r="F441" s="1" t="s">
        <v>28</v>
      </c>
      <c r="G441" s="1">
        <v>1</v>
      </c>
      <c r="H441" s="1" t="s">
        <v>37</v>
      </c>
      <c r="I441" s="1" t="s">
        <v>50</v>
      </c>
      <c r="J441" s="1" t="s">
        <v>39</v>
      </c>
      <c r="K441" s="1" t="s">
        <v>33</v>
      </c>
      <c r="L441" s="1">
        <v>31</v>
      </c>
      <c r="M441" s="1">
        <v>20</v>
      </c>
      <c r="N441" s="1" t="s">
        <v>47</v>
      </c>
      <c r="O441" s="1">
        <v>1</v>
      </c>
      <c r="P441" s="1">
        <v>3</v>
      </c>
      <c r="Q441" s="1">
        <v>3</v>
      </c>
      <c r="R441" s="1">
        <v>9824</v>
      </c>
      <c r="S441" s="1">
        <v>12</v>
      </c>
      <c r="T441" s="1">
        <v>3</v>
      </c>
      <c r="U441" s="1">
        <v>1</v>
      </c>
      <c r="V441" s="1">
        <v>0</v>
      </c>
      <c r="W441" s="1">
        <v>0</v>
      </c>
      <c r="X441" s="1">
        <v>0</v>
      </c>
    </row>
    <row r="442" spans="1:24">
      <c r="A442" s="1">
        <v>441</v>
      </c>
      <c r="B442" s="1" t="s">
        <v>24</v>
      </c>
      <c r="C442" s="1" t="s">
        <v>34</v>
      </c>
      <c r="D442" s="1" t="s">
        <v>43</v>
      </c>
      <c r="E442" s="1" t="s">
        <v>59</v>
      </c>
      <c r="F442" s="1" t="s">
        <v>60</v>
      </c>
      <c r="G442" s="1">
        <v>1</v>
      </c>
      <c r="H442" s="1" t="s">
        <v>29</v>
      </c>
      <c r="I442" s="1" t="s">
        <v>60</v>
      </c>
      <c r="J442" s="1" t="s">
        <v>48</v>
      </c>
      <c r="K442" s="1" t="s">
        <v>24</v>
      </c>
      <c r="L442" s="1">
        <v>34</v>
      </c>
      <c r="M442" s="1">
        <v>23</v>
      </c>
      <c r="N442" s="1" t="s">
        <v>47</v>
      </c>
      <c r="O442" s="1">
        <v>2</v>
      </c>
      <c r="P442" s="1">
        <v>3</v>
      </c>
      <c r="Q442" s="1">
        <v>1</v>
      </c>
      <c r="R442" s="1">
        <v>9950</v>
      </c>
      <c r="S442" s="1">
        <v>11</v>
      </c>
      <c r="T442" s="1">
        <v>3</v>
      </c>
      <c r="U442" s="1">
        <v>3</v>
      </c>
      <c r="V442" s="1">
        <v>2</v>
      </c>
      <c r="W442" s="1">
        <v>0</v>
      </c>
      <c r="X442" s="1">
        <v>2</v>
      </c>
    </row>
    <row r="443" spans="1:24">
      <c r="A443" s="1">
        <v>442</v>
      </c>
      <c r="B443" s="1" t="s">
        <v>33</v>
      </c>
      <c r="C443" s="1" t="s">
        <v>34</v>
      </c>
      <c r="D443" s="1" t="s">
        <v>26</v>
      </c>
      <c r="E443" s="1" t="s">
        <v>36</v>
      </c>
      <c r="F443" s="1" t="s">
        <v>41</v>
      </c>
      <c r="G443" s="1">
        <v>1</v>
      </c>
      <c r="H443" s="1" t="s">
        <v>37</v>
      </c>
      <c r="I443" s="1" t="s">
        <v>42</v>
      </c>
      <c r="J443" s="1" t="s">
        <v>39</v>
      </c>
      <c r="K443" s="1" t="s">
        <v>33</v>
      </c>
      <c r="L443" s="1">
        <v>42</v>
      </c>
      <c r="M443" s="1">
        <v>5</v>
      </c>
      <c r="N443" s="1" t="s">
        <v>32</v>
      </c>
      <c r="O443" s="1">
        <v>2</v>
      </c>
      <c r="P443" s="1">
        <v>1</v>
      </c>
      <c r="Q443" s="1">
        <v>3</v>
      </c>
      <c r="R443" s="1">
        <v>2093</v>
      </c>
      <c r="S443" s="1">
        <v>8</v>
      </c>
      <c r="T443" s="1">
        <v>3</v>
      </c>
      <c r="U443" s="1">
        <v>2</v>
      </c>
      <c r="V443" s="1">
        <v>2</v>
      </c>
      <c r="W443" s="1">
        <v>2</v>
      </c>
      <c r="X443" s="1">
        <v>0</v>
      </c>
    </row>
    <row r="444" spans="1:24">
      <c r="A444" s="1">
        <v>443</v>
      </c>
      <c r="B444" s="1" t="s">
        <v>33</v>
      </c>
      <c r="C444" s="1" t="s">
        <v>51</v>
      </c>
      <c r="D444" s="1" t="s">
        <v>26</v>
      </c>
      <c r="E444" s="1" t="s">
        <v>27</v>
      </c>
      <c r="F444" s="1" t="s">
        <v>45</v>
      </c>
      <c r="G444" s="1">
        <v>1</v>
      </c>
      <c r="H444" s="1" t="s">
        <v>37</v>
      </c>
      <c r="I444" s="1" t="s">
        <v>30</v>
      </c>
      <c r="J444" s="1" t="s">
        <v>31</v>
      </c>
      <c r="K444" s="1" t="s">
        <v>33</v>
      </c>
      <c r="L444" s="1">
        <v>36</v>
      </c>
      <c r="M444" s="1">
        <v>10</v>
      </c>
      <c r="N444" s="1" t="s">
        <v>44</v>
      </c>
      <c r="O444" s="1">
        <v>2</v>
      </c>
      <c r="P444" s="1">
        <v>3</v>
      </c>
      <c r="Q444" s="1">
        <v>4</v>
      </c>
      <c r="R444" s="1">
        <v>9980</v>
      </c>
      <c r="S444" s="1">
        <v>10</v>
      </c>
      <c r="T444" s="1">
        <v>2</v>
      </c>
      <c r="U444" s="1">
        <v>10</v>
      </c>
      <c r="V444" s="1">
        <v>3</v>
      </c>
      <c r="W444" s="1">
        <v>9</v>
      </c>
      <c r="X444" s="1">
        <v>7</v>
      </c>
    </row>
    <row r="445" spans="1:24">
      <c r="A445" s="1">
        <v>444</v>
      </c>
      <c r="B445" s="1" t="s">
        <v>24</v>
      </c>
      <c r="C445" s="1" t="s">
        <v>34</v>
      </c>
      <c r="D445" s="1" t="s">
        <v>52</v>
      </c>
      <c r="E445" s="1" t="s">
        <v>36</v>
      </c>
      <c r="F445" s="1" t="s">
        <v>57</v>
      </c>
      <c r="G445" s="1">
        <v>1</v>
      </c>
      <c r="H445" s="1" t="s">
        <v>37</v>
      </c>
      <c r="I445" s="1" t="s">
        <v>42</v>
      </c>
      <c r="J445" s="1" t="s">
        <v>31</v>
      </c>
      <c r="K445" s="1" t="s">
        <v>33</v>
      </c>
      <c r="L445" s="1">
        <v>22</v>
      </c>
      <c r="M445" s="1">
        <v>4</v>
      </c>
      <c r="N445" s="1" t="s">
        <v>40</v>
      </c>
      <c r="O445" s="1">
        <v>3</v>
      </c>
      <c r="P445" s="1">
        <v>1</v>
      </c>
      <c r="Q445" s="1">
        <v>3</v>
      </c>
      <c r="R445" s="1">
        <v>3894</v>
      </c>
      <c r="S445" s="1">
        <v>4</v>
      </c>
      <c r="T445" s="1">
        <v>3</v>
      </c>
      <c r="U445" s="1">
        <v>2</v>
      </c>
      <c r="V445" s="1">
        <v>2</v>
      </c>
      <c r="W445" s="1">
        <v>1</v>
      </c>
      <c r="X445" s="1">
        <v>2</v>
      </c>
    </row>
    <row r="446" spans="1:24">
      <c r="A446" s="1">
        <v>445</v>
      </c>
      <c r="B446" s="1" t="s">
        <v>33</v>
      </c>
      <c r="C446" s="1" t="s">
        <v>25</v>
      </c>
      <c r="D446" s="1" t="s">
        <v>35</v>
      </c>
      <c r="E446" s="1" t="s">
        <v>27</v>
      </c>
      <c r="F446" s="1" t="s">
        <v>56</v>
      </c>
      <c r="G446" s="1">
        <v>1</v>
      </c>
      <c r="H446" s="1" t="s">
        <v>29</v>
      </c>
      <c r="I446" s="1" t="s">
        <v>30</v>
      </c>
      <c r="J446" s="1" t="s">
        <v>39</v>
      </c>
      <c r="K446" s="1" t="s">
        <v>33</v>
      </c>
      <c r="L446" s="1">
        <v>48</v>
      </c>
      <c r="M446" s="1">
        <v>2</v>
      </c>
      <c r="N446" s="1" t="s">
        <v>58</v>
      </c>
      <c r="O446" s="1">
        <v>2</v>
      </c>
      <c r="P446" s="1">
        <v>2</v>
      </c>
      <c r="Q446" s="1">
        <v>4</v>
      </c>
      <c r="R446" s="1">
        <v>4051</v>
      </c>
      <c r="S446" s="1">
        <v>14</v>
      </c>
      <c r="T446" s="1">
        <v>3</v>
      </c>
      <c r="U446" s="1">
        <v>9</v>
      </c>
      <c r="V446" s="1">
        <v>7</v>
      </c>
      <c r="W446" s="1">
        <v>6</v>
      </c>
      <c r="X446" s="1">
        <v>7</v>
      </c>
    </row>
    <row r="447" spans="1:24">
      <c r="A447" s="1">
        <v>446</v>
      </c>
      <c r="B447" s="1" t="s">
        <v>33</v>
      </c>
      <c r="C447" s="1" t="s">
        <v>25</v>
      </c>
      <c r="D447" s="1" t="s">
        <v>46</v>
      </c>
      <c r="E447" s="1" t="s">
        <v>27</v>
      </c>
      <c r="F447" s="1" t="s">
        <v>28</v>
      </c>
      <c r="G447" s="1">
        <v>1</v>
      </c>
      <c r="H447" s="1" t="s">
        <v>29</v>
      </c>
      <c r="I447" s="1" t="s">
        <v>53</v>
      </c>
      <c r="J447" s="1" t="s">
        <v>31</v>
      </c>
      <c r="K447" s="1" t="s">
        <v>33</v>
      </c>
      <c r="L447" s="1">
        <v>55</v>
      </c>
      <c r="M447" s="1">
        <v>18</v>
      </c>
      <c r="N447" s="1" t="s">
        <v>58</v>
      </c>
      <c r="O447" s="1">
        <v>1</v>
      </c>
      <c r="P447" s="1">
        <v>4</v>
      </c>
      <c r="Q447" s="1">
        <v>2</v>
      </c>
      <c r="R447" s="1">
        <v>16835</v>
      </c>
      <c r="S447" s="1">
        <v>37</v>
      </c>
      <c r="T447" s="1">
        <v>3</v>
      </c>
      <c r="U447" s="1">
        <v>10</v>
      </c>
      <c r="V447" s="1">
        <v>9</v>
      </c>
      <c r="W447" s="1">
        <v>7</v>
      </c>
      <c r="X447" s="1">
        <v>7</v>
      </c>
    </row>
    <row r="448" spans="1:24">
      <c r="A448" s="1">
        <v>447</v>
      </c>
      <c r="B448" s="1" t="s">
        <v>33</v>
      </c>
      <c r="C448" s="1" t="s">
        <v>51</v>
      </c>
      <c r="D448" s="1" t="s">
        <v>26</v>
      </c>
      <c r="E448" s="1" t="s">
        <v>27</v>
      </c>
      <c r="F448" s="1" t="s">
        <v>28</v>
      </c>
      <c r="G448" s="1">
        <v>1</v>
      </c>
      <c r="H448" s="1" t="s">
        <v>37</v>
      </c>
      <c r="I448" s="1" t="s">
        <v>30</v>
      </c>
      <c r="J448" s="1" t="s">
        <v>31</v>
      </c>
      <c r="K448" s="1" t="s">
        <v>33</v>
      </c>
      <c r="L448" s="1">
        <v>41</v>
      </c>
      <c r="M448" s="1">
        <v>10</v>
      </c>
      <c r="N448" s="1" t="s">
        <v>32</v>
      </c>
      <c r="O448" s="1">
        <v>4</v>
      </c>
      <c r="P448" s="1">
        <v>2</v>
      </c>
      <c r="Q448" s="1">
        <v>4</v>
      </c>
      <c r="R448" s="1">
        <v>6230</v>
      </c>
      <c r="S448" s="1">
        <v>16</v>
      </c>
      <c r="T448" s="1">
        <v>3</v>
      </c>
      <c r="U448" s="1">
        <v>14</v>
      </c>
      <c r="V448" s="1">
        <v>3</v>
      </c>
      <c r="W448" s="1">
        <v>1</v>
      </c>
      <c r="X448" s="1">
        <v>10</v>
      </c>
    </row>
    <row r="449" spans="1:24">
      <c r="A449" s="1">
        <v>448</v>
      </c>
      <c r="B449" s="1" t="s">
        <v>33</v>
      </c>
      <c r="C449" s="1" t="s">
        <v>25</v>
      </c>
      <c r="D449" s="1" t="s">
        <v>26</v>
      </c>
      <c r="E449" s="1" t="s">
        <v>27</v>
      </c>
      <c r="F449" s="1" t="s">
        <v>56</v>
      </c>
      <c r="G449" s="1">
        <v>1</v>
      </c>
      <c r="H449" s="1" t="s">
        <v>37</v>
      </c>
      <c r="I449" s="1" t="s">
        <v>30</v>
      </c>
      <c r="J449" s="1" t="s">
        <v>39</v>
      </c>
      <c r="K449" s="1" t="s">
        <v>33</v>
      </c>
      <c r="L449" s="1">
        <v>35</v>
      </c>
      <c r="M449" s="1">
        <v>1</v>
      </c>
      <c r="N449" s="1" t="s">
        <v>47</v>
      </c>
      <c r="O449" s="1">
        <v>2</v>
      </c>
      <c r="P449" s="1">
        <v>2</v>
      </c>
      <c r="Q449" s="1">
        <v>3</v>
      </c>
      <c r="R449" s="1">
        <v>4717</v>
      </c>
      <c r="S449" s="1">
        <v>15</v>
      </c>
      <c r="T449" s="1">
        <v>3</v>
      </c>
      <c r="U449" s="1">
        <v>11</v>
      </c>
      <c r="V449" s="1">
        <v>9</v>
      </c>
      <c r="W449" s="1">
        <v>6</v>
      </c>
      <c r="X449" s="1">
        <v>9</v>
      </c>
    </row>
    <row r="450" spans="1:24">
      <c r="A450" s="1">
        <v>449</v>
      </c>
      <c r="B450" s="1" t="s">
        <v>33</v>
      </c>
      <c r="C450" s="1" t="s">
        <v>25</v>
      </c>
      <c r="D450" s="1" t="s">
        <v>26</v>
      </c>
      <c r="E450" s="1" t="s">
        <v>36</v>
      </c>
      <c r="F450" s="1" t="s">
        <v>28</v>
      </c>
      <c r="G450" s="1">
        <v>1</v>
      </c>
      <c r="H450" s="1" t="s">
        <v>29</v>
      </c>
      <c r="I450" s="1" t="s">
        <v>49</v>
      </c>
      <c r="J450" s="1" t="s">
        <v>31</v>
      </c>
      <c r="K450" s="1" t="s">
        <v>33</v>
      </c>
      <c r="L450" s="1">
        <v>40</v>
      </c>
      <c r="M450" s="1">
        <v>6</v>
      </c>
      <c r="N450" s="1" t="s">
        <v>47</v>
      </c>
      <c r="O450" s="1">
        <v>2</v>
      </c>
      <c r="P450" s="1">
        <v>4</v>
      </c>
      <c r="Q450" s="1">
        <v>3</v>
      </c>
      <c r="R450" s="1">
        <v>13237</v>
      </c>
      <c r="S450" s="1">
        <v>22</v>
      </c>
      <c r="T450" s="1">
        <v>3</v>
      </c>
      <c r="U450" s="1">
        <v>20</v>
      </c>
      <c r="V450" s="1">
        <v>6</v>
      </c>
      <c r="W450" s="1">
        <v>5</v>
      </c>
      <c r="X450" s="1">
        <v>13</v>
      </c>
    </row>
    <row r="451" spans="1:24">
      <c r="A451" s="1">
        <v>450</v>
      </c>
      <c r="B451" s="1" t="s">
        <v>33</v>
      </c>
      <c r="C451" s="1" t="s">
        <v>34</v>
      </c>
      <c r="D451" s="1" t="s">
        <v>26</v>
      </c>
      <c r="E451" s="1" t="s">
        <v>36</v>
      </c>
      <c r="F451" s="1" t="s">
        <v>28</v>
      </c>
      <c r="G451" s="1">
        <v>1</v>
      </c>
      <c r="H451" s="1" t="s">
        <v>29</v>
      </c>
      <c r="I451" s="1" t="s">
        <v>42</v>
      </c>
      <c r="J451" s="1" t="s">
        <v>39</v>
      </c>
      <c r="K451" s="1" t="s">
        <v>33</v>
      </c>
      <c r="L451" s="1">
        <v>39</v>
      </c>
      <c r="M451" s="1">
        <v>8</v>
      </c>
      <c r="N451" s="1" t="s">
        <v>40</v>
      </c>
      <c r="O451" s="1">
        <v>3</v>
      </c>
      <c r="P451" s="1">
        <v>1</v>
      </c>
      <c r="Q451" s="1">
        <v>3</v>
      </c>
      <c r="R451" s="1">
        <v>3755</v>
      </c>
      <c r="S451" s="1">
        <v>8</v>
      </c>
      <c r="T451" s="1">
        <v>3</v>
      </c>
      <c r="U451" s="1">
        <v>8</v>
      </c>
      <c r="V451" s="1">
        <v>3</v>
      </c>
      <c r="W451" s="1">
        <v>0</v>
      </c>
      <c r="X451" s="1">
        <v>7</v>
      </c>
    </row>
    <row r="452" spans="1:24">
      <c r="A452" s="1">
        <v>451</v>
      </c>
      <c r="B452" s="1" t="s">
        <v>33</v>
      </c>
      <c r="C452" s="1" t="s">
        <v>25</v>
      </c>
      <c r="D452" s="1" t="s">
        <v>43</v>
      </c>
      <c r="E452" s="1" t="s">
        <v>27</v>
      </c>
      <c r="F452" s="1" t="s">
        <v>28</v>
      </c>
      <c r="G452" s="1">
        <v>1</v>
      </c>
      <c r="H452" s="1" t="s">
        <v>37</v>
      </c>
      <c r="I452" s="1" t="s">
        <v>30</v>
      </c>
      <c r="J452" s="1" t="s">
        <v>31</v>
      </c>
      <c r="K452" s="1" t="s">
        <v>24</v>
      </c>
      <c r="L452" s="1">
        <v>31</v>
      </c>
      <c r="M452" s="1">
        <v>2</v>
      </c>
      <c r="N452" s="1" t="s">
        <v>40</v>
      </c>
      <c r="O452" s="1">
        <v>2</v>
      </c>
      <c r="P452" s="1">
        <v>2</v>
      </c>
      <c r="Q452" s="1">
        <v>4</v>
      </c>
      <c r="R452" s="1">
        <v>6582</v>
      </c>
      <c r="S452" s="1">
        <v>10</v>
      </c>
      <c r="T452" s="1">
        <v>4</v>
      </c>
      <c r="U452" s="1">
        <v>6</v>
      </c>
      <c r="V452" s="1">
        <v>5</v>
      </c>
      <c r="W452" s="1">
        <v>0</v>
      </c>
      <c r="X452" s="1">
        <v>5</v>
      </c>
    </row>
    <row r="453" spans="1:24">
      <c r="A453" s="1">
        <v>452</v>
      </c>
      <c r="B453" s="1" t="s">
        <v>33</v>
      </c>
      <c r="C453" s="1" t="s">
        <v>25</v>
      </c>
      <c r="D453" s="1" t="s">
        <v>26</v>
      </c>
      <c r="E453" s="1" t="s">
        <v>36</v>
      </c>
      <c r="F453" s="1" t="s">
        <v>45</v>
      </c>
      <c r="G453" s="1">
        <v>1</v>
      </c>
      <c r="H453" s="1" t="s">
        <v>37</v>
      </c>
      <c r="I453" s="1" t="s">
        <v>49</v>
      </c>
      <c r="J453" s="1" t="s">
        <v>39</v>
      </c>
      <c r="K453" s="1" t="s">
        <v>24</v>
      </c>
      <c r="L453" s="1">
        <v>42</v>
      </c>
      <c r="M453" s="1">
        <v>24</v>
      </c>
      <c r="N453" s="1" t="s">
        <v>47</v>
      </c>
      <c r="O453" s="1">
        <v>4</v>
      </c>
      <c r="P453" s="1">
        <v>3</v>
      </c>
      <c r="Q453" s="1">
        <v>1</v>
      </c>
      <c r="R453" s="1">
        <v>7406</v>
      </c>
      <c r="S453" s="1">
        <v>10</v>
      </c>
      <c r="T453" s="1">
        <v>2</v>
      </c>
      <c r="U453" s="1">
        <v>10</v>
      </c>
      <c r="V453" s="1">
        <v>9</v>
      </c>
      <c r="W453" s="1">
        <v>5</v>
      </c>
      <c r="X453" s="1">
        <v>8</v>
      </c>
    </row>
    <row r="454" spans="1:24">
      <c r="A454" s="1">
        <v>453</v>
      </c>
      <c r="B454" s="1" t="s">
        <v>33</v>
      </c>
      <c r="C454" s="1" t="s">
        <v>25</v>
      </c>
      <c r="D454" s="1" t="s">
        <v>35</v>
      </c>
      <c r="E454" s="1" t="s">
        <v>27</v>
      </c>
      <c r="F454" s="1" t="s">
        <v>41</v>
      </c>
      <c r="G454" s="1">
        <v>1</v>
      </c>
      <c r="H454" s="1" t="s">
        <v>37</v>
      </c>
      <c r="I454" s="1" t="s">
        <v>30</v>
      </c>
      <c r="J454" s="1" t="s">
        <v>39</v>
      </c>
      <c r="K454" s="1" t="s">
        <v>33</v>
      </c>
      <c r="L454" s="1">
        <v>45</v>
      </c>
      <c r="M454" s="1">
        <v>2</v>
      </c>
      <c r="N454" s="1" t="s">
        <v>47</v>
      </c>
      <c r="O454" s="1">
        <v>4</v>
      </c>
      <c r="P454" s="1">
        <v>2</v>
      </c>
      <c r="Q454" s="1">
        <v>2</v>
      </c>
      <c r="R454" s="1">
        <v>4805</v>
      </c>
      <c r="S454" s="1">
        <v>9</v>
      </c>
      <c r="T454" s="1">
        <v>4</v>
      </c>
      <c r="U454" s="1">
        <v>8</v>
      </c>
      <c r="V454" s="1">
        <v>7</v>
      </c>
      <c r="W454" s="1">
        <v>3</v>
      </c>
      <c r="X454" s="1">
        <v>7</v>
      </c>
    </row>
    <row r="455" spans="1:24">
      <c r="A455" s="1">
        <v>454</v>
      </c>
      <c r="B455" s="1" t="s">
        <v>24</v>
      </c>
      <c r="C455" s="1" t="s">
        <v>34</v>
      </c>
      <c r="D455" s="1" t="s">
        <v>43</v>
      </c>
      <c r="E455" s="1" t="s">
        <v>59</v>
      </c>
      <c r="F455" s="1" t="s">
        <v>28</v>
      </c>
      <c r="G455" s="1">
        <v>1</v>
      </c>
      <c r="H455" s="1" t="s">
        <v>29</v>
      </c>
      <c r="I455" s="1" t="s">
        <v>60</v>
      </c>
      <c r="J455" s="1" t="s">
        <v>48</v>
      </c>
      <c r="K455" s="1" t="s">
        <v>24</v>
      </c>
      <c r="L455" s="1">
        <v>26</v>
      </c>
      <c r="M455" s="1">
        <v>17</v>
      </c>
      <c r="N455" s="1" t="s">
        <v>44</v>
      </c>
      <c r="O455" s="1">
        <v>2</v>
      </c>
      <c r="P455" s="1">
        <v>1</v>
      </c>
      <c r="Q455" s="1">
        <v>3</v>
      </c>
      <c r="R455" s="1">
        <v>2741</v>
      </c>
      <c r="S455" s="1">
        <v>8</v>
      </c>
      <c r="T455" s="1">
        <v>2</v>
      </c>
      <c r="U455" s="1">
        <v>7</v>
      </c>
      <c r="V455" s="1">
        <v>7</v>
      </c>
      <c r="W455" s="1">
        <v>1</v>
      </c>
      <c r="X455" s="1">
        <v>0</v>
      </c>
    </row>
    <row r="456" spans="1:24">
      <c r="A456" s="1">
        <v>455</v>
      </c>
      <c r="B456" s="1" t="s">
        <v>33</v>
      </c>
      <c r="C456" s="1" t="s">
        <v>25</v>
      </c>
      <c r="D456" s="1" t="s">
        <v>43</v>
      </c>
      <c r="E456" s="1" t="s">
        <v>36</v>
      </c>
      <c r="F456" s="1" t="s">
        <v>57</v>
      </c>
      <c r="G456" s="1">
        <v>1</v>
      </c>
      <c r="H456" s="1" t="s">
        <v>37</v>
      </c>
      <c r="I456" s="1" t="s">
        <v>49</v>
      </c>
      <c r="J456" s="1" t="s">
        <v>48</v>
      </c>
      <c r="K456" s="1" t="s">
        <v>33</v>
      </c>
      <c r="L456" s="1">
        <v>29</v>
      </c>
      <c r="M456" s="1">
        <v>19</v>
      </c>
      <c r="N456" s="1" t="s">
        <v>47</v>
      </c>
      <c r="O456" s="1">
        <v>4</v>
      </c>
      <c r="P456" s="1">
        <v>2</v>
      </c>
      <c r="Q456" s="1">
        <v>4</v>
      </c>
      <c r="R456" s="1">
        <v>4262</v>
      </c>
      <c r="S456" s="1">
        <v>8</v>
      </c>
      <c r="T456" s="1">
        <v>4</v>
      </c>
      <c r="U456" s="1">
        <v>3</v>
      </c>
      <c r="V456" s="1">
        <v>2</v>
      </c>
      <c r="W456" s="1">
        <v>1</v>
      </c>
      <c r="X456" s="1">
        <v>2</v>
      </c>
    </row>
    <row r="457" spans="1:24">
      <c r="A457" s="1">
        <v>456</v>
      </c>
      <c r="B457" s="1" t="s">
        <v>33</v>
      </c>
      <c r="C457" s="1" t="s">
        <v>25</v>
      </c>
      <c r="D457" s="1" t="s">
        <v>43</v>
      </c>
      <c r="E457" s="1" t="s">
        <v>36</v>
      </c>
      <c r="F457" s="1" t="s">
        <v>45</v>
      </c>
      <c r="G457" s="1">
        <v>1</v>
      </c>
      <c r="H457" s="1" t="s">
        <v>29</v>
      </c>
      <c r="I457" s="1" t="s">
        <v>55</v>
      </c>
      <c r="J457" s="1" t="s">
        <v>48</v>
      </c>
      <c r="K457" s="1" t="s">
        <v>33</v>
      </c>
      <c r="L457" s="1">
        <v>33</v>
      </c>
      <c r="M457" s="1">
        <v>1</v>
      </c>
      <c r="N457" s="1" t="s">
        <v>58</v>
      </c>
      <c r="O457" s="1">
        <v>1</v>
      </c>
      <c r="P457" s="1">
        <v>4</v>
      </c>
      <c r="Q457" s="1">
        <v>3</v>
      </c>
      <c r="R457" s="1">
        <v>16184</v>
      </c>
      <c r="S457" s="1">
        <v>10</v>
      </c>
      <c r="T457" s="1">
        <v>3</v>
      </c>
      <c r="U457" s="1">
        <v>6</v>
      </c>
      <c r="V457" s="1">
        <v>1</v>
      </c>
      <c r="W457" s="1">
        <v>0</v>
      </c>
      <c r="X457" s="1">
        <v>5</v>
      </c>
    </row>
    <row r="458" spans="1:24">
      <c r="A458" s="1">
        <v>457</v>
      </c>
      <c r="B458" s="1" t="s">
        <v>33</v>
      </c>
      <c r="C458" s="1" t="s">
        <v>25</v>
      </c>
      <c r="D458" s="1" t="s">
        <v>43</v>
      </c>
      <c r="E458" s="1" t="s">
        <v>27</v>
      </c>
      <c r="F458" s="1" t="s">
        <v>28</v>
      </c>
      <c r="G458" s="1">
        <v>1</v>
      </c>
      <c r="H458" s="1" t="s">
        <v>37</v>
      </c>
      <c r="I458" s="1" t="s">
        <v>53</v>
      </c>
      <c r="J458" s="1" t="s">
        <v>48</v>
      </c>
      <c r="K458" s="1" t="s">
        <v>33</v>
      </c>
      <c r="L458" s="1">
        <v>31</v>
      </c>
      <c r="M458" s="1">
        <v>7</v>
      </c>
      <c r="N458" s="1" t="s">
        <v>47</v>
      </c>
      <c r="O458" s="1">
        <v>3</v>
      </c>
      <c r="P458" s="1">
        <v>3</v>
      </c>
      <c r="Q458" s="1">
        <v>4</v>
      </c>
      <c r="R458" s="1">
        <v>11557</v>
      </c>
      <c r="S458" s="1">
        <v>10</v>
      </c>
      <c r="T458" s="1">
        <v>2</v>
      </c>
      <c r="U458" s="1">
        <v>5</v>
      </c>
      <c r="V458" s="1">
        <v>4</v>
      </c>
      <c r="W458" s="1">
        <v>0</v>
      </c>
      <c r="X458" s="1">
        <v>1</v>
      </c>
    </row>
    <row r="459" spans="1:24">
      <c r="A459" s="1">
        <v>458</v>
      </c>
      <c r="B459" s="1" t="s">
        <v>24</v>
      </c>
      <c r="C459" s="1" t="s">
        <v>34</v>
      </c>
      <c r="D459" s="1" t="s">
        <v>52</v>
      </c>
      <c r="E459" s="1" t="s">
        <v>27</v>
      </c>
      <c r="F459" s="1" t="s">
        <v>56</v>
      </c>
      <c r="G459" s="1">
        <v>1</v>
      </c>
      <c r="H459" s="1" t="s">
        <v>37</v>
      </c>
      <c r="I459" s="1" t="s">
        <v>54</v>
      </c>
      <c r="J459" s="1" t="s">
        <v>31</v>
      </c>
      <c r="K459" s="1" t="s">
        <v>24</v>
      </c>
      <c r="L459" s="1">
        <v>18</v>
      </c>
      <c r="M459" s="1">
        <v>5</v>
      </c>
      <c r="N459" s="1" t="s">
        <v>47</v>
      </c>
      <c r="O459" s="1">
        <v>2</v>
      </c>
      <c r="P459" s="1">
        <v>1</v>
      </c>
      <c r="Q459" s="1">
        <v>2</v>
      </c>
      <c r="R459" s="1">
        <v>1878</v>
      </c>
      <c r="S459" s="1">
        <v>0</v>
      </c>
      <c r="T459" s="1">
        <v>3</v>
      </c>
      <c r="U459" s="1">
        <v>0</v>
      </c>
      <c r="V459" s="1">
        <v>0</v>
      </c>
      <c r="W459" s="1">
        <v>0</v>
      </c>
      <c r="X459" s="1">
        <v>0</v>
      </c>
    </row>
    <row r="460" spans="1:24">
      <c r="A460" s="1">
        <v>459</v>
      </c>
      <c r="B460" s="1" t="s">
        <v>33</v>
      </c>
      <c r="C460" s="1" t="s">
        <v>51</v>
      </c>
      <c r="D460" s="1" t="s">
        <v>26</v>
      </c>
      <c r="E460" s="1" t="s">
        <v>27</v>
      </c>
      <c r="F460" s="1" t="s">
        <v>41</v>
      </c>
      <c r="G460" s="1">
        <v>1</v>
      </c>
      <c r="H460" s="1" t="s">
        <v>37</v>
      </c>
      <c r="I460" s="1" t="s">
        <v>30</v>
      </c>
      <c r="J460" s="1" t="s">
        <v>48</v>
      </c>
      <c r="K460" s="1" t="s">
        <v>33</v>
      </c>
      <c r="L460" s="1">
        <v>40</v>
      </c>
      <c r="M460" s="1">
        <v>28</v>
      </c>
      <c r="N460" s="1" t="s">
        <v>47</v>
      </c>
      <c r="O460" s="1">
        <v>3</v>
      </c>
      <c r="P460" s="1">
        <v>3</v>
      </c>
      <c r="Q460" s="1">
        <v>1</v>
      </c>
      <c r="R460" s="1">
        <v>10932</v>
      </c>
      <c r="S460" s="1">
        <v>20</v>
      </c>
      <c r="T460" s="1">
        <v>3</v>
      </c>
      <c r="U460" s="1">
        <v>1</v>
      </c>
      <c r="V460" s="1">
        <v>0</v>
      </c>
      <c r="W460" s="1">
        <v>0</v>
      </c>
      <c r="X460" s="1">
        <v>1</v>
      </c>
    </row>
    <row r="461" spans="1:24">
      <c r="A461" s="1">
        <v>460</v>
      </c>
      <c r="B461" s="1" t="s">
        <v>33</v>
      </c>
      <c r="C461" s="1" t="s">
        <v>51</v>
      </c>
      <c r="D461" s="1" t="s">
        <v>26</v>
      </c>
      <c r="E461" s="1" t="s">
        <v>36</v>
      </c>
      <c r="F461" s="1" t="s">
        <v>41</v>
      </c>
      <c r="G461" s="1">
        <v>1</v>
      </c>
      <c r="H461" s="1" t="s">
        <v>29</v>
      </c>
      <c r="I461" s="1" t="s">
        <v>50</v>
      </c>
      <c r="J461" s="1" t="s">
        <v>31</v>
      </c>
      <c r="K461" s="1" t="s">
        <v>24</v>
      </c>
      <c r="L461" s="1">
        <v>41</v>
      </c>
      <c r="M461" s="1">
        <v>2</v>
      </c>
      <c r="N461" s="1" t="s">
        <v>44</v>
      </c>
      <c r="O461" s="1">
        <v>1</v>
      </c>
      <c r="P461" s="1">
        <v>2</v>
      </c>
      <c r="Q461" s="1">
        <v>3</v>
      </c>
      <c r="R461" s="1">
        <v>6811</v>
      </c>
      <c r="S461" s="1">
        <v>10</v>
      </c>
      <c r="T461" s="1">
        <v>3</v>
      </c>
      <c r="U461" s="1">
        <v>8</v>
      </c>
      <c r="V461" s="1">
        <v>7</v>
      </c>
      <c r="W461" s="1">
        <v>0</v>
      </c>
      <c r="X461" s="1">
        <v>7</v>
      </c>
    </row>
    <row r="462" spans="1:24">
      <c r="A462" s="1">
        <v>461</v>
      </c>
      <c r="B462" s="1" t="s">
        <v>33</v>
      </c>
      <c r="C462" s="1" t="s">
        <v>25</v>
      </c>
      <c r="D462" s="1" t="s">
        <v>43</v>
      </c>
      <c r="E462" s="1" t="s">
        <v>27</v>
      </c>
      <c r="F462" s="1" t="s">
        <v>45</v>
      </c>
      <c r="G462" s="1">
        <v>1</v>
      </c>
      <c r="H462" s="1" t="s">
        <v>37</v>
      </c>
      <c r="I462" s="1" t="s">
        <v>30</v>
      </c>
      <c r="J462" s="1" t="s">
        <v>48</v>
      </c>
      <c r="K462" s="1" t="s">
        <v>33</v>
      </c>
      <c r="L462" s="1">
        <v>26</v>
      </c>
      <c r="M462" s="1">
        <v>29</v>
      </c>
      <c r="N462" s="1" t="s">
        <v>32</v>
      </c>
      <c r="O462" s="1">
        <v>1</v>
      </c>
      <c r="P462" s="1">
        <v>2</v>
      </c>
      <c r="Q462" s="1">
        <v>3</v>
      </c>
      <c r="R462" s="1">
        <v>4306</v>
      </c>
      <c r="S462" s="1">
        <v>8</v>
      </c>
      <c r="T462" s="1">
        <v>3</v>
      </c>
      <c r="U462" s="1">
        <v>0</v>
      </c>
      <c r="V462" s="1">
        <v>0</v>
      </c>
      <c r="W462" s="1">
        <v>0</v>
      </c>
      <c r="X462" s="1">
        <v>0</v>
      </c>
    </row>
    <row r="463" spans="1:24">
      <c r="A463" s="1">
        <v>462</v>
      </c>
      <c r="B463" s="1" t="s">
        <v>33</v>
      </c>
      <c r="C463" s="1" t="s">
        <v>25</v>
      </c>
      <c r="D463" s="1" t="s">
        <v>26</v>
      </c>
      <c r="E463" s="1" t="s">
        <v>27</v>
      </c>
      <c r="F463" s="1" t="s">
        <v>45</v>
      </c>
      <c r="G463" s="1">
        <v>1</v>
      </c>
      <c r="H463" s="1" t="s">
        <v>29</v>
      </c>
      <c r="I463" s="1" t="s">
        <v>30</v>
      </c>
      <c r="J463" s="1" t="s">
        <v>31</v>
      </c>
      <c r="K463" s="1" t="s">
        <v>33</v>
      </c>
      <c r="L463" s="1">
        <v>35</v>
      </c>
      <c r="M463" s="1">
        <v>1</v>
      </c>
      <c r="N463" s="1" t="s">
        <v>47</v>
      </c>
      <c r="O463" s="1">
        <v>1</v>
      </c>
      <c r="P463" s="1">
        <v>2</v>
      </c>
      <c r="Q463" s="1">
        <v>3</v>
      </c>
      <c r="R463" s="1">
        <v>4859</v>
      </c>
      <c r="S463" s="1">
        <v>5</v>
      </c>
      <c r="T463" s="1">
        <v>3</v>
      </c>
      <c r="U463" s="1">
        <v>5</v>
      </c>
      <c r="V463" s="1">
        <v>4</v>
      </c>
      <c r="W463" s="1">
        <v>0</v>
      </c>
      <c r="X463" s="1">
        <v>3</v>
      </c>
    </row>
    <row r="464" spans="1:24">
      <c r="A464" s="1">
        <v>463</v>
      </c>
      <c r="B464" s="1" t="s">
        <v>33</v>
      </c>
      <c r="C464" s="1" t="s">
        <v>25</v>
      </c>
      <c r="D464" s="1" t="s">
        <v>43</v>
      </c>
      <c r="E464" s="1" t="s">
        <v>27</v>
      </c>
      <c r="F464" s="1" t="s">
        <v>28</v>
      </c>
      <c r="G464" s="1">
        <v>1</v>
      </c>
      <c r="H464" s="1" t="s">
        <v>37</v>
      </c>
      <c r="I464" s="1" t="s">
        <v>30</v>
      </c>
      <c r="J464" s="1" t="s">
        <v>31</v>
      </c>
      <c r="K464" s="1" t="s">
        <v>33</v>
      </c>
      <c r="L464" s="1">
        <v>34</v>
      </c>
      <c r="M464" s="1">
        <v>21</v>
      </c>
      <c r="N464" s="1" t="s">
        <v>44</v>
      </c>
      <c r="O464" s="1">
        <v>4</v>
      </c>
      <c r="P464" s="1">
        <v>2</v>
      </c>
      <c r="Q464" s="1">
        <v>4</v>
      </c>
      <c r="R464" s="1">
        <v>5337</v>
      </c>
      <c r="S464" s="1">
        <v>10</v>
      </c>
      <c r="T464" s="1">
        <v>3</v>
      </c>
      <c r="U464" s="1">
        <v>10</v>
      </c>
      <c r="V464" s="1">
        <v>7</v>
      </c>
      <c r="W464" s="1">
        <v>5</v>
      </c>
      <c r="X464" s="1">
        <v>7</v>
      </c>
    </row>
    <row r="465" spans="1:24">
      <c r="A465" s="1">
        <v>464</v>
      </c>
      <c r="B465" s="1" t="s">
        <v>24</v>
      </c>
      <c r="C465" s="1" t="s">
        <v>25</v>
      </c>
      <c r="D465" s="1" t="s">
        <v>43</v>
      </c>
      <c r="E465" s="1" t="s">
        <v>36</v>
      </c>
      <c r="F465" s="1" t="s">
        <v>57</v>
      </c>
      <c r="G465" s="1">
        <v>1</v>
      </c>
      <c r="H465" s="1" t="s">
        <v>37</v>
      </c>
      <c r="I465" s="1" t="s">
        <v>42</v>
      </c>
      <c r="J465" s="1" t="s">
        <v>31</v>
      </c>
      <c r="K465" s="1" t="s">
        <v>24</v>
      </c>
      <c r="L465" s="1">
        <v>26</v>
      </c>
      <c r="M465" s="1">
        <v>24</v>
      </c>
      <c r="N465" s="1" t="s">
        <v>47</v>
      </c>
      <c r="O465" s="1">
        <v>3</v>
      </c>
      <c r="P465" s="1">
        <v>1</v>
      </c>
      <c r="Q465" s="1">
        <v>4</v>
      </c>
      <c r="R465" s="1">
        <v>2340</v>
      </c>
      <c r="S465" s="1">
        <v>1</v>
      </c>
      <c r="T465" s="1">
        <v>1</v>
      </c>
      <c r="U465" s="1">
        <v>1</v>
      </c>
      <c r="V465" s="1">
        <v>0</v>
      </c>
      <c r="W465" s="1">
        <v>0</v>
      </c>
      <c r="X465" s="1">
        <v>0</v>
      </c>
    </row>
    <row r="466" spans="1:24">
      <c r="A466" s="1">
        <v>465</v>
      </c>
      <c r="B466" s="1" t="s">
        <v>33</v>
      </c>
      <c r="C466" s="1" t="s">
        <v>25</v>
      </c>
      <c r="D466" s="1" t="s">
        <v>26</v>
      </c>
      <c r="E466" s="1" t="s">
        <v>36</v>
      </c>
      <c r="F466" s="1" t="s">
        <v>57</v>
      </c>
      <c r="G466" s="1">
        <v>1</v>
      </c>
      <c r="H466" s="1" t="s">
        <v>29</v>
      </c>
      <c r="I466" s="1" t="s">
        <v>49</v>
      </c>
      <c r="J466" s="1" t="s">
        <v>31</v>
      </c>
      <c r="K466" s="1" t="s">
        <v>33</v>
      </c>
      <c r="L466" s="1">
        <v>37</v>
      </c>
      <c r="M466" s="1">
        <v>1</v>
      </c>
      <c r="N466" s="1" t="s">
        <v>47</v>
      </c>
      <c r="O466" s="1">
        <v>2</v>
      </c>
      <c r="P466" s="1">
        <v>3</v>
      </c>
      <c r="Q466" s="1">
        <v>4</v>
      </c>
      <c r="R466" s="1">
        <v>7491</v>
      </c>
      <c r="S466" s="1">
        <v>12</v>
      </c>
      <c r="T466" s="1">
        <v>4</v>
      </c>
      <c r="U466" s="1">
        <v>6</v>
      </c>
      <c r="V466" s="1">
        <v>5</v>
      </c>
      <c r="W466" s="1">
        <v>1</v>
      </c>
      <c r="X466" s="1">
        <v>2</v>
      </c>
    </row>
    <row r="467" spans="1:24">
      <c r="A467" s="1">
        <v>466</v>
      </c>
      <c r="B467" s="1" t="s">
        <v>33</v>
      </c>
      <c r="C467" s="1" t="s">
        <v>34</v>
      </c>
      <c r="D467" s="1" t="s">
        <v>35</v>
      </c>
      <c r="E467" s="1" t="s">
        <v>36</v>
      </c>
      <c r="F467" s="1" t="s">
        <v>45</v>
      </c>
      <c r="G467" s="1">
        <v>1</v>
      </c>
      <c r="H467" s="1" t="s">
        <v>29</v>
      </c>
      <c r="I467" s="1" t="s">
        <v>50</v>
      </c>
      <c r="J467" s="1" t="s">
        <v>39</v>
      </c>
      <c r="K467" s="1" t="s">
        <v>33</v>
      </c>
      <c r="L467" s="1">
        <v>46</v>
      </c>
      <c r="M467" s="1">
        <v>18</v>
      </c>
      <c r="N467" s="1" t="s">
        <v>40</v>
      </c>
      <c r="O467" s="1">
        <v>1</v>
      </c>
      <c r="P467" s="1">
        <v>3</v>
      </c>
      <c r="Q467" s="1">
        <v>3</v>
      </c>
      <c r="R467" s="1">
        <v>10527</v>
      </c>
      <c r="S467" s="1">
        <v>28</v>
      </c>
      <c r="T467" s="1">
        <v>2</v>
      </c>
      <c r="U467" s="1">
        <v>2</v>
      </c>
      <c r="V467" s="1">
        <v>2</v>
      </c>
      <c r="W467" s="1">
        <v>1</v>
      </c>
      <c r="X467" s="1">
        <v>2</v>
      </c>
    </row>
    <row r="468" spans="1:24">
      <c r="A468" s="1">
        <v>467</v>
      </c>
      <c r="B468" s="1" t="s">
        <v>33</v>
      </c>
      <c r="C468" s="1" t="s">
        <v>25</v>
      </c>
      <c r="D468" s="1" t="s">
        <v>26</v>
      </c>
      <c r="E468" s="1" t="s">
        <v>27</v>
      </c>
      <c r="F468" s="1" t="s">
        <v>28</v>
      </c>
      <c r="G468" s="1">
        <v>1</v>
      </c>
      <c r="H468" s="1" t="s">
        <v>29</v>
      </c>
      <c r="I468" s="1" t="s">
        <v>53</v>
      </c>
      <c r="J468" s="1" t="s">
        <v>39</v>
      </c>
      <c r="K468" s="1" t="s">
        <v>33</v>
      </c>
      <c r="L468" s="1">
        <v>41</v>
      </c>
      <c r="M468" s="1">
        <v>2</v>
      </c>
      <c r="N468" s="1" t="s">
        <v>58</v>
      </c>
      <c r="O468" s="1">
        <v>2</v>
      </c>
      <c r="P468" s="1">
        <v>4</v>
      </c>
      <c r="Q468" s="1">
        <v>1</v>
      </c>
      <c r="R468" s="1">
        <v>16595</v>
      </c>
      <c r="S468" s="1">
        <v>22</v>
      </c>
      <c r="T468" s="1">
        <v>3</v>
      </c>
      <c r="U468" s="1">
        <v>18</v>
      </c>
      <c r="V468" s="1">
        <v>16</v>
      </c>
      <c r="W468" s="1">
        <v>11</v>
      </c>
      <c r="X468" s="1">
        <v>8</v>
      </c>
    </row>
    <row r="469" spans="1:24">
      <c r="A469" s="1">
        <v>468</v>
      </c>
      <c r="B469" s="1" t="s">
        <v>33</v>
      </c>
      <c r="C469" s="1" t="s">
        <v>51</v>
      </c>
      <c r="D469" s="1" t="s">
        <v>26</v>
      </c>
      <c r="E469" s="1" t="s">
        <v>27</v>
      </c>
      <c r="F469" s="1" t="s">
        <v>45</v>
      </c>
      <c r="G469" s="1">
        <v>1</v>
      </c>
      <c r="H469" s="1" t="s">
        <v>37</v>
      </c>
      <c r="I469" s="1" t="s">
        <v>30</v>
      </c>
      <c r="J469" s="1" t="s">
        <v>48</v>
      </c>
      <c r="K469" s="1" t="s">
        <v>33</v>
      </c>
      <c r="L469" s="1">
        <v>37</v>
      </c>
      <c r="M469" s="1">
        <v>9</v>
      </c>
      <c r="N469" s="1" t="s">
        <v>44</v>
      </c>
      <c r="O469" s="1">
        <v>1</v>
      </c>
      <c r="P469" s="1">
        <v>3</v>
      </c>
      <c r="Q469" s="1">
        <v>2</v>
      </c>
      <c r="R469" s="1">
        <v>8834</v>
      </c>
      <c r="S469" s="1">
        <v>9</v>
      </c>
      <c r="T469" s="1">
        <v>3</v>
      </c>
      <c r="U469" s="1">
        <v>9</v>
      </c>
      <c r="V469" s="1">
        <v>5</v>
      </c>
      <c r="W469" s="1">
        <v>7</v>
      </c>
      <c r="X469" s="1">
        <v>7</v>
      </c>
    </row>
    <row r="470" spans="1:24">
      <c r="A470" s="1">
        <v>469</v>
      </c>
      <c r="B470" s="1" t="s">
        <v>33</v>
      </c>
      <c r="C470" s="1" t="s">
        <v>25</v>
      </c>
      <c r="D470" s="1" t="s">
        <v>35</v>
      </c>
      <c r="E470" s="1" t="s">
        <v>36</v>
      </c>
      <c r="F470" s="1" t="s">
        <v>57</v>
      </c>
      <c r="G470" s="1">
        <v>1</v>
      </c>
      <c r="H470" s="1" t="s">
        <v>37</v>
      </c>
      <c r="I470" s="1" t="s">
        <v>38</v>
      </c>
      <c r="J470" s="1" t="s">
        <v>48</v>
      </c>
      <c r="K470" s="1" t="s">
        <v>24</v>
      </c>
      <c r="L470" s="1">
        <v>52</v>
      </c>
      <c r="M470" s="1">
        <v>6</v>
      </c>
      <c r="N470" s="1" t="s">
        <v>32</v>
      </c>
      <c r="O470" s="1">
        <v>4</v>
      </c>
      <c r="P470" s="1">
        <v>2</v>
      </c>
      <c r="Q470" s="1">
        <v>1</v>
      </c>
      <c r="R470" s="1">
        <v>5577</v>
      </c>
      <c r="S470" s="1">
        <v>18</v>
      </c>
      <c r="T470" s="1">
        <v>3</v>
      </c>
      <c r="U470" s="1">
        <v>10</v>
      </c>
      <c r="V470" s="1">
        <v>9</v>
      </c>
      <c r="W470" s="1">
        <v>6</v>
      </c>
      <c r="X470" s="1">
        <v>9</v>
      </c>
    </row>
    <row r="471" spans="1:24">
      <c r="A471" s="1">
        <v>470</v>
      </c>
      <c r="B471" s="1" t="s">
        <v>24</v>
      </c>
      <c r="C471" s="1" t="s">
        <v>51</v>
      </c>
      <c r="D471" s="1" t="s">
        <v>43</v>
      </c>
      <c r="E471" s="1" t="s">
        <v>27</v>
      </c>
      <c r="F471" s="1" t="s">
        <v>41</v>
      </c>
      <c r="G471" s="1">
        <v>1</v>
      </c>
      <c r="H471" s="1" t="s">
        <v>37</v>
      </c>
      <c r="I471" s="1" t="s">
        <v>30</v>
      </c>
      <c r="J471" s="1" t="s">
        <v>39</v>
      </c>
      <c r="K471" s="1" t="s">
        <v>33</v>
      </c>
      <c r="L471" s="1">
        <v>32</v>
      </c>
      <c r="M471" s="1">
        <v>11</v>
      </c>
      <c r="N471" s="1" t="s">
        <v>44</v>
      </c>
      <c r="O471" s="1">
        <v>4</v>
      </c>
      <c r="P471" s="1">
        <v>2</v>
      </c>
      <c r="Q471" s="1">
        <v>3</v>
      </c>
      <c r="R471" s="1">
        <v>4707</v>
      </c>
      <c r="S471" s="1">
        <v>6</v>
      </c>
      <c r="T471" s="1">
        <v>3</v>
      </c>
      <c r="U471" s="1">
        <v>4</v>
      </c>
      <c r="V471" s="1">
        <v>2</v>
      </c>
      <c r="W471" s="1">
        <v>1</v>
      </c>
      <c r="X471" s="1">
        <v>2</v>
      </c>
    </row>
    <row r="472" spans="1:24">
      <c r="A472" s="1">
        <v>471</v>
      </c>
      <c r="B472" s="1" t="s">
        <v>33</v>
      </c>
      <c r="C472" s="1" t="s">
        <v>34</v>
      </c>
      <c r="D472" s="1" t="s">
        <v>52</v>
      </c>
      <c r="E472" s="1" t="s">
        <v>27</v>
      </c>
      <c r="F472" s="1" t="s">
        <v>45</v>
      </c>
      <c r="G472" s="1">
        <v>1</v>
      </c>
      <c r="H472" s="1" t="s">
        <v>37</v>
      </c>
      <c r="I472" s="1" t="s">
        <v>54</v>
      </c>
      <c r="J472" s="1" t="s">
        <v>39</v>
      </c>
      <c r="K472" s="1" t="s">
        <v>33</v>
      </c>
      <c r="L472" s="1">
        <v>24</v>
      </c>
      <c r="M472" s="1">
        <v>24</v>
      </c>
      <c r="N472" s="1" t="s">
        <v>47</v>
      </c>
      <c r="O472" s="1">
        <v>4</v>
      </c>
      <c r="P472" s="1">
        <v>1</v>
      </c>
      <c r="Q472" s="1">
        <v>4</v>
      </c>
      <c r="R472" s="1">
        <v>2400</v>
      </c>
      <c r="S472" s="1">
        <v>3</v>
      </c>
      <c r="T472" s="1">
        <v>3</v>
      </c>
      <c r="U472" s="1">
        <v>2</v>
      </c>
      <c r="V472" s="1">
        <v>2</v>
      </c>
      <c r="W472" s="1">
        <v>2</v>
      </c>
      <c r="X472" s="1">
        <v>1</v>
      </c>
    </row>
    <row r="473" spans="1:24">
      <c r="A473" s="1">
        <v>472</v>
      </c>
      <c r="B473" s="1" t="s">
        <v>33</v>
      </c>
      <c r="C473" s="1" t="s">
        <v>25</v>
      </c>
      <c r="D473" s="1" t="s">
        <v>26</v>
      </c>
      <c r="E473" s="1" t="s">
        <v>36</v>
      </c>
      <c r="F473" s="1" t="s">
        <v>45</v>
      </c>
      <c r="G473" s="1">
        <v>1</v>
      </c>
      <c r="H473" s="1" t="s">
        <v>29</v>
      </c>
      <c r="I473" s="1" t="s">
        <v>50</v>
      </c>
      <c r="J473" s="1" t="s">
        <v>39</v>
      </c>
      <c r="K473" s="1" t="s">
        <v>33</v>
      </c>
      <c r="L473" s="1">
        <v>38</v>
      </c>
      <c r="M473" s="1">
        <v>10</v>
      </c>
      <c r="N473" s="1" t="s">
        <v>47</v>
      </c>
      <c r="O473" s="1">
        <v>3</v>
      </c>
      <c r="P473" s="1">
        <v>2</v>
      </c>
      <c r="Q473" s="1">
        <v>3</v>
      </c>
      <c r="R473" s="1">
        <v>9824</v>
      </c>
      <c r="S473" s="1">
        <v>18</v>
      </c>
      <c r="T473" s="1">
        <v>3</v>
      </c>
      <c r="U473" s="1">
        <v>1</v>
      </c>
      <c r="V473" s="1">
        <v>0</v>
      </c>
      <c r="W473" s="1">
        <v>0</v>
      </c>
      <c r="X473" s="1">
        <v>0</v>
      </c>
    </row>
    <row r="474" spans="1:24">
      <c r="A474" s="1">
        <v>473</v>
      </c>
      <c r="B474" s="1" t="s">
        <v>33</v>
      </c>
      <c r="C474" s="1" t="s">
        <v>25</v>
      </c>
      <c r="D474" s="1" t="s">
        <v>26</v>
      </c>
      <c r="E474" s="1" t="s">
        <v>36</v>
      </c>
      <c r="F474" s="1" t="s">
        <v>28</v>
      </c>
      <c r="G474" s="1">
        <v>1</v>
      </c>
      <c r="H474" s="1" t="s">
        <v>29</v>
      </c>
      <c r="I474" s="1" t="s">
        <v>49</v>
      </c>
      <c r="J474" s="1" t="s">
        <v>39</v>
      </c>
      <c r="K474" s="1" t="s">
        <v>33</v>
      </c>
      <c r="L474" s="1">
        <v>37</v>
      </c>
      <c r="M474" s="1">
        <v>1</v>
      </c>
      <c r="N474" s="1" t="s">
        <v>44</v>
      </c>
      <c r="O474" s="1">
        <v>2</v>
      </c>
      <c r="P474" s="1">
        <v>2</v>
      </c>
      <c r="Q474" s="1">
        <v>2</v>
      </c>
      <c r="R474" s="1">
        <v>6447</v>
      </c>
      <c r="S474" s="1">
        <v>8</v>
      </c>
      <c r="T474" s="1">
        <v>2</v>
      </c>
      <c r="U474" s="1">
        <v>6</v>
      </c>
      <c r="V474" s="1">
        <v>5</v>
      </c>
      <c r="W474" s="1">
        <v>4</v>
      </c>
      <c r="X474" s="1">
        <v>3</v>
      </c>
    </row>
    <row r="475" spans="1:24">
      <c r="A475" s="1">
        <v>474</v>
      </c>
      <c r="B475" s="1" t="s">
        <v>33</v>
      </c>
      <c r="C475" s="1" t="s">
        <v>25</v>
      </c>
      <c r="D475" s="1" t="s">
        <v>35</v>
      </c>
      <c r="E475" s="1" t="s">
        <v>36</v>
      </c>
      <c r="F475" s="1" t="s">
        <v>28</v>
      </c>
      <c r="G475" s="1">
        <v>1</v>
      </c>
      <c r="H475" s="1" t="s">
        <v>37</v>
      </c>
      <c r="I475" s="1" t="s">
        <v>55</v>
      </c>
      <c r="J475" s="1" t="s">
        <v>48</v>
      </c>
      <c r="K475" s="1" t="s">
        <v>24</v>
      </c>
      <c r="L475" s="1">
        <v>49</v>
      </c>
      <c r="M475" s="1">
        <v>18</v>
      </c>
      <c r="N475" s="1" t="s">
        <v>44</v>
      </c>
      <c r="O475" s="1">
        <v>4</v>
      </c>
      <c r="P475" s="1">
        <v>5</v>
      </c>
      <c r="Q475" s="1">
        <v>3</v>
      </c>
      <c r="R475" s="1">
        <v>19502</v>
      </c>
      <c r="S475" s="1">
        <v>31</v>
      </c>
      <c r="T475" s="1">
        <v>3</v>
      </c>
      <c r="U475" s="1">
        <v>31</v>
      </c>
      <c r="V475" s="1">
        <v>9</v>
      </c>
      <c r="W475" s="1">
        <v>0</v>
      </c>
      <c r="X475" s="1">
        <v>9</v>
      </c>
    </row>
    <row r="476" spans="1:24">
      <c r="A476" s="1">
        <v>475</v>
      </c>
      <c r="B476" s="1" t="s">
        <v>33</v>
      </c>
      <c r="C476" s="1" t="s">
        <v>25</v>
      </c>
      <c r="D476" s="1" t="s">
        <v>52</v>
      </c>
      <c r="E476" s="1" t="s">
        <v>36</v>
      </c>
      <c r="F476" s="1" t="s">
        <v>45</v>
      </c>
      <c r="G476" s="1">
        <v>1</v>
      </c>
      <c r="H476" s="1" t="s">
        <v>37</v>
      </c>
      <c r="I476" s="1" t="s">
        <v>38</v>
      </c>
      <c r="J476" s="1" t="s">
        <v>39</v>
      </c>
      <c r="K476" s="1" t="s">
        <v>24</v>
      </c>
      <c r="L476" s="1">
        <v>24</v>
      </c>
      <c r="M476" s="1">
        <v>23</v>
      </c>
      <c r="N476" s="1" t="s">
        <v>47</v>
      </c>
      <c r="O476" s="1">
        <v>2</v>
      </c>
      <c r="P476" s="1">
        <v>1</v>
      </c>
      <c r="Q476" s="1">
        <v>4</v>
      </c>
      <c r="R476" s="1">
        <v>2725</v>
      </c>
      <c r="S476" s="1">
        <v>6</v>
      </c>
      <c r="T476" s="1">
        <v>3</v>
      </c>
      <c r="U476" s="1">
        <v>6</v>
      </c>
      <c r="V476" s="1">
        <v>5</v>
      </c>
      <c r="W476" s="1">
        <v>1</v>
      </c>
      <c r="X476" s="1">
        <v>4</v>
      </c>
    </row>
    <row r="477" spans="1:24">
      <c r="A477" s="1">
        <v>476</v>
      </c>
      <c r="B477" s="1" t="s">
        <v>33</v>
      </c>
      <c r="C477" s="1" t="s">
        <v>25</v>
      </c>
      <c r="D477" s="1" t="s">
        <v>43</v>
      </c>
      <c r="E477" s="1" t="s">
        <v>27</v>
      </c>
      <c r="F477" s="1" t="s">
        <v>56</v>
      </c>
      <c r="G477" s="1">
        <v>1</v>
      </c>
      <c r="H477" s="1" t="s">
        <v>37</v>
      </c>
      <c r="I477" s="1" t="s">
        <v>30</v>
      </c>
      <c r="J477" s="1" t="s">
        <v>39</v>
      </c>
      <c r="K477" s="1" t="s">
        <v>33</v>
      </c>
      <c r="L477" s="1">
        <v>26</v>
      </c>
      <c r="M477" s="1">
        <v>28</v>
      </c>
      <c r="N477" s="1" t="s">
        <v>32</v>
      </c>
      <c r="O477" s="1">
        <v>1</v>
      </c>
      <c r="P477" s="1">
        <v>2</v>
      </c>
      <c r="Q477" s="1">
        <v>2</v>
      </c>
      <c r="R477" s="1">
        <v>6272</v>
      </c>
      <c r="S477" s="1">
        <v>6</v>
      </c>
      <c r="T477" s="1">
        <v>4</v>
      </c>
      <c r="U477" s="1">
        <v>5</v>
      </c>
      <c r="V477" s="1">
        <v>3</v>
      </c>
      <c r="W477" s="1">
        <v>1</v>
      </c>
      <c r="X477" s="1">
        <v>4</v>
      </c>
    </row>
    <row r="478" spans="1:24">
      <c r="A478" s="1">
        <v>477</v>
      </c>
      <c r="B478" s="1" t="s">
        <v>33</v>
      </c>
      <c r="C478" s="1" t="s">
        <v>25</v>
      </c>
      <c r="D478" s="1" t="s">
        <v>52</v>
      </c>
      <c r="E478" s="1" t="s">
        <v>36</v>
      </c>
      <c r="F478" s="1" t="s">
        <v>41</v>
      </c>
      <c r="G478" s="1">
        <v>1</v>
      </c>
      <c r="H478" s="1" t="s">
        <v>37</v>
      </c>
      <c r="I478" s="1" t="s">
        <v>42</v>
      </c>
      <c r="J478" s="1" t="s">
        <v>39</v>
      </c>
      <c r="K478" s="1" t="s">
        <v>33</v>
      </c>
      <c r="L478" s="1">
        <v>24</v>
      </c>
      <c r="M478" s="1">
        <v>17</v>
      </c>
      <c r="N478" s="1" t="s">
        <v>32</v>
      </c>
      <c r="O478" s="1">
        <v>4</v>
      </c>
      <c r="P478" s="1">
        <v>1</v>
      </c>
      <c r="Q478" s="1">
        <v>2</v>
      </c>
      <c r="R478" s="1">
        <v>2127</v>
      </c>
      <c r="S478" s="1">
        <v>1</v>
      </c>
      <c r="T478" s="1">
        <v>3</v>
      </c>
      <c r="U478" s="1">
        <v>1</v>
      </c>
      <c r="V478" s="1">
        <v>0</v>
      </c>
      <c r="W478" s="1">
        <v>0</v>
      </c>
      <c r="X478" s="1">
        <v>0</v>
      </c>
    </row>
    <row r="479" spans="1:24">
      <c r="A479" s="1">
        <v>478</v>
      </c>
      <c r="B479" s="1" t="s">
        <v>33</v>
      </c>
      <c r="C479" s="1" t="s">
        <v>34</v>
      </c>
      <c r="D479" s="1" t="s">
        <v>35</v>
      </c>
      <c r="E479" s="1" t="s">
        <v>59</v>
      </c>
      <c r="F479" s="1" t="s">
        <v>45</v>
      </c>
      <c r="G479" s="1">
        <v>1</v>
      </c>
      <c r="H479" s="1" t="s">
        <v>37</v>
      </c>
      <c r="I479" s="1" t="s">
        <v>53</v>
      </c>
      <c r="J479" s="1" t="s">
        <v>39</v>
      </c>
      <c r="K479" s="1" t="s">
        <v>33</v>
      </c>
      <c r="L479" s="1">
        <v>50</v>
      </c>
      <c r="M479" s="1">
        <v>3</v>
      </c>
      <c r="N479" s="1" t="s">
        <v>47</v>
      </c>
      <c r="O479" s="1">
        <v>1</v>
      </c>
      <c r="P479" s="1">
        <v>5</v>
      </c>
      <c r="Q479" s="1">
        <v>2</v>
      </c>
      <c r="R479" s="1">
        <v>18200</v>
      </c>
      <c r="S479" s="1">
        <v>32</v>
      </c>
      <c r="T479" s="1">
        <v>3</v>
      </c>
      <c r="U479" s="1">
        <v>32</v>
      </c>
      <c r="V479" s="1">
        <v>5</v>
      </c>
      <c r="W479" s="1">
        <v>10</v>
      </c>
      <c r="X479" s="1">
        <v>7</v>
      </c>
    </row>
    <row r="480" spans="1:24">
      <c r="A480" s="1">
        <v>479</v>
      </c>
      <c r="B480" s="1" t="s">
        <v>33</v>
      </c>
      <c r="C480" s="1" t="s">
        <v>25</v>
      </c>
      <c r="D480" s="1" t="s">
        <v>43</v>
      </c>
      <c r="E480" s="1" t="s">
        <v>27</v>
      </c>
      <c r="F480" s="1" t="s">
        <v>45</v>
      </c>
      <c r="G480" s="1">
        <v>1</v>
      </c>
      <c r="H480" s="1" t="s">
        <v>37</v>
      </c>
      <c r="I480" s="1" t="s">
        <v>54</v>
      </c>
      <c r="J480" s="1" t="s">
        <v>39</v>
      </c>
      <c r="K480" s="1" t="s">
        <v>33</v>
      </c>
      <c r="L480" s="1">
        <v>25</v>
      </c>
      <c r="M480" s="1">
        <v>13</v>
      </c>
      <c r="N480" s="1" t="s">
        <v>40</v>
      </c>
      <c r="O480" s="1">
        <v>2</v>
      </c>
      <c r="P480" s="1">
        <v>1</v>
      </c>
      <c r="Q480" s="1">
        <v>3</v>
      </c>
      <c r="R480" s="1">
        <v>2096</v>
      </c>
      <c r="S480" s="1">
        <v>7</v>
      </c>
      <c r="T480" s="1">
        <v>3</v>
      </c>
      <c r="U480" s="1">
        <v>7</v>
      </c>
      <c r="V480" s="1">
        <v>4</v>
      </c>
      <c r="W480" s="1">
        <v>0</v>
      </c>
      <c r="X480" s="1">
        <v>6</v>
      </c>
    </row>
    <row r="481" spans="1:24">
      <c r="A481" s="1">
        <v>480</v>
      </c>
      <c r="B481" s="1" t="s">
        <v>24</v>
      </c>
      <c r="C481" s="1" t="s">
        <v>34</v>
      </c>
      <c r="D481" s="1" t="s">
        <v>52</v>
      </c>
      <c r="E481" s="1" t="s">
        <v>36</v>
      </c>
      <c r="F481" s="1" t="s">
        <v>28</v>
      </c>
      <c r="G481" s="1">
        <v>1</v>
      </c>
      <c r="H481" s="1" t="s">
        <v>29</v>
      </c>
      <c r="I481" s="1" t="s">
        <v>42</v>
      </c>
      <c r="J481" s="1" t="s">
        <v>39</v>
      </c>
      <c r="K481" s="1" t="s">
        <v>24</v>
      </c>
      <c r="L481" s="1">
        <v>24</v>
      </c>
      <c r="M481" s="1">
        <v>7</v>
      </c>
      <c r="N481" s="1" t="s">
        <v>47</v>
      </c>
      <c r="O481" s="1">
        <v>1</v>
      </c>
      <c r="P481" s="1">
        <v>1</v>
      </c>
      <c r="Q481" s="1">
        <v>3</v>
      </c>
      <c r="R481" s="1">
        <v>2886</v>
      </c>
      <c r="S481" s="1">
        <v>6</v>
      </c>
      <c r="T481" s="1">
        <v>3</v>
      </c>
      <c r="U481" s="1">
        <v>6</v>
      </c>
      <c r="V481" s="1">
        <v>3</v>
      </c>
      <c r="W481" s="1">
        <v>1</v>
      </c>
      <c r="X481" s="1">
        <v>2</v>
      </c>
    </row>
    <row r="482" spans="1:24">
      <c r="A482" s="1">
        <v>481</v>
      </c>
      <c r="B482" s="1" t="s">
        <v>24</v>
      </c>
      <c r="C482" s="1" t="s">
        <v>34</v>
      </c>
      <c r="D482" s="1" t="s">
        <v>43</v>
      </c>
      <c r="E482" s="1" t="s">
        <v>27</v>
      </c>
      <c r="F482" s="1" t="s">
        <v>28</v>
      </c>
      <c r="G482" s="1">
        <v>1</v>
      </c>
      <c r="H482" s="1" t="s">
        <v>37</v>
      </c>
      <c r="I482" s="1" t="s">
        <v>54</v>
      </c>
      <c r="J482" s="1" t="s">
        <v>39</v>
      </c>
      <c r="K482" s="1" t="s">
        <v>33</v>
      </c>
      <c r="L482" s="1">
        <v>30</v>
      </c>
      <c r="M482" s="1">
        <v>12</v>
      </c>
      <c r="N482" s="1" t="s">
        <v>44</v>
      </c>
      <c r="O482" s="1">
        <v>2</v>
      </c>
      <c r="P482" s="1">
        <v>1</v>
      </c>
      <c r="Q482" s="1">
        <v>1</v>
      </c>
      <c r="R482" s="1">
        <v>2033</v>
      </c>
      <c r="S482" s="1">
        <v>1</v>
      </c>
      <c r="T482" s="1">
        <v>4</v>
      </c>
      <c r="U482" s="1">
        <v>1</v>
      </c>
      <c r="V482" s="1">
        <v>0</v>
      </c>
      <c r="W482" s="1">
        <v>0</v>
      </c>
      <c r="X482" s="1">
        <v>0</v>
      </c>
    </row>
    <row r="483" spans="1:24">
      <c r="A483" s="1">
        <v>482</v>
      </c>
      <c r="B483" s="1" t="s">
        <v>33</v>
      </c>
      <c r="C483" s="1" t="s">
        <v>25</v>
      </c>
      <c r="D483" s="1" t="s">
        <v>43</v>
      </c>
      <c r="E483" s="1" t="s">
        <v>36</v>
      </c>
      <c r="F483" s="1" t="s">
        <v>28</v>
      </c>
      <c r="G483" s="1">
        <v>1</v>
      </c>
      <c r="H483" s="1" t="s">
        <v>37</v>
      </c>
      <c r="I483" s="1" t="s">
        <v>38</v>
      </c>
      <c r="J483" s="1" t="s">
        <v>39</v>
      </c>
      <c r="K483" s="1" t="s">
        <v>24</v>
      </c>
      <c r="L483" s="1">
        <v>34</v>
      </c>
      <c r="M483" s="1">
        <v>1</v>
      </c>
      <c r="N483" s="1" t="s">
        <v>32</v>
      </c>
      <c r="O483" s="1">
        <v>2</v>
      </c>
      <c r="P483" s="1">
        <v>1</v>
      </c>
      <c r="Q483" s="1">
        <v>4</v>
      </c>
      <c r="R483" s="1">
        <v>3622</v>
      </c>
      <c r="S483" s="1">
        <v>6</v>
      </c>
      <c r="T483" s="1">
        <v>3</v>
      </c>
      <c r="U483" s="1">
        <v>6</v>
      </c>
      <c r="V483" s="1">
        <v>5</v>
      </c>
      <c r="W483" s="1">
        <v>1</v>
      </c>
      <c r="X483" s="1">
        <v>3</v>
      </c>
    </row>
    <row r="484" spans="1:24">
      <c r="A484" s="1">
        <v>483</v>
      </c>
      <c r="B484" s="1" t="s">
        <v>24</v>
      </c>
      <c r="C484" s="1" t="s">
        <v>25</v>
      </c>
      <c r="D484" s="1" t="s">
        <v>43</v>
      </c>
      <c r="E484" s="1" t="s">
        <v>27</v>
      </c>
      <c r="F484" s="1" t="s">
        <v>45</v>
      </c>
      <c r="G484" s="1">
        <v>1</v>
      </c>
      <c r="H484" s="1" t="s">
        <v>37</v>
      </c>
      <c r="I484" s="1" t="s">
        <v>30</v>
      </c>
      <c r="J484" s="1" t="s">
        <v>48</v>
      </c>
      <c r="K484" s="1" t="s">
        <v>33</v>
      </c>
      <c r="L484" s="1">
        <v>31</v>
      </c>
      <c r="M484" s="1">
        <v>13</v>
      </c>
      <c r="N484" s="1" t="s">
        <v>44</v>
      </c>
      <c r="O484" s="1">
        <v>2</v>
      </c>
      <c r="P484" s="1">
        <v>2</v>
      </c>
      <c r="Q484" s="1">
        <v>1</v>
      </c>
      <c r="R484" s="1">
        <v>4233</v>
      </c>
      <c r="S484" s="1">
        <v>9</v>
      </c>
      <c r="T484" s="1">
        <v>1</v>
      </c>
      <c r="U484" s="1">
        <v>3</v>
      </c>
      <c r="V484" s="1">
        <v>1</v>
      </c>
      <c r="W484" s="1">
        <v>1</v>
      </c>
      <c r="X484" s="1">
        <v>2</v>
      </c>
    </row>
    <row r="485" spans="1:24">
      <c r="A485" s="1">
        <v>484</v>
      </c>
      <c r="B485" s="1" t="s">
        <v>33</v>
      </c>
      <c r="C485" s="1" t="s">
        <v>25</v>
      </c>
      <c r="D485" s="1" t="s">
        <v>26</v>
      </c>
      <c r="E485" s="1" t="s">
        <v>36</v>
      </c>
      <c r="F485" s="1" t="s">
        <v>41</v>
      </c>
      <c r="G485" s="1">
        <v>1</v>
      </c>
      <c r="H485" s="1" t="s">
        <v>37</v>
      </c>
      <c r="I485" s="1" t="s">
        <v>42</v>
      </c>
      <c r="J485" s="1" t="s">
        <v>31</v>
      </c>
      <c r="K485" s="1" t="s">
        <v>33</v>
      </c>
      <c r="L485" s="1">
        <v>35</v>
      </c>
      <c r="M485" s="1">
        <v>25</v>
      </c>
      <c r="N485" s="1" t="s">
        <v>32</v>
      </c>
      <c r="O485" s="1">
        <v>1</v>
      </c>
      <c r="P485" s="1">
        <v>2</v>
      </c>
      <c r="Q485" s="1">
        <v>4</v>
      </c>
      <c r="R485" s="1">
        <v>3681</v>
      </c>
      <c r="S485" s="1">
        <v>9</v>
      </c>
      <c r="T485" s="1">
        <v>3</v>
      </c>
      <c r="U485" s="1">
        <v>3</v>
      </c>
      <c r="V485" s="1">
        <v>2</v>
      </c>
      <c r="W485" s="1">
        <v>0</v>
      </c>
      <c r="X485" s="1">
        <v>2</v>
      </c>
    </row>
    <row r="486" spans="1:24">
      <c r="A486" s="1">
        <v>485</v>
      </c>
      <c r="B486" s="1" t="s">
        <v>33</v>
      </c>
      <c r="C486" s="1" t="s">
        <v>25</v>
      </c>
      <c r="D486" s="1" t="s">
        <v>43</v>
      </c>
      <c r="E486" s="1" t="s">
        <v>27</v>
      </c>
      <c r="F486" s="1" t="s">
        <v>45</v>
      </c>
      <c r="G486" s="1">
        <v>1</v>
      </c>
      <c r="H486" s="1" t="s">
        <v>37</v>
      </c>
      <c r="I486" s="1" t="s">
        <v>30</v>
      </c>
      <c r="J486" s="1" t="s">
        <v>48</v>
      </c>
      <c r="K486" s="1" t="s">
        <v>33</v>
      </c>
      <c r="L486" s="1">
        <v>31</v>
      </c>
      <c r="M486" s="1">
        <v>6</v>
      </c>
      <c r="N486" s="1" t="s">
        <v>44</v>
      </c>
      <c r="O486" s="1">
        <v>1</v>
      </c>
      <c r="P486" s="1">
        <v>2</v>
      </c>
      <c r="Q486" s="1">
        <v>4</v>
      </c>
      <c r="R486" s="1">
        <v>5460</v>
      </c>
      <c r="S486" s="1">
        <v>13</v>
      </c>
      <c r="T486" s="1">
        <v>4</v>
      </c>
      <c r="U486" s="1">
        <v>7</v>
      </c>
      <c r="V486" s="1">
        <v>7</v>
      </c>
      <c r="W486" s="1">
        <v>5</v>
      </c>
      <c r="X486" s="1">
        <v>7</v>
      </c>
    </row>
    <row r="487" spans="1:24">
      <c r="A487" s="1">
        <v>486</v>
      </c>
      <c r="B487" s="1" t="s">
        <v>33</v>
      </c>
      <c r="C487" s="1" t="s">
        <v>25</v>
      </c>
      <c r="D487" s="1" t="s">
        <v>43</v>
      </c>
      <c r="E487" s="1" t="s">
        <v>36</v>
      </c>
      <c r="F487" s="1" t="s">
        <v>45</v>
      </c>
      <c r="G487" s="1">
        <v>1</v>
      </c>
      <c r="H487" s="1" t="s">
        <v>29</v>
      </c>
      <c r="I487" s="1" t="s">
        <v>38</v>
      </c>
      <c r="J487" s="1" t="s">
        <v>48</v>
      </c>
      <c r="K487" s="1" t="s">
        <v>33</v>
      </c>
      <c r="L487" s="1">
        <v>27</v>
      </c>
      <c r="M487" s="1">
        <v>6</v>
      </c>
      <c r="N487" s="1" t="s">
        <v>44</v>
      </c>
      <c r="O487" s="1">
        <v>1</v>
      </c>
      <c r="P487" s="1">
        <v>1</v>
      </c>
      <c r="Q487" s="1">
        <v>3</v>
      </c>
      <c r="R487" s="1">
        <v>2187</v>
      </c>
      <c r="S487" s="1">
        <v>6</v>
      </c>
      <c r="T487" s="1">
        <v>2</v>
      </c>
      <c r="U487" s="1">
        <v>5</v>
      </c>
      <c r="V487" s="1">
        <v>3</v>
      </c>
      <c r="W487" s="1">
        <v>0</v>
      </c>
      <c r="X487" s="1">
        <v>3</v>
      </c>
    </row>
    <row r="488" spans="1:24">
      <c r="A488" s="1">
        <v>487</v>
      </c>
      <c r="B488" s="1" t="s">
        <v>33</v>
      </c>
      <c r="C488" s="1" t="s">
        <v>25</v>
      </c>
      <c r="D488" s="1" t="s">
        <v>26</v>
      </c>
      <c r="E488" s="1" t="s">
        <v>27</v>
      </c>
      <c r="F488" s="1" t="s">
        <v>56</v>
      </c>
      <c r="G488" s="1">
        <v>1</v>
      </c>
      <c r="H488" s="1" t="s">
        <v>37</v>
      </c>
      <c r="I488" s="1" t="s">
        <v>30</v>
      </c>
      <c r="J488" s="1" t="s">
        <v>39</v>
      </c>
      <c r="K488" s="1" t="s">
        <v>24</v>
      </c>
      <c r="L488" s="1">
        <v>37</v>
      </c>
      <c r="M488" s="1">
        <v>2</v>
      </c>
      <c r="N488" s="1" t="s">
        <v>47</v>
      </c>
      <c r="O488" s="1">
        <v>4</v>
      </c>
      <c r="P488" s="1">
        <v>2</v>
      </c>
      <c r="Q488" s="1">
        <v>3</v>
      </c>
      <c r="R488" s="1">
        <v>9602</v>
      </c>
      <c r="S488" s="1">
        <v>17</v>
      </c>
      <c r="T488" s="1">
        <v>2</v>
      </c>
      <c r="U488" s="1">
        <v>3</v>
      </c>
      <c r="V488" s="1">
        <v>0</v>
      </c>
      <c r="W488" s="1">
        <v>1</v>
      </c>
      <c r="X488" s="1">
        <v>0</v>
      </c>
    </row>
    <row r="489" spans="1:24">
      <c r="A489" s="1">
        <v>488</v>
      </c>
      <c r="B489" s="1" t="s">
        <v>33</v>
      </c>
      <c r="C489" s="1" t="s">
        <v>25</v>
      </c>
      <c r="D489" s="1" t="s">
        <v>52</v>
      </c>
      <c r="E489" s="1" t="s">
        <v>36</v>
      </c>
      <c r="F489" s="1" t="s">
        <v>28</v>
      </c>
      <c r="G489" s="1">
        <v>1</v>
      </c>
      <c r="H489" s="1" t="s">
        <v>29</v>
      </c>
      <c r="I489" s="1" t="s">
        <v>38</v>
      </c>
      <c r="J489" s="1" t="s">
        <v>31</v>
      </c>
      <c r="K489" s="1" t="s">
        <v>33</v>
      </c>
      <c r="L489" s="1">
        <v>20</v>
      </c>
      <c r="M489" s="1">
        <v>1</v>
      </c>
      <c r="N489" s="1" t="s">
        <v>47</v>
      </c>
      <c r="O489" s="1">
        <v>4</v>
      </c>
      <c r="P489" s="1">
        <v>1</v>
      </c>
      <c r="Q489" s="1">
        <v>2</v>
      </c>
      <c r="R489" s="1">
        <v>2836</v>
      </c>
      <c r="S489" s="1">
        <v>1</v>
      </c>
      <c r="T489" s="1">
        <v>4</v>
      </c>
      <c r="U489" s="1">
        <v>1</v>
      </c>
      <c r="V489" s="1">
        <v>0</v>
      </c>
      <c r="W489" s="1">
        <v>0</v>
      </c>
      <c r="X489" s="1">
        <v>0</v>
      </c>
    </row>
    <row r="490" spans="1:24">
      <c r="A490" s="1">
        <v>489</v>
      </c>
      <c r="B490" s="1" t="s">
        <v>33</v>
      </c>
      <c r="C490" s="1" t="s">
        <v>25</v>
      </c>
      <c r="D490" s="1" t="s">
        <v>26</v>
      </c>
      <c r="E490" s="1" t="s">
        <v>36</v>
      </c>
      <c r="F490" s="1" t="s">
        <v>28</v>
      </c>
      <c r="G490" s="1">
        <v>1</v>
      </c>
      <c r="H490" s="1" t="s">
        <v>29</v>
      </c>
      <c r="I490" s="1" t="s">
        <v>50</v>
      </c>
      <c r="J490" s="1" t="s">
        <v>39</v>
      </c>
      <c r="K490" s="1" t="s">
        <v>33</v>
      </c>
      <c r="L490" s="1">
        <v>42</v>
      </c>
      <c r="M490" s="1">
        <v>2</v>
      </c>
      <c r="N490" s="1" t="s">
        <v>44</v>
      </c>
      <c r="O490" s="1">
        <v>3</v>
      </c>
      <c r="P490" s="1">
        <v>2</v>
      </c>
      <c r="Q490" s="1">
        <v>4</v>
      </c>
      <c r="R490" s="1">
        <v>4089</v>
      </c>
      <c r="S490" s="1">
        <v>10</v>
      </c>
      <c r="T490" s="1">
        <v>3</v>
      </c>
      <c r="U490" s="1">
        <v>10</v>
      </c>
      <c r="V490" s="1">
        <v>2</v>
      </c>
      <c r="W490" s="1">
        <v>2</v>
      </c>
      <c r="X490" s="1">
        <v>2</v>
      </c>
    </row>
    <row r="491" spans="1:24">
      <c r="A491" s="1">
        <v>490</v>
      </c>
      <c r="B491" s="1" t="s">
        <v>33</v>
      </c>
      <c r="C491" s="1" t="s">
        <v>25</v>
      </c>
      <c r="D491" s="1" t="s">
        <v>26</v>
      </c>
      <c r="E491" s="1" t="s">
        <v>36</v>
      </c>
      <c r="F491" s="1" t="s">
        <v>41</v>
      </c>
      <c r="G491" s="1">
        <v>1</v>
      </c>
      <c r="H491" s="1" t="s">
        <v>37</v>
      </c>
      <c r="I491" s="1" t="s">
        <v>55</v>
      </c>
      <c r="J491" s="1" t="s">
        <v>48</v>
      </c>
      <c r="K491" s="1" t="s">
        <v>24</v>
      </c>
      <c r="L491" s="1">
        <v>43</v>
      </c>
      <c r="M491" s="1">
        <v>6</v>
      </c>
      <c r="N491" s="1" t="s">
        <v>44</v>
      </c>
      <c r="O491" s="1">
        <v>2</v>
      </c>
      <c r="P491" s="1">
        <v>4</v>
      </c>
      <c r="Q491" s="1">
        <v>4</v>
      </c>
      <c r="R491" s="1">
        <v>16627</v>
      </c>
      <c r="S491" s="1">
        <v>21</v>
      </c>
      <c r="T491" s="1">
        <v>2</v>
      </c>
      <c r="U491" s="1">
        <v>1</v>
      </c>
      <c r="V491" s="1">
        <v>0</v>
      </c>
      <c r="W491" s="1">
        <v>0</v>
      </c>
      <c r="X491" s="1">
        <v>0</v>
      </c>
    </row>
    <row r="492" spans="1:24">
      <c r="A492" s="1">
        <v>491</v>
      </c>
      <c r="B492" s="1" t="s">
        <v>33</v>
      </c>
      <c r="C492" s="1" t="s">
        <v>25</v>
      </c>
      <c r="D492" s="1" t="s">
        <v>26</v>
      </c>
      <c r="E492" s="1" t="s">
        <v>36</v>
      </c>
      <c r="F492" s="1" t="s">
        <v>28</v>
      </c>
      <c r="G492" s="1">
        <v>1</v>
      </c>
      <c r="H492" s="1" t="s">
        <v>29</v>
      </c>
      <c r="I492" s="1" t="s">
        <v>38</v>
      </c>
      <c r="J492" s="1" t="s">
        <v>31</v>
      </c>
      <c r="K492" s="1" t="s">
        <v>33</v>
      </c>
      <c r="L492" s="1">
        <v>38</v>
      </c>
      <c r="M492" s="1">
        <v>1</v>
      </c>
      <c r="N492" s="1" t="s">
        <v>40</v>
      </c>
      <c r="O492" s="1">
        <v>3</v>
      </c>
      <c r="P492" s="1">
        <v>1</v>
      </c>
      <c r="Q492" s="1">
        <v>1</v>
      </c>
      <c r="R492" s="1">
        <v>2619</v>
      </c>
      <c r="S492" s="1">
        <v>8</v>
      </c>
      <c r="T492" s="1">
        <v>2</v>
      </c>
      <c r="U492" s="1">
        <v>0</v>
      </c>
      <c r="V492" s="1">
        <v>0</v>
      </c>
      <c r="W492" s="1">
        <v>0</v>
      </c>
      <c r="X492" s="1">
        <v>0</v>
      </c>
    </row>
    <row r="493" spans="1:24">
      <c r="A493" s="1">
        <v>492</v>
      </c>
      <c r="B493" s="1" t="s">
        <v>33</v>
      </c>
      <c r="C493" s="1" t="s">
        <v>34</v>
      </c>
      <c r="D493" s="1" t="s">
        <v>26</v>
      </c>
      <c r="E493" s="1" t="s">
        <v>36</v>
      </c>
      <c r="F493" s="1" t="s">
        <v>45</v>
      </c>
      <c r="G493" s="1">
        <v>1</v>
      </c>
      <c r="H493" s="1" t="s">
        <v>37</v>
      </c>
      <c r="I493" s="1" t="s">
        <v>42</v>
      </c>
      <c r="J493" s="1" t="s">
        <v>48</v>
      </c>
      <c r="K493" s="1" t="s">
        <v>24</v>
      </c>
      <c r="L493" s="1">
        <v>43</v>
      </c>
      <c r="M493" s="1">
        <v>9</v>
      </c>
      <c r="N493" s="1" t="s">
        <v>58</v>
      </c>
      <c r="O493" s="1">
        <v>4</v>
      </c>
      <c r="P493" s="1">
        <v>2</v>
      </c>
      <c r="Q493" s="1">
        <v>3</v>
      </c>
      <c r="R493" s="1">
        <v>5679</v>
      </c>
      <c r="S493" s="1">
        <v>10</v>
      </c>
      <c r="T493" s="1">
        <v>3</v>
      </c>
      <c r="U493" s="1">
        <v>8</v>
      </c>
      <c r="V493" s="1">
        <v>7</v>
      </c>
      <c r="W493" s="1">
        <v>4</v>
      </c>
      <c r="X493" s="1">
        <v>7</v>
      </c>
    </row>
    <row r="494" spans="1:24">
      <c r="A494" s="1">
        <v>493</v>
      </c>
      <c r="B494" s="1" t="s">
        <v>33</v>
      </c>
      <c r="C494" s="1" t="s">
        <v>25</v>
      </c>
      <c r="D494" s="1" t="s">
        <v>35</v>
      </c>
      <c r="E494" s="1" t="s">
        <v>36</v>
      </c>
      <c r="F494" s="1" t="s">
        <v>28</v>
      </c>
      <c r="G494" s="1">
        <v>1</v>
      </c>
      <c r="H494" s="1" t="s">
        <v>29</v>
      </c>
      <c r="I494" s="1" t="s">
        <v>53</v>
      </c>
      <c r="J494" s="1" t="s">
        <v>39</v>
      </c>
      <c r="K494" s="1" t="s">
        <v>33</v>
      </c>
      <c r="L494" s="1">
        <v>48</v>
      </c>
      <c r="M494" s="1">
        <v>1</v>
      </c>
      <c r="N494" s="1" t="s">
        <v>44</v>
      </c>
      <c r="O494" s="1">
        <v>4</v>
      </c>
      <c r="P494" s="1">
        <v>4</v>
      </c>
      <c r="Q494" s="1">
        <v>1</v>
      </c>
      <c r="R494" s="1">
        <v>15402</v>
      </c>
      <c r="S494" s="1">
        <v>21</v>
      </c>
      <c r="T494" s="1">
        <v>1</v>
      </c>
      <c r="U494" s="1">
        <v>3</v>
      </c>
      <c r="V494" s="1">
        <v>2</v>
      </c>
      <c r="W494" s="1">
        <v>0</v>
      </c>
      <c r="X494" s="1">
        <v>2</v>
      </c>
    </row>
    <row r="495" spans="1:24">
      <c r="A495" s="1">
        <v>494</v>
      </c>
      <c r="B495" s="1" t="s">
        <v>33</v>
      </c>
      <c r="C495" s="1" t="s">
        <v>25</v>
      </c>
      <c r="D495" s="1" t="s">
        <v>26</v>
      </c>
      <c r="E495" s="1" t="s">
        <v>59</v>
      </c>
      <c r="F495" s="1" t="s">
        <v>28</v>
      </c>
      <c r="G495" s="1">
        <v>1</v>
      </c>
      <c r="H495" s="1" t="s">
        <v>29</v>
      </c>
      <c r="I495" s="1" t="s">
        <v>60</v>
      </c>
      <c r="J495" s="1" t="s">
        <v>31</v>
      </c>
      <c r="K495" s="1" t="s">
        <v>33</v>
      </c>
      <c r="L495" s="1">
        <v>44</v>
      </c>
      <c r="M495" s="1">
        <v>1</v>
      </c>
      <c r="N495" s="1" t="s">
        <v>44</v>
      </c>
      <c r="O495" s="1">
        <v>1</v>
      </c>
      <c r="P495" s="1">
        <v>2</v>
      </c>
      <c r="Q495" s="1">
        <v>3</v>
      </c>
      <c r="R495" s="1">
        <v>5985</v>
      </c>
      <c r="S495" s="1">
        <v>10</v>
      </c>
      <c r="T495" s="1">
        <v>4</v>
      </c>
      <c r="U495" s="1">
        <v>2</v>
      </c>
      <c r="V495" s="1">
        <v>2</v>
      </c>
      <c r="W495" s="1">
        <v>0</v>
      </c>
      <c r="X495" s="1">
        <v>2</v>
      </c>
    </row>
    <row r="496" spans="1:24">
      <c r="A496" s="1">
        <v>495</v>
      </c>
      <c r="B496" s="1" t="s">
        <v>33</v>
      </c>
      <c r="C496" s="1" t="s">
        <v>25</v>
      </c>
      <c r="D496" s="1" t="s">
        <v>43</v>
      </c>
      <c r="E496" s="1" t="s">
        <v>27</v>
      </c>
      <c r="F496" s="1" t="s">
        <v>57</v>
      </c>
      <c r="G496" s="1">
        <v>1</v>
      </c>
      <c r="H496" s="1" t="s">
        <v>29</v>
      </c>
      <c r="I496" s="1" t="s">
        <v>54</v>
      </c>
      <c r="J496" s="1" t="s">
        <v>48</v>
      </c>
      <c r="K496" s="1" t="s">
        <v>24</v>
      </c>
      <c r="L496" s="1">
        <v>34</v>
      </c>
      <c r="M496" s="1">
        <v>14</v>
      </c>
      <c r="N496" s="1" t="s">
        <v>47</v>
      </c>
      <c r="O496" s="1">
        <v>3</v>
      </c>
      <c r="P496" s="1">
        <v>1</v>
      </c>
      <c r="Q496" s="1">
        <v>3</v>
      </c>
      <c r="R496" s="1">
        <v>2579</v>
      </c>
      <c r="S496" s="1">
        <v>8</v>
      </c>
      <c r="T496" s="1">
        <v>3</v>
      </c>
      <c r="U496" s="1">
        <v>8</v>
      </c>
      <c r="V496" s="1">
        <v>2</v>
      </c>
      <c r="W496" s="1">
        <v>0</v>
      </c>
      <c r="X496" s="1">
        <v>6</v>
      </c>
    </row>
    <row r="497" spans="1:24">
      <c r="A497" s="1">
        <v>496</v>
      </c>
      <c r="B497" s="1" t="s">
        <v>24</v>
      </c>
      <c r="C497" s="1" t="s">
        <v>25</v>
      </c>
      <c r="D497" s="1" t="s">
        <v>43</v>
      </c>
      <c r="E497" s="1" t="s">
        <v>27</v>
      </c>
      <c r="F497" s="1" t="s">
        <v>56</v>
      </c>
      <c r="G497" s="1">
        <v>1</v>
      </c>
      <c r="H497" s="1" t="s">
        <v>37</v>
      </c>
      <c r="I497" s="1" t="s">
        <v>54</v>
      </c>
      <c r="J497" s="1" t="s">
        <v>48</v>
      </c>
      <c r="K497" s="1" t="s">
        <v>33</v>
      </c>
      <c r="L497" s="1">
        <v>27</v>
      </c>
      <c r="M497" s="1">
        <v>2</v>
      </c>
      <c r="N497" s="1" t="s">
        <v>40</v>
      </c>
      <c r="O497" s="1">
        <v>3</v>
      </c>
      <c r="P497" s="1">
        <v>1</v>
      </c>
      <c r="Q497" s="1">
        <v>1</v>
      </c>
      <c r="R497" s="1">
        <v>3041</v>
      </c>
      <c r="S497" s="1">
        <v>5</v>
      </c>
      <c r="T497" s="1">
        <v>3</v>
      </c>
      <c r="U497" s="1">
        <v>4</v>
      </c>
      <c r="V497" s="1">
        <v>3</v>
      </c>
      <c r="W497" s="1">
        <v>0</v>
      </c>
      <c r="X497" s="1">
        <v>2</v>
      </c>
    </row>
    <row r="498" spans="1:24">
      <c r="A498" s="1">
        <v>497</v>
      </c>
      <c r="B498" s="1" t="s">
        <v>33</v>
      </c>
      <c r="C498" s="1" t="s">
        <v>25</v>
      </c>
      <c r="D498" s="1" t="s">
        <v>52</v>
      </c>
      <c r="E498" s="1" t="s">
        <v>27</v>
      </c>
      <c r="F498" s="1" t="s">
        <v>57</v>
      </c>
      <c r="G498" s="1">
        <v>1</v>
      </c>
      <c r="H498" s="1" t="s">
        <v>37</v>
      </c>
      <c r="I498" s="1" t="s">
        <v>54</v>
      </c>
      <c r="J498" s="1" t="s">
        <v>31</v>
      </c>
      <c r="K498" s="1" t="s">
        <v>33</v>
      </c>
      <c r="L498" s="1">
        <v>21</v>
      </c>
      <c r="M498" s="1">
        <v>22</v>
      </c>
      <c r="N498" s="1" t="s">
        <v>40</v>
      </c>
      <c r="O498" s="1">
        <v>3</v>
      </c>
      <c r="P498" s="1">
        <v>1</v>
      </c>
      <c r="Q498" s="1">
        <v>3</v>
      </c>
      <c r="R498" s="1">
        <v>3447</v>
      </c>
      <c r="S498" s="1">
        <v>3</v>
      </c>
      <c r="T498" s="1">
        <v>3</v>
      </c>
      <c r="U498" s="1">
        <v>3</v>
      </c>
      <c r="V498" s="1">
        <v>2</v>
      </c>
      <c r="W498" s="1">
        <v>1</v>
      </c>
      <c r="X498" s="1">
        <v>2</v>
      </c>
    </row>
    <row r="499" spans="1:24">
      <c r="A499" s="1">
        <v>498</v>
      </c>
      <c r="B499" s="1" t="s">
        <v>33</v>
      </c>
      <c r="C499" s="1" t="s">
        <v>25</v>
      </c>
      <c r="D499" s="1" t="s">
        <v>26</v>
      </c>
      <c r="E499" s="1" t="s">
        <v>36</v>
      </c>
      <c r="F499" s="1" t="s">
        <v>41</v>
      </c>
      <c r="G499" s="1">
        <v>1</v>
      </c>
      <c r="H499" s="1" t="s">
        <v>37</v>
      </c>
      <c r="I499" s="1" t="s">
        <v>53</v>
      </c>
      <c r="J499" s="1" t="s">
        <v>39</v>
      </c>
      <c r="K499" s="1" t="s">
        <v>24</v>
      </c>
      <c r="L499" s="1">
        <v>44</v>
      </c>
      <c r="M499" s="1">
        <v>3</v>
      </c>
      <c r="N499" s="1" t="s">
        <v>44</v>
      </c>
      <c r="O499" s="1">
        <v>4</v>
      </c>
      <c r="P499" s="1">
        <v>5</v>
      </c>
      <c r="Q499" s="1">
        <v>4</v>
      </c>
      <c r="R499" s="1">
        <v>19513</v>
      </c>
      <c r="S499" s="1">
        <v>26</v>
      </c>
      <c r="T499" s="1">
        <v>4</v>
      </c>
      <c r="U499" s="1">
        <v>2</v>
      </c>
      <c r="V499" s="1">
        <v>2</v>
      </c>
      <c r="W499" s="1">
        <v>0</v>
      </c>
      <c r="X499" s="1">
        <v>1</v>
      </c>
    </row>
    <row r="500" spans="1:24">
      <c r="A500" s="1">
        <v>499</v>
      </c>
      <c r="B500" s="1" t="s">
        <v>33</v>
      </c>
      <c r="C500" s="1" t="s">
        <v>25</v>
      </c>
      <c r="D500" s="1" t="s">
        <v>52</v>
      </c>
      <c r="E500" s="1" t="s">
        <v>36</v>
      </c>
      <c r="F500" s="1" t="s">
        <v>45</v>
      </c>
      <c r="G500" s="1">
        <v>1</v>
      </c>
      <c r="H500" s="1" t="s">
        <v>37</v>
      </c>
      <c r="I500" s="1" t="s">
        <v>38</v>
      </c>
      <c r="J500" s="1" t="s">
        <v>39</v>
      </c>
      <c r="K500" s="1" t="s">
        <v>33</v>
      </c>
      <c r="L500" s="1">
        <v>22</v>
      </c>
      <c r="M500" s="1">
        <v>6</v>
      </c>
      <c r="N500" s="1" t="s">
        <v>40</v>
      </c>
      <c r="O500" s="1">
        <v>1</v>
      </c>
      <c r="P500" s="1">
        <v>1</v>
      </c>
      <c r="Q500" s="1">
        <v>3</v>
      </c>
      <c r="R500" s="1">
        <v>2773</v>
      </c>
      <c r="S500" s="1">
        <v>3</v>
      </c>
      <c r="T500" s="1">
        <v>3</v>
      </c>
      <c r="U500" s="1">
        <v>2</v>
      </c>
      <c r="V500" s="1">
        <v>2</v>
      </c>
      <c r="W500" s="1">
        <v>2</v>
      </c>
      <c r="X500" s="1">
        <v>2</v>
      </c>
    </row>
    <row r="501" spans="1:24">
      <c r="A501" s="1">
        <v>500</v>
      </c>
      <c r="B501" s="1" t="s">
        <v>33</v>
      </c>
      <c r="C501" s="1" t="s">
        <v>25</v>
      </c>
      <c r="D501" s="1" t="s">
        <v>43</v>
      </c>
      <c r="E501" s="1" t="s">
        <v>27</v>
      </c>
      <c r="F501" s="1" t="s">
        <v>56</v>
      </c>
      <c r="G501" s="1">
        <v>1</v>
      </c>
      <c r="H501" s="1" t="s">
        <v>37</v>
      </c>
      <c r="I501" s="1" t="s">
        <v>30</v>
      </c>
      <c r="J501" s="1" t="s">
        <v>48</v>
      </c>
      <c r="K501" s="1" t="s">
        <v>33</v>
      </c>
      <c r="L501" s="1">
        <v>33</v>
      </c>
      <c r="M501" s="1">
        <v>8</v>
      </c>
      <c r="N501" s="1" t="s">
        <v>44</v>
      </c>
      <c r="O501" s="1">
        <v>3</v>
      </c>
      <c r="P501" s="1">
        <v>2</v>
      </c>
      <c r="Q501" s="1">
        <v>3</v>
      </c>
      <c r="R501" s="1">
        <v>7104</v>
      </c>
      <c r="S501" s="1">
        <v>6</v>
      </c>
      <c r="T501" s="1">
        <v>3</v>
      </c>
      <c r="U501" s="1">
        <v>5</v>
      </c>
      <c r="V501" s="1">
        <v>0</v>
      </c>
      <c r="W501" s="1">
        <v>1</v>
      </c>
      <c r="X501" s="1">
        <v>2</v>
      </c>
    </row>
    <row r="502" spans="1:24">
      <c r="A502" s="1">
        <v>501</v>
      </c>
      <c r="B502" s="1" t="s">
        <v>33</v>
      </c>
      <c r="C502" s="1" t="s">
        <v>25</v>
      </c>
      <c r="D502" s="1" t="s">
        <v>43</v>
      </c>
      <c r="E502" s="1" t="s">
        <v>36</v>
      </c>
      <c r="F502" s="1" t="s">
        <v>28</v>
      </c>
      <c r="G502" s="1">
        <v>1</v>
      </c>
      <c r="H502" s="1" t="s">
        <v>29</v>
      </c>
      <c r="I502" s="1" t="s">
        <v>38</v>
      </c>
      <c r="J502" s="1" t="s">
        <v>39</v>
      </c>
      <c r="K502" s="1" t="s">
        <v>24</v>
      </c>
      <c r="L502" s="1">
        <v>32</v>
      </c>
      <c r="M502" s="1">
        <v>9</v>
      </c>
      <c r="N502" s="1" t="s">
        <v>44</v>
      </c>
      <c r="O502" s="1">
        <v>1</v>
      </c>
      <c r="P502" s="1">
        <v>2</v>
      </c>
      <c r="Q502" s="1">
        <v>4</v>
      </c>
      <c r="R502" s="1">
        <v>6322</v>
      </c>
      <c r="S502" s="1">
        <v>6</v>
      </c>
      <c r="T502" s="1">
        <v>2</v>
      </c>
      <c r="U502" s="1">
        <v>6</v>
      </c>
      <c r="V502" s="1">
        <v>4</v>
      </c>
      <c r="W502" s="1">
        <v>0</v>
      </c>
      <c r="X502" s="1">
        <v>5</v>
      </c>
    </row>
    <row r="503" spans="1:24">
      <c r="A503" s="1">
        <v>502</v>
      </c>
      <c r="B503" s="1" t="s">
        <v>33</v>
      </c>
      <c r="C503" s="1" t="s">
        <v>34</v>
      </c>
      <c r="D503" s="1" t="s">
        <v>43</v>
      </c>
      <c r="E503" s="1" t="s">
        <v>36</v>
      </c>
      <c r="F503" s="1" t="s">
        <v>45</v>
      </c>
      <c r="G503" s="1">
        <v>1</v>
      </c>
      <c r="H503" s="1" t="s">
        <v>29</v>
      </c>
      <c r="I503" s="1" t="s">
        <v>38</v>
      </c>
      <c r="J503" s="1" t="s">
        <v>48</v>
      </c>
      <c r="K503" s="1" t="s">
        <v>33</v>
      </c>
      <c r="L503" s="1">
        <v>30</v>
      </c>
      <c r="M503" s="1">
        <v>3</v>
      </c>
      <c r="N503" s="1" t="s">
        <v>47</v>
      </c>
      <c r="O503" s="1">
        <v>3</v>
      </c>
      <c r="P503" s="1">
        <v>1</v>
      </c>
      <c r="Q503" s="1">
        <v>3</v>
      </c>
      <c r="R503" s="1">
        <v>2083</v>
      </c>
      <c r="S503" s="1">
        <v>1</v>
      </c>
      <c r="T503" s="1">
        <v>3</v>
      </c>
      <c r="U503" s="1">
        <v>1</v>
      </c>
      <c r="V503" s="1">
        <v>0</v>
      </c>
      <c r="W503" s="1">
        <v>0</v>
      </c>
      <c r="X503" s="1">
        <v>0</v>
      </c>
    </row>
    <row r="504" spans="1:24">
      <c r="A504" s="1">
        <v>503</v>
      </c>
      <c r="B504" s="1" t="s">
        <v>33</v>
      </c>
      <c r="C504" s="1" t="s">
        <v>25</v>
      </c>
      <c r="D504" s="1" t="s">
        <v>35</v>
      </c>
      <c r="E504" s="1" t="s">
        <v>27</v>
      </c>
      <c r="F504" s="1" t="s">
        <v>45</v>
      </c>
      <c r="G504" s="1">
        <v>1</v>
      </c>
      <c r="H504" s="1" t="s">
        <v>29</v>
      </c>
      <c r="I504" s="1" t="s">
        <v>30</v>
      </c>
      <c r="J504" s="1" t="s">
        <v>31</v>
      </c>
      <c r="K504" s="1" t="s">
        <v>33</v>
      </c>
      <c r="L504" s="1">
        <v>53</v>
      </c>
      <c r="M504" s="1">
        <v>1</v>
      </c>
      <c r="N504" s="1" t="s">
        <v>40</v>
      </c>
      <c r="O504" s="1">
        <v>4</v>
      </c>
      <c r="P504" s="1">
        <v>2</v>
      </c>
      <c r="Q504" s="1">
        <v>1</v>
      </c>
      <c r="R504" s="1">
        <v>8381</v>
      </c>
      <c r="S504" s="1">
        <v>18</v>
      </c>
      <c r="T504" s="1">
        <v>4</v>
      </c>
      <c r="U504" s="1">
        <v>14</v>
      </c>
      <c r="V504" s="1">
        <v>7</v>
      </c>
      <c r="W504" s="1">
        <v>8</v>
      </c>
      <c r="X504" s="1">
        <v>10</v>
      </c>
    </row>
    <row r="505" spans="1:24">
      <c r="A505" s="1">
        <v>504</v>
      </c>
      <c r="B505" s="1" t="s">
        <v>33</v>
      </c>
      <c r="C505" s="1" t="s">
        <v>25</v>
      </c>
      <c r="D505" s="1" t="s">
        <v>43</v>
      </c>
      <c r="E505" s="1" t="s">
        <v>36</v>
      </c>
      <c r="F505" s="1" t="s">
        <v>28</v>
      </c>
      <c r="G505" s="1">
        <v>1</v>
      </c>
      <c r="H505" s="1" t="s">
        <v>37</v>
      </c>
      <c r="I505" s="1" t="s">
        <v>38</v>
      </c>
      <c r="J505" s="1" t="s">
        <v>39</v>
      </c>
      <c r="K505" s="1" t="s">
        <v>33</v>
      </c>
      <c r="L505" s="1">
        <v>34</v>
      </c>
      <c r="M505" s="1">
        <v>1</v>
      </c>
      <c r="N505" s="1" t="s">
        <v>58</v>
      </c>
      <c r="O505" s="1">
        <v>2</v>
      </c>
      <c r="P505" s="1">
        <v>1</v>
      </c>
      <c r="Q505" s="1">
        <v>4</v>
      </c>
      <c r="R505" s="1">
        <v>2691</v>
      </c>
      <c r="S505" s="1">
        <v>10</v>
      </c>
      <c r="T505" s="1">
        <v>2</v>
      </c>
      <c r="U505" s="1">
        <v>10</v>
      </c>
      <c r="V505" s="1">
        <v>9</v>
      </c>
      <c r="W505" s="1">
        <v>8</v>
      </c>
      <c r="X505" s="1">
        <v>8</v>
      </c>
    </row>
    <row r="506" spans="1:24">
      <c r="A506" s="1">
        <v>505</v>
      </c>
      <c r="B506" s="1" t="s">
        <v>24</v>
      </c>
      <c r="C506" s="1" t="s">
        <v>34</v>
      </c>
      <c r="D506" s="1" t="s">
        <v>35</v>
      </c>
      <c r="E506" s="1" t="s">
        <v>27</v>
      </c>
      <c r="F506" s="1" t="s">
        <v>28</v>
      </c>
      <c r="G506" s="1">
        <v>1</v>
      </c>
      <c r="H506" s="1" t="s">
        <v>29</v>
      </c>
      <c r="I506" s="1" t="s">
        <v>30</v>
      </c>
      <c r="J506" s="1" t="s">
        <v>39</v>
      </c>
      <c r="K506" s="1" t="s">
        <v>33</v>
      </c>
      <c r="L506" s="1">
        <v>45</v>
      </c>
      <c r="M506" s="1">
        <v>26</v>
      </c>
      <c r="N506" s="1" t="s">
        <v>44</v>
      </c>
      <c r="O506" s="1">
        <v>1</v>
      </c>
      <c r="P506" s="1">
        <v>2</v>
      </c>
      <c r="Q506" s="1">
        <v>1</v>
      </c>
      <c r="R506" s="1">
        <v>4286</v>
      </c>
      <c r="S506" s="1">
        <v>5</v>
      </c>
      <c r="T506" s="1">
        <v>3</v>
      </c>
      <c r="U506" s="1">
        <v>1</v>
      </c>
      <c r="V506" s="1">
        <v>1</v>
      </c>
      <c r="W506" s="1">
        <v>0</v>
      </c>
      <c r="X506" s="1">
        <v>0</v>
      </c>
    </row>
    <row r="507" spans="1:24">
      <c r="A507" s="1">
        <v>506</v>
      </c>
      <c r="B507" s="1" t="s">
        <v>33</v>
      </c>
      <c r="C507" s="1" t="s">
        <v>25</v>
      </c>
      <c r="D507" s="1" t="s">
        <v>43</v>
      </c>
      <c r="E507" s="1" t="s">
        <v>36</v>
      </c>
      <c r="F507" s="1" t="s">
        <v>28</v>
      </c>
      <c r="G507" s="1">
        <v>1</v>
      </c>
      <c r="H507" s="1" t="s">
        <v>29</v>
      </c>
      <c r="I507" s="1" t="s">
        <v>42</v>
      </c>
      <c r="J507" s="1" t="s">
        <v>39</v>
      </c>
      <c r="K507" s="1" t="s">
        <v>24</v>
      </c>
      <c r="L507" s="1">
        <v>26</v>
      </c>
      <c r="M507" s="1">
        <v>6</v>
      </c>
      <c r="N507" s="1" t="s">
        <v>47</v>
      </c>
      <c r="O507" s="1">
        <v>3</v>
      </c>
      <c r="P507" s="1">
        <v>1</v>
      </c>
      <c r="Q507" s="1">
        <v>4</v>
      </c>
      <c r="R507" s="1">
        <v>2659</v>
      </c>
      <c r="S507" s="1">
        <v>3</v>
      </c>
      <c r="T507" s="1">
        <v>3</v>
      </c>
      <c r="U507" s="1">
        <v>3</v>
      </c>
      <c r="V507" s="1">
        <v>2</v>
      </c>
      <c r="W507" s="1">
        <v>0</v>
      </c>
      <c r="X507" s="1">
        <v>2</v>
      </c>
    </row>
    <row r="508" spans="1:24">
      <c r="A508" s="1">
        <v>507</v>
      </c>
      <c r="B508" s="1" t="s">
        <v>33</v>
      </c>
      <c r="C508" s="1" t="s">
        <v>25</v>
      </c>
      <c r="D508" s="1" t="s">
        <v>26</v>
      </c>
      <c r="E508" s="1" t="s">
        <v>36</v>
      </c>
      <c r="F508" s="1" t="s">
        <v>41</v>
      </c>
      <c r="G508" s="1">
        <v>1</v>
      </c>
      <c r="H508" s="1" t="s">
        <v>37</v>
      </c>
      <c r="I508" s="1" t="s">
        <v>49</v>
      </c>
      <c r="J508" s="1" t="s">
        <v>39</v>
      </c>
      <c r="K508" s="1" t="s">
        <v>33</v>
      </c>
      <c r="L508" s="1">
        <v>37</v>
      </c>
      <c r="M508" s="1">
        <v>3</v>
      </c>
      <c r="N508" s="1" t="s">
        <v>47</v>
      </c>
      <c r="O508" s="1">
        <v>3</v>
      </c>
      <c r="P508" s="1">
        <v>3</v>
      </c>
      <c r="Q508" s="1">
        <v>3</v>
      </c>
      <c r="R508" s="1">
        <v>9434</v>
      </c>
      <c r="S508" s="1">
        <v>10</v>
      </c>
      <c r="T508" s="1">
        <v>3</v>
      </c>
      <c r="U508" s="1">
        <v>10</v>
      </c>
      <c r="V508" s="1">
        <v>7</v>
      </c>
      <c r="W508" s="1">
        <v>7</v>
      </c>
      <c r="X508" s="1">
        <v>8</v>
      </c>
    </row>
    <row r="509" spans="1:24">
      <c r="A509" s="1">
        <v>508</v>
      </c>
      <c r="B509" s="1" t="s">
        <v>33</v>
      </c>
      <c r="C509" s="1" t="s">
        <v>25</v>
      </c>
      <c r="D509" s="1" t="s">
        <v>43</v>
      </c>
      <c r="E509" s="1" t="s">
        <v>27</v>
      </c>
      <c r="F509" s="1" t="s">
        <v>45</v>
      </c>
      <c r="G509" s="1">
        <v>1</v>
      </c>
      <c r="H509" s="1" t="s">
        <v>29</v>
      </c>
      <c r="I509" s="1" t="s">
        <v>30</v>
      </c>
      <c r="J509" s="1" t="s">
        <v>39</v>
      </c>
      <c r="K509" s="1" t="s">
        <v>33</v>
      </c>
      <c r="L509" s="1">
        <v>29</v>
      </c>
      <c r="M509" s="1">
        <v>3</v>
      </c>
      <c r="N509" s="1" t="s">
        <v>32</v>
      </c>
      <c r="O509" s="1">
        <v>2</v>
      </c>
      <c r="P509" s="1">
        <v>2</v>
      </c>
      <c r="Q509" s="1">
        <v>3</v>
      </c>
      <c r="R509" s="1">
        <v>5561</v>
      </c>
      <c r="S509" s="1">
        <v>6</v>
      </c>
      <c r="T509" s="1">
        <v>2</v>
      </c>
      <c r="U509" s="1">
        <v>6</v>
      </c>
      <c r="V509" s="1">
        <v>0</v>
      </c>
      <c r="W509" s="1">
        <v>1</v>
      </c>
      <c r="X509" s="1">
        <v>2</v>
      </c>
    </row>
    <row r="510" spans="1:24">
      <c r="A510" s="1">
        <v>509</v>
      </c>
      <c r="B510" s="1" t="s">
        <v>33</v>
      </c>
      <c r="C510" s="1" t="s">
        <v>25</v>
      </c>
      <c r="D510" s="1" t="s">
        <v>26</v>
      </c>
      <c r="E510" s="1" t="s">
        <v>36</v>
      </c>
      <c r="F510" s="1" t="s">
        <v>28</v>
      </c>
      <c r="G510" s="1">
        <v>1</v>
      </c>
      <c r="H510" s="1" t="s">
        <v>37</v>
      </c>
      <c r="I510" s="1" t="s">
        <v>38</v>
      </c>
      <c r="J510" s="1" t="s">
        <v>31</v>
      </c>
      <c r="K510" s="1" t="s">
        <v>33</v>
      </c>
      <c r="L510" s="1">
        <v>35</v>
      </c>
      <c r="M510" s="1">
        <v>6</v>
      </c>
      <c r="N510" s="1" t="s">
        <v>44</v>
      </c>
      <c r="O510" s="1">
        <v>2</v>
      </c>
      <c r="P510" s="1">
        <v>2</v>
      </c>
      <c r="Q510" s="1">
        <v>4</v>
      </c>
      <c r="R510" s="1">
        <v>6646</v>
      </c>
      <c r="S510" s="1">
        <v>17</v>
      </c>
      <c r="T510" s="1">
        <v>3</v>
      </c>
      <c r="U510" s="1">
        <v>17</v>
      </c>
      <c r="V510" s="1">
        <v>11</v>
      </c>
      <c r="W510" s="1">
        <v>11</v>
      </c>
      <c r="X510" s="1">
        <v>8</v>
      </c>
    </row>
    <row r="511" spans="1:24">
      <c r="A511" s="1">
        <v>510</v>
      </c>
      <c r="B511" s="1" t="s">
        <v>33</v>
      </c>
      <c r="C511" s="1" t="s">
        <v>34</v>
      </c>
      <c r="D511" s="1" t="s">
        <v>43</v>
      </c>
      <c r="E511" s="1" t="s">
        <v>36</v>
      </c>
      <c r="F511" s="1" t="s">
        <v>28</v>
      </c>
      <c r="G511" s="1">
        <v>1</v>
      </c>
      <c r="H511" s="1" t="s">
        <v>37</v>
      </c>
      <c r="I511" s="1" t="s">
        <v>50</v>
      </c>
      <c r="J511" s="1" t="s">
        <v>48</v>
      </c>
      <c r="K511" s="1" t="s">
        <v>33</v>
      </c>
      <c r="L511" s="1">
        <v>33</v>
      </c>
      <c r="M511" s="1">
        <v>6</v>
      </c>
      <c r="N511" s="1" t="s">
        <v>47</v>
      </c>
      <c r="O511" s="1">
        <v>3</v>
      </c>
      <c r="P511" s="1">
        <v>2</v>
      </c>
      <c r="Q511" s="1">
        <v>4</v>
      </c>
      <c r="R511" s="1">
        <v>7725</v>
      </c>
      <c r="S511" s="1">
        <v>15</v>
      </c>
      <c r="T511" s="1">
        <v>1</v>
      </c>
      <c r="U511" s="1">
        <v>13</v>
      </c>
      <c r="V511" s="1">
        <v>11</v>
      </c>
      <c r="W511" s="1">
        <v>4</v>
      </c>
      <c r="X511" s="1">
        <v>7</v>
      </c>
    </row>
    <row r="512" spans="1:24">
      <c r="A512" s="1">
        <v>511</v>
      </c>
      <c r="B512" s="1" t="s">
        <v>33</v>
      </c>
      <c r="C512" s="1" t="s">
        <v>25</v>
      </c>
      <c r="D512" s="1" t="s">
        <v>35</v>
      </c>
      <c r="E512" s="1" t="s">
        <v>59</v>
      </c>
      <c r="F512" s="1" t="s">
        <v>45</v>
      </c>
      <c r="G512" s="1">
        <v>1</v>
      </c>
      <c r="H512" s="1" t="s">
        <v>37</v>
      </c>
      <c r="I512" s="1" t="s">
        <v>60</v>
      </c>
      <c r="J512" s="1" t="s">
        <v>39</v>
      </c>
      <c r="K512" s="1" t="s">
        <v>33</v>
      </c>
      <c r="L512" s="1">
        <v>54</v>
      </c>
      <c r="M512" s="1">
        <v>19</v>
      </c>
      <c r="N512" s="1" t="s">
        <v>44</v>
      </c>
      <c r="O512" s="1">
        <v>3</v>
      </c>
      <c r="P512" s="1">
        <v>3</v>
      </c>
      <c r="Q512" s="1">
        <v>2</v>
      </c>
      <c r="R512" s="1">
        <v>10725</v>
      </c>
      <c r="S512" s="1">
        <v>16</v>
      </c>
      <c r="T512" s="1">
        <v>4</v>
      </c>
      <c r="U512" s="1">
        <v>9</v>
      </c>
      <c r="V512" s="1">
        <v>7</v>
      </c>
      <c r="W512" s="1">
        <v>7</v>
      </c>
      <c r="X512" s="1">
        <v>1</v>
      </c>
    </row>
    <row r="513" spans="1:24">
      <c r="A513" s="1">
        <v>512</v>
      </c>
      <c r="B513" s="1" t="s">
        <v>33</v>
      </c>
      <c r="C513" s="1" t="s">
        <v>25</v>
      </c>
      <c r="D513" s="1" t="s">
        <v>26</v>
      </c>
      <c r="E513" s="1" t="s">
        <v>36</v>
      </c>
      <c r="F513" s="1" t="s">
        <v>45</v>
      </c>
      <c r="G513" s="1">
        <v>1</v>
      </c>
      <c r="H513" s="1" t="s">
        <v>37</v>
      </c>
      <c r="I513" s="1" t="s">
        <v>49</v>
      </c>
      <c r="J513" s="1" t="s">
        <v>48</v>
      </c>
      <c r="K513" s="1" t="s">
        <v>24</v>
      </c>
      <c r="L513" s="1">
        <v>36</v>
      </c>
      <c r="M513" s="1">
        <v>9</v>
      </c>
      <c r="N513" s="1" t="s">
        <v>32</v>
      </c>
      <c r="O513" s="1">
        <v>2</v>
      </c>
      <c r="P513" s="1">
        <v>2</v>
      </c>
      <c r="Q513" s="1">
        <v>2</v>
      </c>
      <c r="R513" s="1">
        <v>8847</v>
      </c>
      <c r="S513" s="1">
        <v>13</v>
      </c>
      <c r="T513" s="1">
        <v>3</v>
      </c>
      <c r="U513" s="1">
        <v>3</v>
      </c>
      <c r="V513" s="1">
        <v>2</v>
      </c>
      <c r="W513" s="1">
        <v>0</v>
      </c>
      <c r="X513" s="1">
        <v>2</v>
      </c>
    </row>
    <row r="514" spans="1:24">
      <c r="A514" s="1">
        <v>513</v>
      </c>
      <c r="B514" s="1" t="s">
        <v>33</v>
      </c>
      <c r="C514" s="1" t="s">
        <v>25</v>
      </c>
      <c r="D514" s="1" t="s">
        <v>43</v>
      </c>
      <c r="E514" s="1" t="s">
        <v>36</v>
      </c>
      <c r="F514" s="1" t="s">
        <v>45</v>
      </c>
      <c r="G514" s="1">
        <v>1</v>
      </c>
      <c r="H514" s="1" t="s">
        <v>37</v>
      </c>
      <c r="I514" s="1" t="s">
        <v>38</v>
      </c>
      <c r="J514" s="1" t="s">
        <v>31</v>
      </c>
      <c r="K514" s="1" t="s">
        <v>33</v>
      </c>
      <c r="L514" s="1">
        <v>27</v>
      </c>
      <c r="M514" s="1">
        <v>3</v>
      </c>
      <c r="N514" s="1" t="s">
        <v>44</v>
      </c>
      <c r="O514" s="1">
        <v>1</v>
      </c>
      <c r="P514" s="1">
        <v>1</v>
      </c>
      <c r="Q514" s="1">
        <v>4</v>
      </c>
      <c r="R514" s="1">
        <v>2045</v>
      </c>
      <c r="S514" s="1">
        <v>5</v>
      </c>
      <c r="T514" s="1">
        <v>3</v>
      </c>
      <c r="U514" s="1">
        <v>4</v>
      </c>
      <c r="V514" s="1">
        <v>2</v>
      </c>
      <c r="W514" s="1">
        <v>1</v>
      </c>
      <c r="X514" s="1">
        <v>1</v>
      </c>
    </row>
    <row r="515" spans="1:24">
      <c r="A515" s="1">
        <v>514</v>
      </c>
      <c r="B515" s="1" t="s">
        <v>24</v>
      </c>
      <c r="C515" s="1" t="s">
        <v>25</v>
      </c>
      <c r="D515" s="1" t="s">
        <v>52</v>
      </c>
      <c r="E515" s="1" t="s">
        <v>36</v>
      </c>
      <c r="F515" s="1" t="s">
        <v>45</v>
      </c>
      <c r="G515" s="1">
        <v>1</v>
      </c>
      <c r="H515" s="1" t="s">
        <v>37</v>
      </c>
      <c r="I515" s="1" t="s">
        <v>38</v>
      </c>
      <c r="J515" s="1" t="s">
        <v>31</v>
      </c>
      <c r="K515" s="1" t="s">
        <v>24</v>
      </c>
      <c r="L515" s="1">
        <v>20</v>
      </c>
      <c r="M515" s="1">
        <v>10</v>
      </c>
      <c r="N515" s="1" t="s">
        <v>40</v>
      </c>
      <c r="O515" s="1">
        <v>4</v>
      </c>
      <c r="P515" s="1">
        <v>1</v>
      </c>
      <c r="Q515" s="1">
        <v>3</v>
      </c>
      <c r="R515" s="1">
        <v>1009</v>
      </c>
      <c r="S515" s="1">
        <v>1</v>
      </c>
      <c r="T515" s="1">
        <v>3</v>
      </c>
      <c r="U515" s="1">
        <v>1</v>
      </c>
      <c r="V515" s="1">
        <v>0</v>
      </c>
      <c r="W515" s="1">
        <v>1</v>
      </c>
      <c r="X515" s="1">
        <v>1</v>
      </c>
    </row>
    <row r="516" spans="1:24">
      <c r="A516" s="1">
        <v>515</v>
      </c>
      <c r="B516" s="1" t="s">
        <v>24</v>
      </c>
      <c r="C516" s="1" t="s">
        <v>34</v>
      </c>
      <c r="D516" s="1" t="s">
        <v>43</v>
      </c>
      <c r="E516" s="1" t="s">
        <v>36</v>
      </c>
      <c r="F516" s="1" t="s">
        <v>28</v>
      </c>
      <c r="G516" s="1">
        <v>1</v>
      </c>
      <c r="H516" s="1" t="s">
        <v>37</v>
      </c>
      <c r="I516" s="1" t="s">
        <v>38</v>
      </c>
      <c r="J516" s="1" t="s">
        <v>31</v>
      </c>
      <c r="K516" s="1" t="s">
        <v>24</v>
      </c>
      <c r="L516" s="1">
        <v>33</v>
      </c>
      <c r="M516" s="1">
        <v>3</v>
      </c>
      <c r="N516" s="1" t="s">
        <v>47</v>
      </c>
      <c r="O516" s="1">
        <v>1</v>
      </c>
      <c r="P516" s="1">
        <v>1</v>
      </c>
      <c r="Q516" s="1">
        <v>1</v>
      </c>
      <c r="R516" s="1">
        <v>3348</v>
      </c>
      <c r="S516" s="1">
        <v>10</v>
      </c>
      <c r="T516" s="1">
        <v>3</v>
      </c>
      <c r="U516" s="1">
        <v>10</v>
      </c>
      <c r="V516" s="1">
        <v>8</v>
      </c>
      <c r="W516" s="1">
        <v>9</v>
      </c>
      <c r="X516" s="1">
        <v>7</v>
      </c>
    </row>
    <row r="517" spans="1:24">
      <c r="A517" s="1">
        <v>516</v>
      </c>
      <c r="B517" s="1" t="s">
        <v>33</v>
      </c>
      <c r="C517" s="1" t="s">
        <v>51</v>
      </c>
      <c r="D517" s="1" t="s">
        <v>26</v>
      </c>
      <c r="E517" s="1" t="s">
        <v>36</v>
      </c>
      <c r="F517" s="1" t="s">
        <v>28</v>
      </c>
      <c r="G517" s="1">
        <v>1</v>
      </c>
      <c r="H517" s="1" t="s">
        <v>37</v>
      </c>
      <c r="I517" s="1" t="s">
        <v>42</v>
      </c>
      <c r="J517" s="1" t="s">
        <v>39</v>
      </c>
      <c r="K517" s="1" t="s">
        <v>33</v>
      </c>
      <c r="L517" s="1">
        <v>35</v>
      </c>
      <c r="M517" s="1">
        <v>3</v>
      </c>
      <c r="N517" s="1" t="s">
        <v>47</v>
      </c>
      <c r="O517" s="1">
        <v>3</v>
      </c>
      <c r="P517" s="1">
        <v>1</v>
      </c>
      <c r="Q517" s="1">
        <v>3</v>
      </c>
      <c r="R517" s="1">
        <v>1281</v>
      </c>
      <c r="S517" s="1">
        <v>1</v>
      </c>
      <c r="T517" s="1">
        <v>3</v>
      </c>
      <c r="U517" s="1">
        <v>1</v>
      </c>
      <c r="V517" s="1">
        <v>0</v>
      </c>
      <c r="W517" s="1">
        <v>0</v>
      </c>
      <c r="X517" s="1">
        <v>0</v>
      </c>
    </row>
    <row r="518" spans="1:24">
      <c r="A518" s="1">
        <v>517</v>
      </c>
      <c r="B518" s="1" t="s">
        <v>33</v>
      </c>
      <c r="C518" s="1" t="s">
        <v>25</v>
      </c>
      <c r="D518" s="1" t="s">
        <v>52</v>
      </c>
      <c r="E518" s="1" t="s">
        <v>36</v>
      </c>
      <c r="F518" s="1" t="s">
        <v>45</v>
      </c>
      <c r="G518" s="1">
        <v>1</v>
      </c>
      <c r="H518" s="1" t="s">
        <v>37</v>
      </c>
      <c r="I518" s="1" t="s">
        <v>38</v>
      </c>
      <c r="J518" s="1" t="s">
        <v>39</v>
      </c>
      <c r="K518" s="1" t="s">
        <v>33</v>
      </c>
      <c r="L518" s="1">
        <v>23</v>
      </c>
      <c r="M518" s="1">
        <v>4</v>
      </c>
      <c r="N518" s="1" t="s">
        <v>47</v>
      </c>
      <c r="O518" s="1">
        <v>1</v>
      </c>
      <c r="P518" s="1">
        <v>1</v>
      </c>
      <c r="Q518" s="1">
        <v>1</v>
      </c>
      <c r="R518" s="1">
        <v>2819</v>
      </c>
      <c r="S518" s="1">
        <v>5</v>
      </c>
      <c r="T518" s="1">
        <v>4</v>
      </c>
      <c r="U518" s="1">
        <v>3</v>
      </c>
      <c r="V518" s="1">
        <v>2</v>
      </c>
      <c r="W518" s="1">
        <v>0</v>
      </c>
      <c r="X518" s="1">
        <v>2</v>
      </c>
    </row>
    <row r="519" spans="1:24">
      <c r="A519" s="1">
        <v>518</v>
      </c>
      <c r="B519" s="1" t="s">
        <v>33</v>
      </c>
      <c r="C519" s="1" t="s">
        <v>25</v>
      </c>
      <c r="D519" s="1" t="s">
        <v>43</v>
      </c>
      <c r="E519" s="1" t="s">
        <v>27</v>
      </c>
      <c r="F519" s="1" t="s">
        <v>28</v>
      </c>
      <c r="G519" s="1">
        <v>1</v>
      </c>
      <c r="H519" s="1" t="s">
        <v>37</v>
      </c>
      <c r="I519" s="1" t="s">
        <v>30</v>
      </c>
      <c r="J519" s="1" t="s">
        <v>39</v>
      </c>
      <c r="K519" s="1" t="s">
        <v>33</v>
      </c>
      <c r="L519" s="1">
        <v>25</v>
      </c>
      <c r="M519" s="1">
        <v>8</v>
      </c>
      <c r="N519" s="1" t="s">
        <v>47</v>
      </c>
      <c r="O519" s="1">
        <v>4</v>
      </c>
      <c r="P519" s="1">
        <v>2</v>
      </c>
      <c r="Q519" s="1">
        <v>2</v>
      </c>
      <c r="R519" s="1">
        <v>4851</v>
      </c>
      <c r="S519" s="1">
        <v>4</v>
      </c>
      <c r="T519" s="1">
        <v>3</v>
      </c>
      <c r="U519" s="1">
        <v>3</v>
      </c>
      <c r="V519" s="1">
        <v>2</v>
      </c>
      <c r="W519" s="1">
        <v>1</v>
      </c>
      <c r="X519" s="1">
        <v>2</v>
      </c>
    </row>
    <row r="520" spans="1:24">
      <c r="A520" s="1">
        <v>519</v>
      </c>
      <c r="B520" s="1" t="s">
        <v>33</v>
      </c>
      <c r="C520" s="1" t="s">
        <v>25</v>
      </c>
      <c r="D520" s="1" t="s">
        <v>26</v>
      </c>
      <c r="E520" s="1" t="s">
        <v>27</v>
      </c>
      <c r="F520" s="1" t="s">
        <v>56</v>
      </c>
      <c r="G520" s="1">
        <v>1</v>
      </c>
      <c r="H520" s="1" t="s">
        <v>29</v>
      </c>
      <c r="I520" s="1" t="s">
        <v>30</v>
      </c>
      <c r="J520" s="1" t="s">
        <v>31</v>
      </c>
      <c r="K520" s="1" t="s">
        <v>33</v>
      </c>
      <c r="L520" s="1">
        <v>38</v>
      </c>
      <c r="M520" s="1">
        <v>7</v>
      </c>
      <c r="N520" s="1" t="s">
        <v>44</v>
      </c>
      <c r="O520" s="1">
        <v>4</v>
      </c>
      <c r="P520" s="1">
        <v>2</v>
      </c>
      <c r="Q520" s="1">
        <v>4</v>
      </c>
      <c r="R520" s="1">
        <v>4028</v>
      </c>
      <c r="S520" s="1">
        <v>8</v>
      </c>
      <c r="T520" s="1">
        <v>3</v>
      </c>
      <c r="U520" s="1">
        <v>7</v>
      </c>
      <c r="V520" s="1">
        <v>7</v>
      </c>
      <c r="W520" s="1">
        <v>0</v>
      </c>
      <c r="X520" s="1">
        <v>5</v>
      </c>
    </row>
    <row r="521" spans="1:24">
      <c r="A521" s="1">
        <v>520</v>
      </c>
      <c r="B521" s="1" t="s">
        <v>33</v>
      </c>
      <c r="C521" s="1" t="s">
        <v>34</v>
      </c>
      <c r="D521" s="1" t="s">
        <v>43</v>
      </c>
      <c r="E521" s="1" t="s">
        <v>36</v>
      </c>
      <c r="F521" s="1" t="s">
        <v>28</v>
      </c>
      <c r="G521" s="1">
        <v>1</v>
      </c>
      <c r="H521" s="1" t="s">
        <v>37</v>
      </c>
      <c r="I521" s="1" t="s">
        <v>38</v>
      </c>
      <c r="J521" s="1" t="s">
        <v>48</v>
      </c>
      <c r="K521" s="1" t="s">
        <v>33</v>
      </c>
      <c r="L521" s="1">
        <v>29</v>
      </c>
      <c r="M521" s="1">
        <v>1</v>
      </c>
      <c r="N521" s="1" t="s">
        <v>44</v>
      </c>
      <c r="O521" s="1">
        <v>2</v>
      </c>
      <c r="P521" s="1">
        <v>1</v>
      </c>
      <c r="Q521" s="1">
        <v>4</v>
      </c>
      <c r="R521" s="1">
        <v>2720</v>
      </c>
      <c r="S521" s="1">
        <v>10</v>
      </c>
      <c r="T521" s="1">
        <v>3</v>
      </c>
      <c r="U521" s="1">
        <v>10</v>
      </c>
      <c r="V521" s="1">
        <v>7</v>
      </c>
      <c r="W521" s="1">
        <v>2</v>
      </c>
      <c r="X521" s="1">
        <v>8</v>
      </c>
    </row>
    <row r="522" spans="1:24">
      <c r="A522" s="1">
        <v>521</v>
      </c>
      <c r="B522" s="1" t="s">
        <v>33</v>
      </c>
      <c r="C522" s="1" t="s">
        <v>25</v>
      </c>
      <c r="D522" s="1" t="s">
        <v>35</v>
      </c>
      <c r="E522" s="1" t="s">
        <v>27</v>
      </c>
      <c r="F522" s="1" t="s">
        <v>56</v>
      </c>
      <c r="G522" s="1">
        <v>1</v>
      </c>
      <c r="H522" s="1" t="s">
        <v>37</v>
      </c>
      <c r="I522" s="1" t="s">
        <v>30</v>
      </c>
      <c r="J522" s="1" t="s">
        <v>39</v>
      </c>
      <c r="K522" s="1" t="s">
        <v>33</v>
      </c>
      <c r="L522" s="1">
        <v>48</v>
      </c>
      <c r="M522" s="1">
        <v>2</v>
      </c>
      <c r="N522" s="1" t="s">
        <v>40</v>
      </c>
      <c r="O522" s="1">
        <v>2</v>
      </c>
      <c r="P522" s="1">
        <v>2</v>
      </c>
      <c r="Q522" s="1">
        <v>2</v>
      </c>
      <c r="R522" s="1">
        <v>8120</v>
      </c>
      <c r="S522" s="1">
        <v>12</v>
      </c>
      <c r="T522" s="1">
        <v>3</v>
      </c>
      <c r="U522" s="1">
        <v>2</v>
      </c>
      <c r="V522" s="1">
        <v>2</v>
      </c>
      <c r="W522" s="1">
        <v>2</v>
      </c>
      <c r="X522" s="1">
        <v>2</v>
      </c>
    </row>
    <row r="523" spans="1:24">
      <c r="A523" s="1">
        <v>522</v>
      </c>
      <c r="B523" s="1" t="s">
        <v>33</v>
      </c>
      <c r="C523" s="1" t="s">
        <v>34</v>
      </c>
      <c r="D523" s="1" t="s">
        <v>43</v>
      </c>
      <c r="E523" s="1" t="s">
        <v>27</v>
      </c>
      <c r="F523" s="1" t="s">
        <v>45</v>
      </c>
      <c r="G523" s="1">
        <v>1</v>
      </c>
      <c r="H523" s="1" t="s">
        <v>29</v>
      </c>
      <c r="I523" s="1" t="s">
        <v>30</v>
      </c>
      <c r="J523" s="1" t="s">
        <v>48</v>
      </c>
      <c r="K523" s="1" t="s">
        <v>24</v>
      </c>
      <c r="L523" s="1">
        <v>27</v>
      </c>
      <c r="M523" s="1">
        <v>3</v>
      </c>
      <c r="N523" s="1" t="s">
        <v>40</v>
      </c>
      <c r="O523" s="1">
        <v>4</v>
      </c>
      <c r="P523" s="1">
        <v>2</v>
      </c>
      <c r="Q523" s="1">
        <v>4</v>
      </c>
      <c r="R523" s="1">
        <v>4647</v>
      </c>
      <c r="S523" s="1">
        <v>6</v>
      </c>
      <c r="T523" s="1">
        <v>3</v>
      </c>
      <c r="U523" s="1">
        <v>6</v>
      </c>
      <c r="V523" s="1">
        <v>5</v>
      </c>
      <c r="W523" s="1">
        <v>0</v>
      </c>
      <c r="X523" s="1">
        <v>4</v>
      </c>
    </row>
    <row r="524" spans="1:24">
      <c r="A524" s="1">
        <v>523</v>
      </c>
      <c r="B524" s="1" t="s">
        <v>33</v>
      </c>
      <c r="C524" s="1" t="s">
        <v>25</v>
      </c>
      <c r="D524" s="1" t="s">
        <v>26</v>
      </c>
      <c r="E524" s="1" t="s">
        <v>36</v>
      </c>
      <c r="F524" s="1" t="s">
        <v>28</v>
      </c>
      <c r="G524" s="1">
        <v>1</v>
      </c>
      <c r="H524" s="1" t="s">
        <v>37</v>
      </c>
      <c r="I524" s="1" t="s">
        <v>38</v>
      </c>
      <c r="J524" s="1" t="s">
        <v>31</v>
      </c>
      <c r="K524" s="1" t="s">
        <v>33</v>
      </c>
      <c r="L524" s="1">
        <v>37</v>
      </c>
      <c r="M524" s="1">
        <v>10</v>
      </c>
      <c r="N524" s="1" t="s">
        <v>32</v>
      </c>
      <c r="O524" s="1">
        <v>4</v>
      </c>
      <c r="P524" s="1">
        <v>1</v>
      </c>
      <c r="Q524" s="1">
        <v>4</v>
      </c>
      <c r="R524" s="1">
        <v>4680</v>
      </c>
      <c r="S524" s="1">
        <v>4</v>
      </c>
      <c r="T524" s="1">
        <v>3</v>
      </c>
      <c r="U524" s="1">
        <v>1</v>
      </c>
      <c r="V524" s="1">
        <v>0</v>
      </c>
      <c r="W524" s="1">
        <v>0</v>
      </c>
      <c r="X524" s="1">
        <v>0</v>
      </c>
    </row>
    <row r="525" spans="1:24">
      <c r="A525" s="1">
        <v>524</v>
      </c>
      <c r="B525" s="1" t="s">
        <v>33</v>
      </c>
      <c r="C525" s="1" t="s">
        <v>25</v>
      </c>
      <c r="D525" s="1" t="s">
        <v>35</v>
      </c>
      <c r="E525" s="1" t="s">
        <v>36</v>
      </c>
      <c r="F525" s="1" t="s">
        <v>45</v>
      </c>
      <c r="G525" s="1">
        <v>1</v>
      </c>
      <c r="H525" s="1" t="s">
        <v>37</v>
      </c>
      <c r="I525" s="1" t="s">
        <v>42</v>
      </c>
      <c r="J525" s="1" t="s">
        <v>39</v>
      </c>
      <c r="K525" s="1" t="s">
        <v>24</v>
      </c>
      <c r="L525" s="1">
        <v>50</v>
      </c>
      <c r="M525" s="1">
        <v>28</v>
      </c>
      <c r="N525" s="1" t="s">
        <v>40</v>
      </c>
      <c r="O525" s="1">
        <v>4</v>
      </c>
      <c r="P525" s="1">
        <v>1</v>
      </c>
      <c r="Q525" s="1">
        <v>3</v>
      </c>
      <c r="R525" s="1">
        <v>3221</v>
      </c>
      <c r="S525" s="1">
        <v>20</v>
      </c>
      <c r="T525" s="1">
        <v>3</v>
      </c>
      <c r="U525" s="1">
        <v>20</v>
      </c>
      <c r="V525" s="1">
        <v>8</v>
      </c>
      <c r="W525" s="1">
        <v>3</v>
      </c>
      <c r="X525" s="1">
        <v>8</v>
      </c>
    </row>
    <row r="526" spans="1:24">
      <c r="A526" s="1">
        <v>525</v>
      </c>
      <c r="B526" s="1" t="s">
        <v>33</v>
      </c>
      <c r="C526" s="1" t="s">
        <v>25</v>
      </c>
      <c r="D526" s="1" t="s">
        <v>43</v>
      </c>
      <c r="E526" s="1" t="s">
        <v>36</v>
      </c>
      <c r="F526" s="1" t="s">
        <v>45</v>
      </c>
      <c r="G526" s="1">
        <v>1</v>
      </c>
      <c r="H526" s="1" t="s">
        <v>29</v>
      </c>
      <c r="I526" s="1" t="s">
        <v>50</v>
      </c>
      <c r="J526" s="1" t="s">
        <v>31</v>
      </c>
      <c r="K526" s="1" t="s">
        <v>33</v>
      </c>
      <c r="L526" s="1">
        <v>34</v>
      </c>
      <c r="M526" s="1">
        <v>9</v>
      </c>
      <c r="N526" s="1" t="s">
        <v>47</v>
      </c>
      <c r="O526" s="1">
        <v>4</v>
      </c>
      <c r="P526" s="1">
        <v>3</v>
      </c>
      <c r="Q526" s="1">
        <v>2</v>
      </c>
      <c r="R526" s="1">
        <v>8621</v>
      </c>
      <c r="S526" s="1">
        <v>9</v>
      </c>
      <c r="T526" s="1">
        <v>4</v>
      </c>
      <c r="U526" s="1">
        <v>8</v>
      </c>
      <c r="V526" s="1">
        <v>7</v>
      </c>
      <c r="W526" s="1">
        <v>7</v>
      </c>
      <c r="X526" s="1">
        <v>7</v>
      </c>
    </row>
    <row r="527" spans="1:24">
      <c r="A527" s="1">
        <v>526</v>
      </c>
      <c r="B527" s="1" t="s">
        <v>24</v>
      </c>
      <c r="C527" s="1" t="s">
        <v>25</v>
      </c>
      <c r="D527" s="1" t="s">
        <v>52</v>
      </c>
      <c r="E527" s="1" t="s">
        <v>27</v>
      </c>
      <c r="F527" s="1" t="s">
        <v>28</v>
      </c>
      <c r="G527" s="1">
        <v>1</v>
      </c>
      <c r="H527" s="1" t="s">
        <v>29</v>
      </c>
      <c r="I527" s="1" t="s">
        <v>30</v>
      </c>
      <c r="J527" s="1" t="s">
        <v>31</v>
      </c>
      <c r="K527" s="1" t="s">
        <v>33</v>
      </c>
      <c r="L527" s="1">
        <v>24</v>
      </c>
      <c r="M527" s="1">
        <v>3</v>
      </c>
      <c r="N527" s="1" t="s">
        <v>32</v>
      </c>
      <c r="O527" s="1">
        <v>1</v>
      </c>
      <c r="P527" s="1">
        <v>2</v>
      </c>
      <c r="Q527" s="1">
        <v>3</v>
      </c>
      <c r="R527" s="1">
        <v>4577</v>
      </c>
      <c r="S527" s="1">
        <v>4</v>
      </c>
      <c r="T527" s="1">
        <v>3</v>
      </c>
      <c r="U527" s="1">
        <v>2</v>
      </c>
      <c r="V527" s="1">
        <v>2</v>
      </c>
      <c r="W527" s="1">
        <v>2</v>
      </c>
      <c r="X527" s="1">
        <v>0</v>
      </c>
    </row>
    <row r="528" spans="1:24">
      <c r="A528" s="1">
        <v>527</v>
      </c>
      <c r="B528" s="1" t="s">
        <v>33</v>
      </c>
      <c r="C528" s="1" t="s">
        <v>25</v>
      </c>
      <c r="D528" s="1" t="s">
        <v>26</v>
      </c>
      <c r="E528" s="1" t="s">
        <v>36</v>
      </c>
      <c r="F528" s="1" t="s">
        <v>57</v>
      </c>
      <c r="G528" s="1">
        <v>1</v>
      </c>
      <c r="H528" s="1" t="s">
        <v>29</v>
      </c>
      <c r="I528" s="1" t="s">
        <v>50</v>
      </c>
      <c r="J528" s="1" t="s">
        <v>31</v>
      </c>
      <c r="K528" s="1" t="s">
        <v>33</v>
      </c>
      <c r="L528" s="1">
        <v>39</v>
      </c>
      <c r="M528" s="1">
        <v>2</v>
      </c>
      <c r="N528" s="1" t="s">
        <v>44</v>
      </c>
      <c r="O528" s="1">
        <v>4</v>
      </c>
      <c r="P528" s="1">
        <v>2</v>
      </c>
      <c r="Q528" s="1">
        <v>3</v>
      </c>
      <c r="R528" s="1">
        <v>4553</v>
      </c>
      <c r="S528" s="1">
        <v>20</v>
      </c>
      <c r="T528" s="1">
        <v>3</v>
      </c>
      <c r="U528" s="1">
        <v>20</v>
      </c>
      <c r="V528" s="1">
        <v>7</v>
      </c>
      <c r="W528" s="1">
        <v>11</v>
      </c>
      <c r="X528" s="1">
        <v>10</v>
      </c>
    </row>
    <row r="529" spans="1:24">
      <c r="A529" s="1">
        <v>528</v>
      </c>
      <c r="B529" s="1" t="s">
        <v>33</v>
      </c>
      <c r="C529" s="1" t="s">
        <v>25</v>
      </c>
      <c r="D529" s="1" t="s">
        <v>43</v>
      </c>
      <c r="E529" s="1" t="s">
        <v>27</v>
      </c>
      <c r="F529" s="1" t="s">
        <v>56</v>
      </c>
      <c r="G529" s="1">
        <v>1</v>
      </c>
      <c r="H529" s="1" t="s">
        <v>37</v>
      </c>
      <c r="I529" s="1" t="s">
        <v>30</v>
      </c>
      <c r="J529" s="1" t="s">
        <v>31</v>
      </c>
      <c r="K529" s="1" t="s">
        <v>33</v>
      </c>
      <c r="L529" s="1">
        <v>32</v>
      </c>
      <c r="M529" s="1">
        <v>10</v>
      </c>
      <c r="N529" s="1" t="s">
        <v>47</v>
      </c>
      <c r="O529" s="1">
        <v>4</v>
      </c>
      <c r="P529" s="1">
        <v>2</v>
      </c>
      <c r="Q529" s="1">
        <v>4</v>
      </c>
      <c r="R529" s="1">
        <v>5396</v>
      </c>
      <c r="S529" s="1">
        <v>10</v>
      </c>
      <c r="T529" s="1">
        <v>2</v>
      </c>
      <c r="U529" s="1">
        <v>10</v>
      </c>
      <c r="V529" s="1">
        <v>7</v>
      </c>
      <c r="W529" s="1">
        <v>0</v>
      </c>
      <c r="X529" s="1">
        <v>8</v>
      </c>
    </row>
    <row r="530" spans="1:24">
      <c r="A530" s="1">
        <v>529</v>
      </c>
      <c r="B530" s="1" t="s">
        <v>24</v>
      </c>
      <c r="C530" s="1" t="s">
        <v>34</v>
      </c>
      <c r="D530" s="1" t="s">
        <v>35</v>
      </c>
      <c r="E530" s="1" t="s">
        <v>27</v>
      </c>
      <c r="F530" s="1" t="s">
        <v>57</v>
      </c>
      <c r="G530" s="1">
        <v>1</v>
      </c>
      <c r="H530" s="1" t="s">
        <v>37</v>
      </c>
      <c r="I530" s="1" t="s">
        <v>30</v>
      </c>
      <c r="J530" s="1" t="s">
        <v>39</v>
      </c>
      <c r="K530" s="1" t="s">
        <v>24</v>
      </c>
      <c r="L530" s="1">
        <v>50</v>
      </c>
      <c r="M530" s="1">
        <v>8</v>
      </c>
      <c r="N530" s="1" t="s">
        <v>32</v>
      </c>
      <c r="O530" s="1">
        <v>2</v>
      </c>
      <c r="P530" s="1">
        <v>2</v>
      </c>
      <c r="Q530" s="1">
        <v>3</v>
      </c>
      <c r="R530" s="1">
        <v>6796</v>
      </c>
      <c r="S530" s="1">
        <v>18</v>
      </c>
      <c r="T530" s="1">
        <v>3</v>
      </c>
      <c r="U530" s="1">
        <v>4</v>
      </c>
      <c r="V530" s="1">
        <v>3</v>
      </c>
      <c r="W530" s="1">
        <v>1</v>
      </c>
      <c r="X530" s="1">
        <v>3</v>
      </c>
    </row>
    <row r="531" spans="1:24">
      <c r="A531" s="1">
        <v>530</v>
      </c>
      <c r="B531" s="1" t="s">
        <v>33</v>
      </c>
      <c r="C531" s="1" t="s">
        <v>25</v>
      </c>
      <c r="D531" s="1" t="s">
        <v>26</v>
      </c>
      <c r="E531" s="1" t="s">
        <v>36</v>
      </c>
      <c r="F531" s="1" t="s">
        <v>28</v>
      </c>
      <c r="G531" s="1">
        <v>1</v>
      </c>
      <c r="H531" s="1" t="s">
        <v>29</v>
      </c>
      <c r="I531" s="1" t="s">
        <v>50</v>
      </c>
      <c r="J531" s="1" t="s">
        <v>31</v>
      </c>
      <c r="K531" s="1" t="s">
        <v>33</v>
      </c>
      <c r="L531" s="1">
        <v>38</v>
      </c>
      <c r="M531" s="1">
        <v>1</v>
      </c>
      <c r="N531" s="1" t="s">
        <v>44</v>
      </c>
      <c r="O531" s="1">
        <v>2</v>
      </c>
      <c r="P531" s="1">
        <v>2</v>
      </c>
      <c r="Q531" s="1">
        <v>4</v>
      </c>
      <c r="R531" s="1">
        <v>7625</v>
      </c>
      <c r="S531" s="1">
        <v>10</v>
      </c>
      <c r="T531" s="1">
        <v>2</v>
      </c>
      <c r="U531" s="1">
        <v>9</v>
      </c>
      <c r="V531" s="1">
        <v>7</v>
      </c>
      <c r="W531" s="1">
        <v>1</v>
      </c>
      <c r="X531" s="1">
        <v>8</v>
      </c>
    </row>
    <row r="532" spans="1:24">
      <c r="A532" s="1">
        <v>531</v>
      </c>
      <c r="B532" s="1" t="s">
        <v>33</v>
      </c>
      <c r="C532" s="1" t="s">
        <v>25</v>
      </c>
      <c r="D532" s="1" t="s">
        <v>43</v>
      </c>
      <c r="E532" s="1" t="s">
        <v>36</v>
      </c>
      <c r="F532" s="1" t="s">
        <v>28</v>
      </c>
      <c r="G532" s="1">
        <v>1</v>
      </c>
      <c r="H532" s="1" t="s">
        <v>29</v>
      </c>
      <c r="I532" s="1" t="s">
        <v>49</v>
      </c>
      <c r="J532" s="1" t="s">
        <v>39</v>
      </c>
      <c r="K532" s="1" t="s">
        <v>33</v>
      </c>
      <c r="L532" s="1">
        <v>27</v>
      </c>
      <c r="M532" s="1">
        <v>1</v>
      </c>
      <c r="N532" s="1" t="s">
        <v>32</v>
      </c>
      <c r="O532" s="1">
        <v>3</v>
      </c>
      <c r="P532" s="1">
        <v>3</v>
      </c>
      <c r="Q532" s="1">
        <v>1</v>
      </c>
      <c r="R532" s="1">
        <v>7412</v>
      </c>
      <c r="S532" s="1">
        <v>9</v>
      </c>
      <c r="T532" s="1">
        <v>3</v>
      </c>
      <c r="U532" s="1">
        <v>9</v>
      </c>
      <c r="V532" s="1">
        <v>7</v>
      </c>
      <c r="W532" s="1">
        <v>0</v>
      </c>
      <c r="X532" s="1">
        <v>7</v>
      </c>
    </row>
    <row r="533" spans="1:24">
      <c r="A533" s="1">
        <v>532</v>
      </c>
      <c r="B533" s="1" t="s">
        <v>33</v>
      </c>
      <c r="C533" s="1" t="s">
        <v>25</v>
      </c>
      <c r="D533" s="1" t="s">
        <v>43</v>
      </c>
      <c r="E533" s="1" t="s">
        <v>36</v>
      </c>
      <c r="F533" s="1" t="s">
        <v>28</v>
      </c>
      <c r="G533" s="1">
        <v>1</v>
      </c>
      <c r="H533" s="1" t="s">
        <v>29</v>
      </c>
      <c r="I533" s="1" t="s">
        <v>55</v>
      </c>
      <c r="J533" s="1" t="s">
        <v>31</v>
      </c>
      <c r="K533" s="1" t="s">
        <v>33</v>
      </c>
      <c r="L533" s="1">
        <v>32</v>
      </c>
      <c r="M533" s="1">
        <v>3</v>
      </c>
      <c r="N533" s="1" t="s">
        <v>32</v>
      </c>
      <c r="O533" s="1">
        <v>3</v>
      </c>
      <c r="P533" s="1">
        <v>3</v>
      </c>
      <c r="Q533" s="1">
        <v>4</v>
      </c>
      <c r="R533" s="1">
        <v>11159</v>
      </c>
      <c r="S533" s="1">
        <v>10</v>
      </c>
      <c r="T533" s="1">
        <v>3</v>
      </c>
      <c r="U533" s="1">
        <v>7</v>
      </c>
      <c r="V533" s="1">
        <v>7</v>
      </c>
      <c r="W533" s="1">
        <v>7</v>
      </c>
      <c r="X533" s="1">
        <v>7</v>
      </c>
    </row>
    <row r="534" spans="1:24">
      <c r="A534" s="1">
        <v>533</v>
      </c>
      <c r="B534" s="1" t="s">
        <v>33</v>
      </c>
      <c r="C534" s="1" t="s">
        <v>25</v>
      </c>
      <c r="D534" s="1" t="s">
        <v>35</v>
      </c>
      <c r="E534" s="1" t="s">
        <v>27</v>
      </c>
      <c r="F534" s="1" t="s">
        <v>56</v>
      </c>
      <c r="G534" s="1">
        <v>1</v>
      </c>
      <c r="H534" s="1" t="s">
        <v>37</v>
      </c>
      <c r="I534" s="1" t="s">
        <v>30</v>
      </c>
      <c r="J534" s="1" t="s">
        <v>31</v>
      </c>
      <c r="K534" s="1" t="s">
        <v>33</v>
      </c>
      <c r="L534" s="1">
        <v>47</v>
      </c>
      <c r="M534" s="1">
        <v>14</v>
      </c>
      <c r="N534" s="1" t="s">
        <v>44</v>
      </c>
      <c r="O534" s="1">
        <v>4</v>
      </c>
      <c r="P534" s="1">
        <v>2</v>
      </c>
      <c r="Q534" s="1">
        <v>1</v>
      </c>
      <c r="R534" s="1">
        <v>4960</v>
      </c>
      <c r="S534" s="1">
        <v>20</v>
      </c>
      <c r="T534" s="1">
        <v>3</v>
      </c>
      <c r="U534" s="1">
        <v>7</v>
      </c>
      <c r="V534" s="1">
        <v>7</v>
      </c>
      <c r="W534" s="1">
        <v>1</v>
      </c>
      <c r="X534" s="1">
        <v>7</v>
      </c>
    </row>
    <row r="535" spans="1:24">
      <c r="A535" s="1">
        <v>534</v>
      </c>
      <c r="B535" s="1" t="s">
        <v>33</v>
      </c>
      <c r="C535" s="1" t="s">
        <v>34</v>
      </c>
      <c r="D535" s="1" t="s">
        <v>26</v>
      </c>
      <c r="E535" s="1" t="s">
        <v>27</v>
      </c>
      <c r="F535" s="1" t="s">
        <v>28</v>
      </c>
      <c r="G535" s="1">
        <v>1</v>
      </c>
      <c r="H535" s="1" t="s">
        <v>37</v>
      </c>
      <c r="I535" s="1" t="s">
        <v>30</v>
      </c>
      <c r="J535" s="1" t="s">
        <v>39</v>
      </c>
      <c r="K535" s="1" t="s">
        <v>24</v>
      </c>
      <c r="L535" s="1">
        <v>40</v>
      </c>
      <c r="M535" s="1">
        <v>5</v>
      </c>
      <c r="N535" s="1" t="s">
        <v>44</v>
      </c>
      <c r="O535" s="1">
        <v>4</v>
      </c>
      <c r="P535" s="1">
        <v>3</v>
      </c>
      <c r="Q535" s="1">
        <v>1</v>
      </c>
      <c r="R535" s="1">
        <v>10475</v>
      </c>
      <c r="S535" s="1">
        <v>20</v>
      </c>
      <c r="T535" s="1">
        <v>3</v>
      </c>
      <c r="U535" s="1">
        <v>18</v>
      </c>
      <c r="V535" s="1">
        <v>13</v>
      </c>
      <c r="W535" s="1">
        <v>1</v>
      </c>
      <c r="X535" s="1">
        <v>12</v>
      </c>
    </row>
    <row r="536" spans="1:24">
      <c r="A536" s="1">
        <v>535</v>
      </c>
      <c r="B536" s="1" t="s">
        <v>33</v>
      </c>
      <c r="C536" s="1" t="s">
        <v>25</v>
      </c>
      <c r="D536" s="1" t="s">
        <v>35</v>
      </c>
      <c r="E536" s="1" t="s">
        <v>36</v>
      </c>
      <c r="F536" s="1" t="s">
        <v>28</v>
      </c>
      <c r="G536" s="1">
        <v>1</v>
      </c>
      <c r="H536" s="1" t="s">
        <v>37</v>
      </c>
      <c r="I536" s="1" t="s">
        <v>55</v>
      </c>
      <c r="J536" s="1" t="s">
        <v>39</v>
      </c>
      <c r="K536" s="1" t="s">
        <v>33</v>
      </c>
      <c r="L536" s="1">
        <v>53</v>
      </c>
      <c r="M536" s="1">
        <v>7</v>
      </c>
      <c r="N536" s="1" t="s">
        <v>47</v>
      </c>
      <c r="O536" s="1">
        <v>3</v>
      </c>
      <c r="P536" s="1">
        <v>4</v>
      </c>
      <c r="Q536" s="1">
        <v>3</v>
      </c>
      <c r="R536" s="1">
        <v>14814</v>
      </c>
      <c r="S536" s="1">
        <v>32</v>
      </c>
      <c r="T536" s="1">
        <v>3</v>
      </c>
      <c r="U536" s="1">
        <v>5</v>
      </c>
      <c r="V536" s="1">
        <v>1</v>
      </c>
      <c r="W536" s="1">
        <v>1</v>
      </c>
      <c r="X536" s="1">
        <v>3</v>
      </c>
    </row>
    <row r="537" spans="1:24">
      <c r="A537" s="1">
        <v>536</v>
      </c>
      <c r="B537" s="1" t="s">
        <v>33</v>
      </c>
      <c r="C537" s="1" t="s">
        <v>25</v>
      </c>
      <c r="D537" s="1" t="s">
        <v>26</v>
      </c>
      <c r="E537" s="1" t="s">
        <v>59</v>
      </c>
      <c r="F537" s="1" t="s">
        <v>60</v>
      </c>
      <c r="G537" s="1">
        <v>1</v>
      </c>
      <c r="H537" s="1" t="s">
        <v>37</v>
      </c>
      <c r="I537" s="1" t="s">
        <v>53</v>
      </c>
      <c r="J537" s="1" t="s">
        <v>48</v>
      </c>
      <c r="K537" s="1" t="s">
        <v>33</v>
      </c>
      <c r="L537" s="1">
        <v>41</v>
      </c>
      <c r="M537" s="1">
        <v>10</v>
      </c>
      <c r="N537" s="1" t="s">
        <v>44</v>
      </c>
      <c r="O537" s="1">
        <v>2</v>
      </c>
      <c r="P537" s="1">
        <v>5</v>
      </c>
      <c r="Q537" s="1">
        <v>4</v>
      </c>
      <c r="R537" s="1">
        <v>19141</v>
      </c>
      <c r="S537" s="1">
        <v>23</v>
      </c>
      <c r="T537" s="1">
        <v>2</v>
      </c>
      <c r="U537" s="1">
        <v>21</v>
      </c>
      <c r="V537" s="1">
        <v>6</v>
      </c>
      <c r="W537" s="1">
        <v>12</v>
      </c>
      <c r="X537" s="1">
        <v>6</v>
      </c>
    </row>
    <row r="538" spans="1:24">
      <c r="A538" s="1">
        <v>537</v>
      </c>
      <c r="B538" s="1" t="s">
        <v>33</v>
      </c>
      <c r="C538" s="1" t="s">
        <v>25</v>
      </c>
      <c r="D538" s="1" t="s">
        <v>46</v>
      </c>
      <c r="E538" s="1" t="s">
        <v>27</v>
      </c>
      <c r="F538" s="1" t="s">
        <v>56</v>
      </c>
      <c r="G538" s="1">
        <v>1</v>
      </c>
      <c r="H538" s="1" t="s">
        <v>37</v>
      </c>
      <c r="I538" s="1" t="s">
        <v>30</v>
      </c>
      <c r="J538" s="1" t="s">
        <v>31</v>
      </c>
      <c r="K538" s="1" t="s">
        <v>33</v>
      </c>
      <c r="L538" s="1">
        <v>60</v>
      </c>
      <c r="M538" s="1">
        <v>16</v>
      </c>
      <c r="N538" s="1" t="s">
        <v>44</v>
      </c>
      <c r="O538" s="1">
        <v>1</v>
      </c>
      <c r="P538" s="1">
        <v>2</v>
      </c>
      <c r="Q538" s="1">
        <v>1</v>
      </c>
      <c r="R538" s="1">
        <v>5405</v>
      </c>
      <c r="S538" s="1">
        <v>10</v>
      </c>
      <c r="T538" s="1">
        <v>3</v>
      </c>
      <c r="U538" s="1">
        <v>2</v>
      </c>
      <c r="V538" s="1">
        <v>2</v>
      </c>
      <c r="W538" s="1">
        <v>2</v>
      </c>
      <c r="X538" s="1">
        <v>2</v>
      </c>
    </row>
    <row r="539" spans="1:24">
      <c r="A539" s="1">
        <v>538</v>
      </c>
      <c r="B539" s="1" t="s">
        <v>33</v>
      </c>
      <c r="C539" s="1" t="s">
        <v>34</v>
      </c>
      <c r="D539" s="1" t="s">
        <v>43</v>
      </c>
      <c r="E539" s="1" t="s">
        <v>36</v>
      </c>
      <c r="F539" s="1" t="s">
        <v>28</v>
      </c>
      <c r="G539" s="1">
        <v>1</v>
      </c>
      <c r="H539" s="1" t="s">
        <v>37</v>
      </c>
      <c r="I539" s="1" t="s">
        <v>49</v>
      </c>
      <c r="J539" s="1" t="s">
        <v>48</v>
      </c>
      <c r="K539" s="1" t="s">
        <v>33</v>
      </c>
      <c r="L539" s="1">
        <v>27</v>
      </c>
      <c r="M539" s="1">
        <v>10</v>
      </c>
      <c r="N539" s="1" t="s">
        <v>32</v>
      </c>
      <c r="O539" s="1">
        <v>4</v>
      </c>
      <c r="P539" s="1">
        <v>3</v>
      </c>
      <c r="Q539" s="1">
        <v>1</v>
      </c>
      <c r="R539" s="1">
        <v>8793</v>
      </c>
      <c r="S539" s="1">
        <v>9</v>
      </c>
      <c r="T539" s="1">
        <v>2</v>
      </c>
      <c r="U539" s="1">
        <v>9</v>
      </c>
      <c r="V539" s="1">
        <v>7</v>
      </c>
      <c r="W539" s="1">
        <v>1</v>
      </c>
      <c r="X539" s="1">
        <v>7</v>
      </c>
    </row>
    <row r="540" spans="1:24">
      <c r="A540" s="1">
        <v>539</v>
      </c>
      <c r="B540" s="1" t="s">
        <v>33</v>
      </c>
      <c r="C540" s="1" t="s">
        <v>25</v>
      </c>
      <c r="D540" s="1" t="s">
        <v>26</v>
      </c>
      <c r="E540" s="1" t="s">
        <v>59</v>
      </c>
      <c r="F540" s="1" t="s">
        <v>60</v>
      </c>
      <c r="G540" s="1">
        <v>1</v>
      </c>
      <c r="H540" s="1" t="s">
        <v>37</v>
      </c>
      <c r="I540" s="1" t="s">
        <v>53</v>
      </c>
      <c r="J540" s="1" t="s">
        <v>39</v>
      </c>
      <c r="K540" s="1" t="s">
        <v>33</v>
      </c>
      <c r="L540" s="1">
        <v>41</v>
      </c>
      <c r="M540" s="1">
        <v>1</v>
      </c>
      <c r="N540" s="1" t="s">
        <v>47</v>
      </c>
      <c r="O540" s="1">
        <v>4</v>
      </c>
      <c r="P540" s="1">
        <v>5</v>
      </c>
      <c r="Q540" s="1">
        <v>3</v>
      </c>
      <c r="R540" s="1">
        <v>19189</v>
      </c>
      <c r="S540" s="1">
        <v>22</v>
      </c>
      <c r="T540" s="1">
        <v>3</v>
      </c>
      <c r="U540" s="1">
        <v>22</v>
      </c>
      <c r="V540" s="1">
        <v>7</v>
      </c>
      <c r="W540" s="1">
        <v>2</v>
      </c>
      <c r="X540" s="1">
        <v>10</v>
      </c>
    </row>
    <row r="541" spans="1:24">
      <c r="A541" s="1">
        <v>540</v>
      </c>
      <c r="B541" s="1" t="s">
        <v>33</v>
      </c>
      <c r="C541" s="1" t="s">
        <v>25</v>
      </c>
      <c r="D541" s="1" t="s">
        <v>35</v>
      </c>
      <c r="E541" s="1" t="s">
        <v>27</v>
      </c>
      <c r="F541" s="1" t="s">
        <v>56</v>
      </c>
      <c r="G541" s="1">
        <v>1</v>
      </c>
      <c r="H541" s="1" t="s">
        <v>37</v>
      </c>
      <c r="I541" s="1" t="s">
        <v>54</v>
      </c>
      <c r="J541" s="1" t="s">
        <v>39</v>
      </c>
      <c r="K541" s="1" t="s">
        <v>33</v>
      </c>
      <c r="L541" s="1">
        <v>50</v>
      </c>
      <c r="M541" s="1">
        <v>8</v>
      </c>
      <c r="N541" s="1" t="s">
        <v>44</v>
      </c>
      <c r="O541" s="1">
        <v>4</v>
      </c>
      <c r="P541" s="1">
        <v>1</v>
      </c>
      <c r="Q541" s="1">
        <v>2</v>
      </c>
      <c r="R541" s="1">
        <v>3875</v>
      </c>
      <c r="S541" s="1">
        <v>4</v>
      </c>
      <c r="T541" s="1">
        <v>3</v>
      </c>
      <c r="U541" s="1">
        <v>2</v>
      </c>
      <c r="V541" s="1">
        <v>2</v>
      </c>
      <c r="W541" s="1">
        <v>2</v>
      </c>
      <c r="X541" s="1">
        <v>2</v>
      </c>
    </row>
    <row r="542" spans="1:24">
      <c r="A542" s="1">
        <v>541</v>
      </c>
      <c r="B542" s="1" t="s">
        <v>24</v>
      </c>
      <c r="C542" s="1" t="s">
        <v>25</v>
      </c>
      <c r="D542" s="1" t="s">
        <v>43</v>
      </c>
      <c r="E542" s="1" t="s">
        <v>36</v>
      </c>
      <c r="F542" s="1" t="s">
        <v>28</v>
      </c>
      <c r="G542" s="1">
        <v>1</v>
      </c>
      <c r="H542" s="1" t="s">
        <v>29</v>
      </c>
      <c r="I542" s="1" t="s">
        <v>38</v>
      </c>
      <c r="J542" s="1" t="s">
        <v>31</v>
      </c>
      <c r="K542" s="1" t="s">
        <v>24</v>
      </c>
      <c r="L542" s="1">
        <v>28</v>
      </c>
      <c r="M542" s="1">
        <v>1</v>
      </c>
      <c r="N542" s="1" t="s">
        <v>32</v>
      </c>
      <c r="O542" s="1">
        <v>1</v>
      </c>
      <c r="P542" s="1">
        <v>1</v>
      </c>
      <c r="Q542" s="1">
        <v>2</v>
      </c>
      <c r="R542" s="1">
        <v>2216</v>
      </c>
      <c r="S542" s="1">
        <v>10</v>
      </c>
      <c r="T542" s="1">
        <v>3</v>
      </c>
      <c r="U542" s="1">
        <v>7</v>
      </c>
      <c r="V542" s="1">
        <v>7</v>
      </c>
      <c r="W542" s="1">
        <v>3</v>
      </c>
      <c r="X542" s="1">
        <v>7</v>
      </c>
    </row>
    <row r="543" spans="1:24">
      <c r="A543" s="1">
        <v>542</v>
      </c>
      <c r="B543" s="1" t="s">
        <v>33</v>
      </c>
      <c r="C543" s="1" t="s">
        <v>51</v>
      </c>
      <c r="D543" s="1" t="s">
        <v>26</v>
      </c>
      <c r="E543" s="1" t="s">
        <v>36</v>
      </c>
      <c r="F543" s="1" t="s">
        <v>28</v>
      </c>
      <c r="G543" s="1">
        <v>1</v>
      </c>
      <c r="H543" s="1" t="s">
        <v>29</v>
      </c>
      <c r="I543" s="1" t="s">
        <v>55</v>
      </c>
      <c r="J543" s="1" t="s">
        <v>39</v>
      </c>
      <c r="K543" s="1" t="s">
        <v>33</v>
      </c>
      <c r="L543" s="1">
        <v>36</v>
      </c>
      <c r="M543" s="1">
        <v>8</v>
      </c>
      <c r="N543" s="1" t="s">
        <v>47</v>
      </c>
      <c r="O543" s="1">
        <v>1</v>
      </c>
      <c r="P543" s="1">
        <v>3</v>
      </c>
      <c r="Q543" s="1">
        <v>1</v>
      </c>
      <c r="R543" s="1">
        <v>11713</v>
      </c>
      <c r="S543" s="1">
        <v>10</v>
      </c>
      <c r="T543" s="1">
        <v>3</v>
      </c>
      <c r="U543" s="1">
        <v>8</v>
      </c>
      <c r="V543" s="1">
        <v>7</v>
      </c>
      <c r="W543" s="1">
        <v>0</v>
      </c>
      <c r="X543" s="1">
        <v>5</v>
      </c>
    </row>
    <row r="544" spans="1:24">
      <c r="A544" s="1">
        <v>543</v>
      </c>
      <c r="B544" s="1" t="s">
        <v>33</v>
      </c>
      <c r="C544" s="1" t="s">
        <v>25</v>
      </c>
      <c r="D544" s="1" t="s">
        <v>26</v>
      </c>
      <c r="E544" s="1" t="s">
        <v>36</v>
      </c>
      <c r="F544" s="1" t="s">
        <v>28</v>
      </c>
      <c r="G544" s="1">
        <v>1</v>
      </c>
      <c r="H544" s="1" t="s">
        <v>29</v>
      </c>
      <c r="I544" s="1" t="s">
        <v>49</v>
      </c>
      <c r="J544" s="1" t="s">
        <v>31</v>
      </c>
      <c r="K544" s="1" t="s">
        <v>24</v>
      </c>
      <c r="L544" s="1">
        <v>38</v>
      </c>
      <c r="M544" s="1">
        <v>1</v>
      </c>
      <c r="N544" s="1" t="s">
        <v>47</v>
      </c>
      <c r="O544" s="1">
        <v>3</v>
      </c>
      <c r="P544" s="1">
        <v>3</v>
      </c>
      <c r="Q544" s="1">
        <v>3</v>
      </c>
      <c r="R544" s="1">
        <v>7861</v>
      </c>
      <c r="S544" s="1">
        <v>10</v>
      </c>
      <c r="T544" s="1">
        <v>4</v>
      </c>
      <c r="U544" s="1">
        <v>1</v>
      </c>
      <c r="V544" s="1">
        <v>0</v>
      </c>
      <c r="W544" s="1">
        <v>0</v>
      </c>
      <c r="X544" s="1">
        <v>0</v>
      </c>
    </row>
    <row r="545" spans="1:24">
      <c r="A545" s="1">
        <v>544</v>
      </c>
      <c r="B545" s="1" t="s">
        <v>33</v>
      </c>
      <c r="C545" s="1" t="s">
        <v>51</v>
      </c>
      <c r="D545" s="1" t="s">
        <v>26</v>
      </c>
      <c r="E545" s="1" t="s">
        <v>36</v>
      </c>
      <c r="F545" s="1" t="s">
        <v>45</v>
      </c>
      <c r="G545" s="1">
        <v>1</v>
      </c>
      <c r="H545" s="1" t="s">
        <v>37</v>
      </c>
      <c r="I545" s="1" t="s">
        <v>42</v>
      </c>
      <c r="J545" s="1" t="s">
        <v>31</v>
      </c>
      <c r="K545" s="1" t="s">
        <v>33</v>
      </c>
      <c r="L545" s="1">
        <v>44</v>
      </c>
      <c r="M545" s="1">
        <v>24</v>
      </c>
      <c r="N545" s="1" t="s">
        <v>47</v>
      </c>
      <c r="O545" s="1">
        <v>1</v>
      </c>
      <c r="P545" s="1">
        <v>1</v>
      </c>
      <c r="Q545" s="1">
        <v>3</v>
      </c>
      <c r="R545" s="1">
        <v>3708</v>
      </c>
      <c r="S545" s="1">
        <v>9</v>
      </c>
      <c r="T545" s="1">
        <v>3</v>
      </c>
      <c r="U545" s="1">
        <v>5</v>
      </c>
      <c r="V545" s="1">
        <v>2</v>
      </c>
      <c r="W545" s="1">
        <v>1</v>
      </c>
      <c r="X545" s="1">
        <v>4</v>
      </c>
    </row>
    <row r="546" spans="1:24">
      <c r="A546" s="1">
        <v>545</v>
      </c>
      <c r="B546" s="1" t="s">
        <v>33</v>
      </c>
      <c r="C546" s="1" t="s">
        <v>34</v>
      </c>
      <c r="D546" s="1" t="s">
        <v>35</v>
      </c>
      <c r="E546" s="1" t="s">
        <v>27</v>
      </c>
      <c r="F546" s="1" t="s">
        <v>45</v>
      </c>
      <c r="G546" s="1">
        <v>1</v>
      </c>
      <c r="H546" s="1" t="s">
        <v>29</v>
      </c>
      <c r="I546" s="1" t="s">
        <v>30</v>
      </c>
      <c r="J546" s="1" t="s">
        <v>48</v>
      </c>
      <c r="K546" s="1" t="s">
        <v>24</v>
      </c>
      <c r="L546" s="1">
        <v>47</v>
      </c>
      <c r="M546" s="1">
        <v>3</v>
      </c>
      <c r="N546" s="1" t="s">
        <v>47</v>
      </c>
      <c r="O546" s="1">
        <v>4</v>
      </c>
      <c r="P546" s="1">
        <v>4</v>
      </c>
      <c r="Q546" s="1">
        <v>3</v>
      </c>
      <c r="R546" s="1">
        <v>13770</v>
      </c>
      <c r="S546" s="1">
        <v>28</v>
      </c>
      <c r="T546" s="1">
        <v>2</v>
      </c>
      <c r="U546" s="1">
        <v>22</v>
      </c>
      <c r="V546" s="1">
        <v>2</v>
      </c>
      <c r="W546" s="1">
        <v>11</v>
      </c>
      <c r="X546" s="1">
        <v>13</v>
      </c>
    </row>
    <row r="547" spans="1:24">
      <c r="A547" s="1">
        <v>546</v>
      </c>
      <c r="B547" s="1" t="s">
        <v>33</v>
      </c>
      <c r="C547" s="1" t="s">
        <v>25</v>
      </c>
      <c r="D547" s="1" t="s">
        <v>43</v>
      </c>
      <c r="E547" s="1" t="s">
        <v>27</v>
      </c>
      <c r="F547" s="1" t="s">
        <v>56</v>
      </c>
      <c r="G547" s="1">
        <v>1</v>
      </c>
      <c r="H547" s="1" t="s">
        <v>37</v>
      </c>
      <c r="I547" s="1" t="s">
        <v>30</v>
      </c>
      <c r="J547" s="1" t="s">
        <v>48</v>
      </c>
      <c r="K547" s="1" t="s">
        <v>33</v>
      </c>
      <c r="L547" s="1">
        <v>30</v>
      </c>
      <c r="M547" s="1">
        <v>27</v>
      </c>
      <c r="N547" s="1" t="s">
        <v>58</v>
      </c>
      <c r="O547" s="1">
        <v>3</v>
      </c>
      <c r="P547" s="1">
        <v>2</v>
      </c>
      <c r="Q547" s="1">
        <v>4</v>
      </c>
      <c r="R547" s="1">
        <v>5304</v>
      </c>
      <c r="S547" s="1">
        <v>10</v>
      </c>
      <c r="T547" s="1">
        <v>2</v>
      </c>
      <c r="U547" s="1">
        <v>8</v>
      </c>
      <c r="V547" s="1">
        <v>7</v>
      </c>
      <c r="W547" s="1">
        <v>7</v>
      </c>
      <c r="X547" s="1">
        <v>7</v>
      </c>
    </row>
    <row r="548" spans="1:24">
      <c r="A548" s="1">
        <v>547</v>
      </c>
      <c r="B548" s="1" t="s">
        <v>33</v>
      </c>
      <c r="C548" s="1" t="s">
        <v>25</v>
      </c>
      <c r="D548" s="1" t="s">
        <v>43</v>
      </c>
      <c r="E548" s="1" t="s">
        <v>27</v>
      </c>
      <c r="F548" s="1" t="s">
        <v>28</v>
      </c>
      <c r="G548" s="1">
        <v>1</v>
      </c>
      <c r="H548" s="1" t="s">
        <v>37</v>
      </c>
      <c r="I548" s="1" t="s">
        <v>54</v>
      </c>
      <c r="J548" s="1" t="s">
        <v>31</v>
      </c>
      <c r="K548" s="1" t="s">
        <v>33</v>
      </c>
      <c r="L548" s="1">
        <v>29</v>
      </c>
      <c r="M548" s="1">
        <v>10</v>
      </c>
      <c r="N548" s="1" t="s">
        <v>47</v>
      </c>
      <c r="O548" s="1">
        <v>3</v>
      </c>
      <c r="P548" s="1">
        <v>1</v>
      </c>
      <c r="Q548" s="1">
        <v>3</v>
      </c>
      <c r="R548" s="1">
        <v>2642</v>
      </c>
      <c r="S548" s="1">
        <v>1</v>
      </c>
      <c r="T548" s="1">
        <v>3</v>
      </c>
      <c r="U548" s="1">
        <v>1</v>
      </c>
      <c r="V548" s="1">
        <v>0</v>
      </c>
      <c r="W548" s="1">
        <v>0</v>
      </c>
      <c r="X548" s="1">
        <v>0</v>
      </c>
    </row>
    <row r="549" spans="1:24">
      <c r="A549" s="1">
        <v>548</v>
      </c>
      <c r="B549" s="1" t="s">
        <v>24</v>
      </c>
      <c r="C549" s="1" t="s">
        <v>34</v>
      </c>
      <c r="D549" s="1" t="s">
        <v>26</v>
      </c>
      <c r="E549" s="1" t="s">
        <v>36</v>
      </c>
      <c r="F549" s="1" t="s">
        <v>45</v>
      </c>
      <c r="G549" s="1">
        <v>1</v>
      </c>
      <c r="H549" s="1" t="s">
        <v>37</v>
      </c>
      <c r="I549" s="1" t="s">
        <v>38</v>
      </c>
      <c r="J549" s="1" t="s">
        <v>48</v>
      </c>
      <c r="K549" s="1" t="s">
        <v>24</v>
      </c>
      <c r="L549" s="1">
        <v>42</v>
      </c>
      <c r="M549" s="1">
        <v>19</v>
      </c>
      <c r="N549" s="1" t="s">
        <v>47</v>
      </c>
      <c r="O549" s="1">
        <v>3</v>
      </c>
      <c r="P549" s="1">
        <v>1</v>
      </c>
      <c r="Q549" s="1">
        <v>3</v>
      </c>
      <c r="R549" s="1">
        <v>2759</v>
      </c>
      <c r="S549" s="1">
        <v>7</v>
      </c>
      <c r="T549" s="1">
        <v>3</v>
      </c>
      <c r="U549" s="1">
        <v>2</v>
      </c>
      <c r="V549" s="1">
        <v>2</v>
      </c>
      <c r="W549" s="1">
        <v>2</v>
      </c>
      <c r="X549" s="1">
        <v>2</v>
      </c>
    </row>
    <row r="550" spans="1:24">
      <c r="A550" s="1">
        <v>549</v>
      </c>
      <c r="B550" s="1" t="s">
        <v>33</v>
      </c>
      <c r="C550" s="1" t="s">
        <v>34</v>
      </c>
      <c r="D550" s="1" t="s">
        <v>26</v>
      </c>
      <c r="E550" s="1" t="s">
        <v>27</v>
      </c>
      <c r="F550" s="1" t="s">
        <v>28</v>
      </c>
      <c r="G550" s="1">
        <v>1</v>
      </c>
      <c r="H550" s="1" t="s">
        <v>37</v>
      </c>
      <c r="I550" s="1" t="s">
        <v>30</v>
      </c>
      <c r="J550" s="1" t="s">
        <v>39</v>
      </c>
      <c r="K550" s="1" t="s">
        <v>33</v>
      </c>
      <c r="L550" s="1">
        <v>43</v>
      </c>
      <c r="M550" s="1">
        <v>15</v>
      </c>
      <c r="N550" s="1" t="s">
        <v>47</v>
      </c>
      <c r="O550" s="1">
        <v>4</v>
      </c>
      <c r="P550" s="1">
        <v>2</v>
      </c>
      <c r="Q550" s="1">
        <v>4</v>
      </c>
      <c r="R550" s="1">
        <v>6804</v>
      </c>
      <c r="S550" s="1">
        <v>7</v>
      </c>
      <c r="T550" s="1">
        <v>3</v>
      </c>
      <c r="U550" s="1">
        <v>2</v>
      </c>
      <c r="V550" s="1">
        <v>2</v>
      </c>
      <c r="W550" s="1">
        <v>2</v>
      </c>
      <c r="X550" s="1">
        <v>2</v>
      </c>
    </row>
    <row r="551" spans="1:24">
      <c r="A551" s="1">
        <v>550</v>
      </c>
      <c r="B551" s="1" t="s">
        <v>33</v>
      </c>
      <c r="C551" s="1" t="s">
        <v>25</v>
      </c>
      <c r="D551" s="1" t="s">
        <v>43</v>
      </c>
      <c r="E551" s="1" t="s">
        <v>36</v>
      </c>
      <c r="F551" s="1" t="s">
        <v>45</v>
      </c>
      <c r="G551" s="1">
        <v>1</v>
      </c>
      <c r="H551" s="1" t="s">
        <v>29</v>
      </c>
      <c r="I551" s="1" t="s">
        <v>50</v>
      </c>
      <c r="J551" s="1" t="s">
        <v>31</v>
      </c>
      <c r="K551" s="1" t="s">
        <v>33</v>
      </c>
      <c r="L551" s="1">
        <v>34</v>
      </c>
      <c r="M551" s="1">
        <v>8</v>
      </c>
      <c r="N551" s="1" t="s">
        <v>32</v>
      </c>
      <c r="O551" s="1">
        <v>2</v>
      </c>
      <c r="P551" s="1">
        <v>2</v>
      </c>
      <c r="Q551" s="1">
        <v>3</v>
      </c>
      <c r="R551" s="1">
        <v>6142</v>
      </c>
      <c r="S551" s="1">
        <v>10</v>
      </c>
      <c r="T551" s="1">
        <v>3</v>
      </c>
      <c r="U551" s="1">
        <v>5</v>
      </c>
      <c r="V551" s="1">
        <v>1</v>
      </c>
      <c r="W551" s="1">
        <v>4</v>
      </c>
      <c r="X551" s="1">
        <v>3</v>
      </c>
    </row>
    <row r="552" spans="1:24">
      <c r="A552" s="1">
        <v>551</v>
      </c>
      <c r="B552" s="1" t="s">
        <v>33</v>
      </c>
      <c r="C552" s="1" t="s">
        <v>25</v>
      </c>
      <c r="D552" s="1" t="s">
        <v>52</v>
      </c>
      <c r="E552" s="1" t="s">
        <v>36</v>
      </c>
      <c r="F552" s="1" t="s">
        <v>45</v>
      </c>
      <c r="G552" s="1">
        <v>1</v>
      </c>
      <c r="H552" s="1" t="s">
        <v>37</v>
      </c>
      <c r="I552" s="1" t="s">
        <v>42</v>
      </c>
      <c r="J552" s="1" t="s">
        <v>39</v>
      </c>
      <c r="K552" s="1" t="s">
        <v>33</v>
      </c>
      <c r="L552" s="1">
        <v>23</v>
      </c>
      <c r="M552" s="1">
        <v>9</v>
      </c>
      <c r="N552" s="1" t="s">
        <v>40</v>
      </c>
      <c r="O552" s="1">
        <v>2</v>
      </c>
      <c r="P552" s="1">
        <v>1</v>
      </c>
      <c r="Q552" s="1">
        <v>1</v>
      </c>
      <c r="R552" s="1">
        <v>2500</v>
      </c>
      <c r="S552" s="1">
        <v>5</v>
      </c>
      <c r="T552" s="1">
        <v>4</v>
      </c>
      <c r="U552" s="1">
        <v>4</v>
      </c>
      <c r="V552" s="1">
        <v>3</v>
      </c>
      <c r="W552" s="1">
        <v>0</v>
      </c>
      <c r="X552" s="1">
        <v>2</v>
      </c>
    </row>
    <row r="553" spans="1:24">
      <c r="A553" s="1">
        <v>552</v>
      </c>
      <c r="B553" s="1" t="s">
        <v>33</v>
      </c>
      <c r="C553" s="1" t="s">
        <v>25</v>
      </c>
      <c r="D553" s="1" t="s">
        <v>26</v>
      </c>
      <c r="E553" s="1" t="s">
        <v>59</v>
      </c>
      <c r="F553" s="1" t="s">
        <v>60</v>
      </c>
      <c r="G553" s="1">
        <v>1</v>
      </c>
      <c r="H553" s="1" t="s">
        <v>29</v>
      </c>
      <c r="I553" s="1" t="s">
        <v>60</v>
      </c>
      <c r="J553" s="1" t="s">
        <v>39</v>
      </c>
      <c r="K553" s="1" t="s">
        <v>33</v>
      </c>
      <c r="L553" s="1">
        <v>39</v>
      </c>
      <c r="M553" s="1">
        <v>3</v>
      </c>
      <c r="N553" s="1" t="s">
        <v>47</v>
      </c>
      <c r="O553" s="1">
        <v>3</v>
      </c>
      <c r="P553" s="1">
        <v>2</v>
      </c>
      <c r="Q553" s="1">
        <v>2</v>
      </c>
      <c r="R553" s="1">
        <v>6389</v>
      </c>
      <c r="S553" s="1">
        <v>12</v>
      </c>
      <c r="T553" s="1">
        <v>1</v>
      </c>
      <c r="U553" s="1">
        <v>8</v>
      </c>
      <c r="V553" s="1">
        <v>3</v>
      </c>
      <c r="W553" s="1">
        <v>3</v>
      </c>
      <c r="X553" s="1">
        <v>6</v>
      </c>
    </row>
    <row r="554" spans="1:24">
      <c r="A554" s="1">
        <v>553</v>
      </c>
      <c r="B554" s="1" t="s">
        <v>33</v>
      </c>
      <c r="C554" s="1" t="s">
        <v>25</v>
      </c>
      <c r="D554" s="1" t="s">
        <v>46</v>
      </c>
      <c r="E554" s="1" t="s">
        <v>36</v>
      </c>
      <c r="F554" s="1" t="s">
        <v>45</v>
      </c>
      <c r="G554" s="1">
        <v>1</v>
      </c>
      <c r="H554" s="1" t="s">
        <v>37</v>
      </c>
      <c r="I554" s="1" t="s">
        <v>50</v>
      </c>
      <c r="J554" s="1" t="s">
        <v>39</v>
      </c>
      <c r="K554" s="1" t="s">
        <v>33</v>
      </c>
      <c r="L554" s="1">
        <v>56</v>
      </c>
      <c r="M554" s="1">
        <v>9</v>
      </c>
      <c r="N554" s="1" t="s">
        <v>47</v>
      </c>
      <c r="O554" s="1">
        <v>3</v>
      </c>
      <c r="P554" s="1">
        <v>4</v>
      </c>
      <c r="Q554" s="1">
        <v>4</v>
      </c>
      <c r="R554" s="1">
        <v>11103</v>
      </c>
      <c r="S554" s="1">
        <v>30</v>
      </c>
      <c r="T554" s="1">
        <v>2</v>
      </c>
      <c r="U554" s="1">
        <v>10</v>
      </c>
      <c r="V554" s="1">
        <v>7</v>
      </c>
      <c r="W554" s="1">
        <v>1</v>
      </c>
      <c r="X554" s="1">
        <v>1</v>
      </c>
    </row>
    <row r="555" spans="1:24">
      <c r="A555" s="1">
        <v>554</v>
      </c>
      <c r="B555" s="1" t="s">
        <v>33</v>
      </c>
      <c r="C555" s="1" t="s">
        <v>25</v>
      </c>
      <c r="D555" s="1" t="s">
        <v>26</v>
      </c>
      <c r="E555" s="1" t="s">
        <v>36</v>
      </c>
      <c r="F555" s="1" t="s">
        <v>45</v>
      </c>
      <c r="G555" s="1">
        <v>1</v>
      </c>
      <c r="H555" s="1" t="s">
        <v>29</v>
      </c>
      <c r="I555" s="1" t="s">
        <v>38</v>
      </c>
      <c r="J555" s="1" t="s">
        <v>31</v>
      </c>
      <c r="K555" s="1" t="s">
        <v>24</v>
      </c>
      <c r="L555" s="1">
        <v>40</v>
      </c>
      <c r="M555" s="1">
        <v>2</v>
      </c>
      <c r="N555" s="1" t="s">
        <v>40</v>
      </c>
      <c r="O555" s="1">
        <v>4</v>
      </c>
      <c r="P555" s="1">
        <v>1</v>
      </c>
      <c r="Q555" s="1">
        <v>4</v>
      </c>
      <c r="R555" s="1">
        <v>2342</v>
      </c>
      <c r="S555" s="1">
        <v>5</v>
      </c>
      <c r="T555" s="1">
        <v>2</v>
      </c>
      <c r="U555" s="1">
        <v>4</v>
      </c>
      <c r="V555" s="1">
        <v>2</v>
      </c>
      <c r="W555" s="1">
        <v>2</v>
      </c>
      <c r="X555" s="1">
        <v>3</v>
      </c>
    </row>
    <row r="556" spans="1:24">
      <c r="A556" s="1">
        <v>555</v>
      </c>
      <c r="B556" s="1" t="s">
        <v>33</v>
      </c>
      <c r="C556" s="1" t="s">
        <v>25</v>
      </c>
      <c r="D556" s="1" t="s">
        <v>43</v>
      </c>
      <c r="E556" s="1" t="s">
        <v>36</v>
      </c>
      <c r="F556" s="1" t="s">
        <v>45</v>
      </c>
      <c r="G556" s="1">
        <v>1</v>
      </c>
      <c r="H556" s="1" t="s">
        <v>29</v>
      </c>
      <c r="I556" s="1" t="s">
        <v>50</v>
      </c>
      <c r="J556" s="1" t="s">
        <v>31</v>
      </c>
      <c r="K556" s="1" t="s">
        <v>33</v>
      </c>
      <c r="L556" s="1">
        <v>27</v>
      </c>
      <c r="M556" s="1">
        <v>7</v>
      </c>
      <c r="N556" s="1" t="s">
        <v>47</v>
      </c>
      <c r="O556" s="1">
        <v>4</v>
      </c>
      <c r="P556" s="1">
        <v>2</v>
      </c>
      <c r="Q556" s="1">
        <v>1</v>
      </c>
      <c r="R556" s="1">
        <v>6811</v>
      </c>
      <c r="S556" s="1">
        <v>9</v>
      </c>
      <c r="T556" s="1">
        <v>1</v>
      </c>
      <c r="U556" s="1">
        <v>7</v>
      </c>
      <c r="V556" s="1">
        <v>6</v>
      </c>
      <c r="W556" s="1">
        <v>0</v>
      </c>
      <c r="X556" s="1">
        <v>7</v>
      </c>
    </row>
    <row r="557" spans="1:24">
      <c r="A557" s="1">
        <v>556</v>
      </c>
      <c r="B557" s="1" t="s">
        <v>33</v>
      </c>
      <c r="C557" s="1" t="s">
        <v>25</v>
      </c>
      <c r="D557" s="1" t="s">
        <v>43</v>
      </c>
      <c r="E557" s="1" t="s">
        <v>27</v>
      </c>
      <c r="F557" s="1" t="s">
        <v>56</v>
      </c>
      <c r="G557" s="1">
        <v>1</v>
      </c>
      <c r="H557" s="1" t="s">
        <v>37</v>
      </c>
      <c r="I557" s="1" t="s">
        <v>54</v>
      </c>
      <c r="J557" s="1" t="s">
        <v>48</v>
      </c>
      <c r="K557" s="1" t="s">
        <v>33</v>
      </c>
      <c r="L557" s="1">
        <v>29</v>
      </c>
      <c r="M557" s="1">
        <v>10</v>
      </c>
      <c r="N557" s="1" t="s">
        <v>47</v>
      </c>
      <c r="O557" s="1">
        <v>4</v>
      </c>
      <c r="P557" s="1">
        <v>1</v>
      </c>
      <c r="Q557" s="1">
        <v>2</v>
      </c>
      <c r="R557" s="1">
        <v>2297</v>
      </c>
      <c r="S557" s="1">
        <v>2</v>
      </c>
      <c r="T557" s="1">
        <v>3</v>
      </c>
      <c r="U557" s="1">
        <v>2</v>
      </c>
      <c r="V557" s="1">
        <v>2</v>
      </c>
      <c r="W557" s="1">
        <v>2</v>
      </c>
      <c r="X557" s="1">
        <v>2</v>
      </c>
    </row>
    <row r="558" spans="1:24">
      <c r="A558" s="1">
        <v>557</v>
      </c>
      <c r="B558" s="1" t="s">
        <v>33</v>
      </c>
      <c r="C558" s="1" t="s">
        <v>25</v>
      </c>
      <c r="D558" s="1" t="s">
        <v>35</v>
      </c>
      <c r="E558" s="1" t="s">
        <v>36</v>
      </c>
      <c r="F558" s="1" t="s">
        <v>28</v>
      </c>
      <c r="G558" s="1">
        <v>1</v>
      </c>
      <c r="H558" s="1" t="s">
        <v>37</v>
      </c>
      <c r="I558" s="1" t="s">
        <v>42</v>
      </c>
      <c r="J558" s="1" t="s">
        <v>31</v>
      </c>
      <c r="K558" s="1" t="s">
        <v>33</v>
      </c>
      <c r="L558" s="1">
        <v>53</v>
      </c>
      <c r="M558" s="1">
        <v>6</v>
      </c>
      <c r="N558" s="1" t="s">
        <v>47</v>
      </c>
      <c r="O558" s="1">
        <v>4</v>
      </c>
      <c r="P558" s="1">
        <v>2</v>
      </c>
      <c r="Q558" s="1">
        <v>4</v>
      </c>
      <c r="R558" s="1">
        <v>2450</v>
      </c>
      <c r="S558" s="1">
        <v>19</v>
      </c>
      <c r="T558" s="1">
        <v>3</v>
      </c>
      <c r="U558" s="1">
        <v>2</v>
      </c>
      <c r="V558" s="1">
        <v>2</v>
      </c>
      <c r="W558" s="1">
        <v>2</v>
      </c>
      <c r="X558" s="1">
        <v>2</v>
      </c>
    </row>
    <row r="559" spans="1:24">
      <c r="A559" s="1">
        <v>558</v>
      </c>
      <c r="B559" s="1" t="s">
        <v>33</v>
      </c>
      <c r="C559" s="1" t="s">
        <v>51</v>
      </c>
      <c r="D559" s="1" t="s">
        <v>26</v>
      </c>
      <c r="E559" s="1" t="s">
        <v>36</v>
      </c>
      <c r="F559" s="1" t="s">
        <v>28</v>
      </c>
      <c r="G559" s="1">
        <v>1</v>
      </c>
      <c r="H559" s="1" t="s">
        <v>29</v>
      </c>
      <c r="I559" s="1" t="s">
        <v>50</v>
      </c>
      <c r="J559" s="1" t="s">
        <v>48</v>
      </c>
      <c r="K559" s="1" t="s">
        <v>33</v>
      </c>
      <c r="L559" s="1">
        <v>35</v>
      </c>
      <c r="M559" s="1">
        <v>2</v>
      </c>
      <c r="N559" s="1" t="s">
        <v>44</v>
      </c>
      <c r="O559" s="1">
        <v>4</v>
      </c>
      <c r="P559" s="1">
        <v>2</v>
      </c>
      <c r="Q559" s="1">
        <v>1</v>
      </c>
      <c r="R559" s="1">
        <v>5093</v>
      </c>
      <c r="S559" s="1">
        <v>16</v>
      </c>
      <c r="T559" s="1">
        <v>4</v>
      </c>
      <c r="U559" s="1">
        <v>1</v>
      </c>
      <c r="V559" s="1">
        <v>0</v>
      </c>
      <c r="W559" s="1">
        <v>0</v>
      </c>
      <c r="X559" s="1">
        <v>0</v>
      </c>
    </row>
    <row r="560" spans="1:24">
      <c r="A560" s="1">
        <v>559</v>
      </c>
      <c r="B560" s="1" t="s">
        <v>33</v>
      </c>
      <c r="C560" s="1" t="s">
        <v>34</v>
      </c>
      <c r="D560" s="1" t="s">
        <v>43</v>
      </c>
      <c r="E560" s="1" t="s">
        <v>36</v>
      </c>
      <c r="F560" s="1" t="s">
        <v>28</v>
      </c>
      <c r="G560" s="1">
        <v>1</v>
      </c>
      <c r="H560" s="1" t="s">
        <v>37</v>
      </c>
      <c r="I560" s="1" t="s">
        <v>42</v>
      </c>
      <c r="J560" s="1" t="s">
        <v>39</v>
      </c>
      <c r="K560" s="1" t="s">
        <v>33</v>
      </c>
      <c r="L560" s="1">
        <v>32</v>
      </c>
      <c r="M560" s="1">
        <v>24</v>
      </c>
      <c r="N560" s="1" t="s">
        <v>44</v>
      </c>
      <c r="O560" s="1">
        <v>1</v>
      </c>
      <c r="P560" s="1">
        <v>2</v>
      </c>
      <c r="Q560" s="1">
        <v>4</v>
      </c>
      <c r="R560" s="1">
        <v>5309</v>
      </c>
      <c r="S560" s="1">
        <v>10</v>
      </c>
      <c r="T560" s="1">
        <v>3</v>
      </c>
      <c r="U560" s="1">
        <v>10</v>
      </c>
      <c r="V560" s="1">
        <v>8</v>
      </c>
      <c r="W560" s="1">
        <v>4</v>
      </c>
      <c r="X560" s="1">
        <v>7</v>
      </c>
    </row>
    <row r="561" spans="1:24">
      <c r="A561" s="1">
        <v>560</v>
      </c>
      <c r="B561" s="1" t="s">
        <v>33</v>
      </c>
      <c r="C561" s="1" t="s">
        <v>25</v>
      </c>
      <c r="D561" s="1" t="s">
        <v>26</v>
      </c>
      <c r="E561" s="1" t="s">
        <v>36</v>
      </c>
      <c r="F561" s="1" t="s">
        <v>45</v>
      </c>
      <c r="G561" s="1">
        <v>1</v>
      </c>
      <c r="H561" s="1" t="s">
        <v>37</v>
      </c>
      <c r="I561" s="1" t="s">
        <v>38</v>
      </c>
      <c r="J561" s="1" t="s">
        <v>39</v>
      </c>
      <c r="K561" s="1" t="s">
        <v>24</v>
      </c>
      <c r="L561" s="1">
        <v>38</v>
      </c>
      <c r="M561" s="1">
        <v>2</v>
      </c>
      <c r="N561" s="1" t="s">
        <v>58</v>
      </c>
      <c r="O561" s="1">
        <v>4</v>
      </c>
      <c r="P561" s="1">
        <v>1</v>
      </c>
      <c r="Q561" s="1">
        <v>3</v>
      </c>
      <c r="R561" s="1">
        <v>3057</v>
      </c>
      <c r="S561" s="1">
        <v>6</v>
      </c>
      <c r="T561" s="1">
        <v>1</v>
      </c>
      <c r="U561" s="1">
        <v>1</v>
      </c>
      <c r="V561" s="1">
        <v>0</v>
      </c>
      <c r="W561" s="1">
        <v>0</v>
      </c>
      <c r="X561" s="1">
        <v>1</v>
      </c>
    </row>
    <row r="562" spans="1:24">
      <c r="A562" s="1">
        <v>561</v>
      </c>
      <c r="B562" s="1" t="s">
        <v>33</v>
      </c>
      <c r="C562" s="1" t="s">
        <v>25</v>
      </c>
      <c r="D562" s="1" t="s">
        <v>43</v>
      </c>
      <c r="E562" s="1" t="s">
        <v>36</v>
      </c>
      <c r="F562" s="1" t="s">
        <v>28</v>
      </c>
      <c r="G562" s="1">
        <v>1</v>
      </c>
      <c r="H562" s="1" t="s">
        <v>29</v>
      </c>
      <c r="I562" s="1" t="s">
        <v>49</v>
      </c>
      <c r="J562" s="1" t="s">
        <v>48</v>
      </c>
      <c r="K562" s="1" t="s">
        <v>33</v>
      </c>
      <c r="L562" s="1">
        <v>34</v>
      </c>
      <c r="M562" s="1">
        <v>8</v>
      </c>
      <c r="N562" s="1" t="s">
        <v>58</v>
      </c>
      <c r="O562" s="1">
        <v>2</v>
      </c>
      <c r="P562" s="1">
        <v>2</v>
      </c>
      <c r="Q562" s="1">
        <v>1</v>
      </c>
      <c r="R562" s="1">
        <v>5121</v>
      </c>
      <c r="S562" s="1">
        <v>7</v>
      </c>
      <c r="T562" s="1">
        <v>3</v>
      </c>
      <c r="U562" s="1">
        <v>0</v>
      </c>
      <c r="V562" s="1">
        <v>0</v>
      </c>
      <c r="W562" s="1">
        <v>0</v>
      </c>
      <c r="X562" s="1">
        <v>0</v>
      </c>
    </row>
    <row r="563" spans="1:24">
      <c r="A563" s="1">
        <v>562</v>
      </c>
      <c r="B563" s="1" t="s">
        <v>33</v>
      </c>
      <c r="C563" s="1" t="s">
        <v>25</v>
      </c>
      <c r="D563" s="1" t="s">
        <v>35</v>
      </c>
      <c r="E563" s="1" t="s">
        <v>27</v>
      </c>
      <c r="F563" s="1" t="s">
        <v>56</v>
      </c>
      <c r="G563" s="1">
        <v>1</v>
      </c>
      <c r="H563" s="1" t="s">
        <v>37</v>
      </c>
      <c r="I563" s="1" t="s">
        <v>53</v>
      </c>
      <c r="J563" s="1" t="s">
        <v>39</v>
      </c>
      <c r="K563" s="1" t="s">
        <v>33</v>
      </c>
      <c r="L563" s="1">
        <v>52</v>
      </c>
      <c r="M563" s="1">
        <v>3</v>
      </c>
      <c r="N563" s="1" t="s">
        <v>44</v>
      </c>
      <c r="O563" s="1">
        <v>3</v>
      </c>
      <c r="P563" s="1">
        <v>4</v>
      </c>
      <c r="Q563" s="1">
        <v>1</v>
      </c>
      <c r="R563" s="1">
        <v>16856</v>
      </c>
      <c r="S563" s="1">
        <v>34</v>
      </c>
      <c r="T563" s="1">
        <v>4</v>
      </c>
      <c r="U563" s="1">
        <v>34</v>
      </c>
      <c r="V563" s="1">
        <v>6</v>
      </c>
      <c r="W563" s="1">
        <v>1</v>
      </c>
      <c r="X563" s="1">
        <v>16</v>
      </c>
    </row>
    <row r="564" spans="1:24">
      <c r="A564" s="1">
        <v>563</v>
      </c>
      <c r="B564" s="1" t="s">
        <v>24</v>
      </c>
      <c r="C564" s="1" t="s">
        <v>25</v>
      </c>
      <c r="D564" s="1" t="s">
        <v>43</v>
      </c>
      <c r="E564" s="1" t="s">
        <v>36</v>
      </c>
      <c r="F564" s="1" t="s">
        <v>41</v>
      </c>
      <c r="G564" s="1">
        <v>1</v>
      </c>
      <c r="H564" s="1" t="s">
        <v>37</v>
      </c>
      <c r="I564" s="1" t="s">
        <v>38</v>
      </c>
      <c r="J564" s="1" t="s">
        <v>31</v>
      </c>
      <c r="K564" s="1" t="s">
        <v>24</v>
      </c>
      <c r="L564" s="1">
        <v>33</v>
      </c>
      <c r="M564" s="1">
        <v>1</v>
      </c>
      <c r="N564" s="1" t="s">
        <v>44</v>
      </c>
      <c r="O564" s="1">
        <v>4</v>
      </c>
      <c r="P564" s="1">
        <v>1</v>
      </c>
      <c r="Q564" s="1">
        <v>4</v>
      </c>
      <c r="R564" s="1">
        <v>2686</v>
      </c>
      <c r="S564" s="1">
        <v>10</v>
      </c>
      <c r="T564" s="1">
        <v>2</v>
      </c>
      <c r="U564" s="1">
        <v>10</v>
      </c>
      <c r="V564" s="1">
        <v>9</v>
      </c>
      <c r="W564" s="1">
        <v>7</v>
      </c>
      <c r="X564" s="1">
        <v>8</v>
      </c>
    </row>
    <row r="565" spans="1:24">
      <c r="A565" s="1">
        <v>564</v>
      </c>
      <c r="B565" s="1" t="s">
        <v>33</v>
      </c>
      <c r="C565" s="1" t="s">
        <v>25</v>
      </c>
      <c r="D565" s="1" t="s">
        <v>43</v>
      </c>
      <c r="E565" s="1" t="s">
        <v>27</v>
      </c>
      <c r="F565" s="1" t="s">
        <v>45</v>
      </c>
      <c r="G565" s="1">
        <v>1</v>
      </c>
      <c r="H565" s="1" t="s">
        <v>29</v>
      </c>
      <c r="I565" s="1" t="s">
        <v>30</v>
      </c>
      <c r="J565" s="1" t="s">
        <v>31</v>
      </c>
      <c r="K565" s="1" t="s">
        <v>33</v>
      </c>
      <c r="L565" s="1">
        <v>25</v>
      </c>
      <c r="M565" s="1">
        <v>26</v>
      </c>
      <c r="N565" s="1" t="s">
        <v>40</v>
      </c>
      <c r="O565" s="1">
        <v>3</v>
      </c>
      <c r="P565" s="1">
        <v>2</v>
      </c>
      <c r="Q565" s="1">
        <v>4</v>
      </c>
      <c r="R565" s="1">
        <v>6180</v>
      </c>
      <c r="S565" s="1">
        <v>6</v>
      </c>
      <c r="T565" s="1">
        <v>2</v>
      </c>
      <c r="U565" s="1">
        <v>6</v>
      </c>
      <c r="V565" s="1">
        <v>5</v>
      </c>
      <c r="W565" s="1">
        <v>1</v>
      </c>
      <c r="X565" s="1">
        <v>4</v>
      </c>
    </row>
    <row r="566" spans="1:24">
      <c r="A566" s="1">
        <v>565</v>
      </c>
      <c r="B566" s="1" t="s">
        <v>33</v>
      </c>
      <c r="C566" s="1" t="s">
        <v>25</v>
      </c>
      <c r="D566" s="1" t="s">
        <v>35</v>
      </c>
      <c r="E566" s="1" t="s">
        <v>27</v>
      </c>
      <c r="F566" s="1" t="s">
        <v>57</v>
      </c>
      <c r="G566" s="1">
        <v>1</v>
      </c>
      <c r="H566" s="1" t="s">
        <v>37</v>
      </c>
      <c r="I566" s="1" t="s">
        <v>54</v>
      </c>
      <c r="J566" s="1" t="s">
        <v>31</v>
      </c>
      <c r="K566" s="1" t="s">
        <v>33</v>
      </c>
      <c r="L566" s="1">
        <v>45</v>
      </c>
      <c r="M566" s="1">
        <v>2</v>
      </c>
      <c r="N566" s="1" t="s">
        <v>32</v>
      </c>
      <c r="O566" s="1">
        <v>2</v>
      </c>
      <c r="P566" s="1">
        <v>2</v>
      </c>
      <c r="Q566" s="1">
        <v>3</v>
      </c>
      <c r="R566" s="1">
        <v>6632</v>
      </c>
      <c r="S566" s="1">
        <v>9</v>
      </c>
      <c r="T566" s="1">
        <v>3</v>
      </c>
      <c r="U566" s="1">
        <v>8</v>
      </c>
      <c r="V566" s="1">
        <v>7</v>
      </c>
      <c r="W566" s="1">
        <v>3</v>
      </c>
      <c r="X566" s="1">
        <v>1</v>
      </c>
    </row>
    <row r="567" spans="1:24">
      <c r="A567" s="1">
        <v>566</v>
      </c>
      <c r="B567" s="1" t="s">
        <v>33</v>
      </c>
      <c r="C567" s="1" t="s">
        <v>25</v>
      </c>
      <c r="D567" s="1" t="s">
        <v>52</v>
      </c>
      <c r="E567" s="1" t="s">
        <v>36</v>
      </c>
      <c r="F567" s="1" t="s">
        <v>45</v>
      </c>
      <c r="G567" s="1">
        <v>1</v>
      </c>
      <c r="H567" s="1" t="s">
        <v>37</v>
      </c>
      <c r="I567" s="1" t="s">
        <v>38</v>
      </c>
      <c r="J567" s="1" t="s">
        <v>31</v>
      </c>
      <c r="K567" s="1" t="s">
        <v>33</v>
      </c>
      <c r="L567" s="1">
        <v>23</v>
      </c>
      <c r="M567" s="1">
        <v>10</v>
      </c>
      <c r="N567" s="1" t="s">
        <v>40</v>
      </c>
      <c r="O567" s="1">
        <v>1</v>
      </c>
      <c r="P567" s="1">
        <v>1</v>
      </c>
      <c r="Q567" s="1">
        <v>3</v>
      </c>
      <c r="R567" s="1">
        <v>3505</v>
      </c>
      <c r="S567" s="1">
        <v>2</v>
      </c>
      <c r="T567" s="1">
        <v>3</v>
      </c>
      <c r="U567" s="1">
        <v>2</v>
      </c>
      <c r="V567" s="1">
        <v>2</v>
      </c>
      <c r="W567" s="1">
        <v>0</v>
      </c>
      <c r="X567" s="1">
        <v>2</v>
      </c>
    </row>
    <row r="568" spans="1:24">
      <c r="A568" s="1">
        <v>567</v>
      </c>
      <c r="B568" s="1" t="s">
        <v>24</v>
      </c>
      <c r="C568" s="1" t="s">
        <v>34</v>
      </c>
      <c r="D568" s="1" t="s">
        <v>35</v>
      </c>
      <c r="E568" s="1" t="s">
        <v>27</v>
      </c>
      <c r="F568" s="1" t="s">
        <v>28</v>
      </c>
      <c r="G568" s="1">
        <v>1</v>
      </c>
      <c r="H568" s="1" t="s">
        <v>29</v>
      </c>
      <c r="I568" s="1" t="s">
        <v>30</v>
      </c>
      <c r="J568" s="1" t="s">
        <v>31</v>
      </c>
      <c r="K568" s="1" t="s">
        <v>24</v>
      </c>
      <c r="L568" s="1">
        <v>47</v>
      </c>
      <c r="M568" s="1">
        <v>27</v>
      </c>
      <c r="N568" s="1" t="s">
        <v>32</v>
      </c>
      <c r="O568" s="1">
        <v>2</v>
      </c>
      <c r="P568" s="1">
        <v>2</v>
      </c>
      <c r="Q568" s="1">
        <v>3</v>
      </c>
      <c r="R568" s="1">
        <v>6397</v>
      </c>
      <c r="S568" s="1">
        <v>8</v>
      </c>
      <c r="T568" s="1">
        <v>3</v>
      </c>
      <c r="U568" s="1">
        <v>5</v>
      </c>
      <c r="V568" s="1">
        <v>4</v>
      </c>
      <c r="W568" s="1">
        <v>1</v>
      </c>
      <c r="X568" s="1">
        <v>3</v>
      </c>
    </row>
    <row r="569" spans="1:24">
      <c r="A569" s="1">
        <v>568</v>
      </c>
      <c r="B569" s="1" t="s">
        <v>33</v>
      </c>
      <c r="C569" s="1" t="s">
        <v>25</v>
      </c>
      <c r="D569" s="1" t="s">
        <v>43</v>
      </c>
      <c r="E569" s="1" t="s">
        <v>27</v>
      </c>
      <c r="F569" s="1" t="s">
        <v>41</v>
      </c>
      <c r="G569" s="1">
        <v>1</v>
      </c>
      <c r="H569" s="1" t="s">
        <v>37</v>
      </c>
      <c r="I569" s="1" t="s">
        <v>30</v>
      </c>
      <c r="J569" s="1" t="s">
        <v>31</v>
      </c>
      <c r="K569" s="1" t="s">
        <v>33</v>
      </c>
      <c r="L569" s="1">
        <v>34</v>
      </c>
      <c r="M569" s="1">
        <v>2</v>
      </c>
      <c r="N569" s="1" t="s">
        <v>47</v>
      </c>
      <c r="O569" s="1">
        <v>4</v>
      </c>
      <c r="P569" s="1">
        <v>2</v>
      </c>
      <c r="Q569" s="1">
        <v>4</v>
      </c>
      <c r="R569" s="1">
        <v>6274</v>
      </c>
      <c r="S569" s="1">
        <v>6</v>
      </c>
      <c r="T569" s="1">
        <v>3</v>
      </c>
      <c r="U569" s="1">
        <v>6</v>
      </c>
      <c r="V569" s="1">
        <v>5</v>
      </c>
      <c r="W569" s="1">
        <v>1</v>
      </c>
      <c r="X569" s="1">
        <v>4</v>
      </c>
    </row>
    <row r="570" spans="1:24">
      <c r="A570" s="1">
        <v>569</v>
      </c>
      <c r="B570" s="1" t="s">
        <v>24</v>
      </c>
      <c r="C570" s="1" t="s">
        <v>25</v>
      </c>
      <c r="D570" s="1" t="s">
        <v>46</v>
      </c>
      <c r="E570" s="1" t="s">
        <v>36</v>
      </c>
      <c r="F570" s="1" t="s">
        <v>45</v>
      </c>
      <c r="G570" s="1">
        <v>1</v>
      </c>
      <c r="H570" s="1" t="s">
        <v>37</v>
      </c>
      <c r="I570" s="1" t="s">
        <v>53</v>
      </c>
      <c r="J570" s="1" t="s">
        <v>39</v>
      </c>
      <c r="K570" s="1" t="s">
        <v>24</v>
      </c>
      <c r="L570" s="1">
        <v>55</v>
      </c>
      <c r="M570" s="1">
        <v>2</v>
      </c>
      <c r="N570" s="1" t="s">
        <v>47</v>
      </c>
      <c r="O570" s="1">
        <v>4</v>
      </c>
      <c r="P570" s="1">
        <v>5</v>
      </c>
      <c r="Q570" s="1">
        <v>1</v>
      </c>
      <c r="R570" s="1">
        <v>19859</v>
      </c>
      <c r="S570" s="1">
        <v>24</v>
      </c>
      <c r="T570" s="1">
        <v>3</v>
      </c>
      <c r="U570" s="1">
        <v>5</v>
      </c>
      <c r="V570" s="1">
        <v>2</v>
      </c>
      <c r="W570" s="1">
        <v>1</v>
      </c>
      <c r="X570" s="1">
        <v>4</v>
      </c>
    </row>
    <row r="571" spans="1:24">
      <c r="A571" s="1">
        <v>570</v>
      </c>
      <c r="B571" s="1" t="s">
        <v>33</v>
      </c>
      <c r="C571" s="1" t="s">
        <v>51</v>
      </c>
      <c r="D571" s="1" t="s">
        <v>26</v>
      </c>
      <c r="E571" s="1" t="s">
        <v>27</v>
      </c>
      <c r="F571" s="1" t="s">
        <v>28</v>
      </c>
      <c r="G571" s="1">
        <v>1</v>
      </c>
      <c r="H571" s="1" t="s">
        <v>37</v>
      </c>
      <c r="I571" s="1" t="s">
        <v>30</v>
      </c>
      <c r="J571" s="1" t="s">
        <v>31</v>
      </c>
      <c r="K571" s="1" t="s">
        <v>33</v>
      </c>
      <c r="L571" s="1">
        <v>36</v>
      </c>
      <c r="M571" s="1">
        <v>8</v>
      </c>
      <c r="N571" s="1" t="s">
        <v>44</v>
      </c>
      <c r="O571" s="1">
        <v>1</v>
      </c>
      <c r="P571" s="1">
        <v>3</v>
      </c>
      <c r="Q571" s="1">
        <v>1</v>
      </c>
      <c r="R571" s="1">
        <v>7587</v>
      </c>
      <c r="S571" s="1">
        <v>10</v>
      </c>
      <c r="T571" s="1">
        <v>3</v>
      </c>
      <c r="U571" s="1">
        <v>10</v>
      </c>
      <c r="V571" s="1">
        <v>7</v>
      </c>
      <c r="W571" s="1">
        <v>0</v>
      </c>
      <c r="X571" s="1">
        <v>9</v>
      </c>
    </row>
    <row r="572" spans="1:24">
      <c r="A572" s="1">
        <v>571</v>
      </c>
      <c r="B572" s="1" t="s">
        <v>33</v>
      </c>
      <c r="C572" s="1" t="s">
        <v>51</v>
      </c>
      <c r="D572" s="1" t="s">
        <v>35</v>
      </c>
      <c r="E572" s="1" t="s">
        <v>36</v>
      </c>
      <c r="F572" s="1" t="s">
        <v>45</v>
      </c>
      <c r="G572" s="1">
        <v>1</v>
      </c>
      <c r="H572" s="1" t="s">
        <v>37</v>
      </c>
      <c r="I572" s="1" t="s">
        <v>38</v>
      </c>
      <c r="J572" s="1" t="s">
        <v>39</v>
      </c>
      <c r="K572" s="1" t="s">
        <v>33</v>
      </c>
      <c r="L572" s="1">
        <v>52</v>
      </c>
      <c r="M572" s="1">
        <v>19</v>
      </c>
      <c r="N572" s="1" t="s">
        <v>44</v>
      </c>
      <c r="O572" s="1">
        <v>4</v>
      </c>
      <c r="P572" s="1">
        <v>1</v>
      </c>
      <c r="Q572" s="1">
        <v>4</v>
      </c>
      <c r="R572" s="1">
        <v>4258</v>
      </c>
      <c r="S572" s="1">
        <v>5</v>
      </c>
      <c r="T572" s="1">
        <v>3</v>
      </c>
      <c r="U572" s="1">
        <v>4</v>
      </c>
      <c r="V572" s="1">
        <v>3</v>
      </c>
      <c r="W572" s="1">
        <v>1</v>
      </c>
      <c r="X572" s="1">
        <v>2</v>
      </c>
    </row>
    <row r="573" spans="1:24">
      <c r="A573" s="1">
        <v>572</v>
      </c>
      <c r="B573" s="1" t="s">
        <v>33</v>
      </c>
      <c r="C573" s="1" t="s">
        <v>34</v>
      </c>
      <c r="D573" s="1" t="s">
        <v>43</v>
      </c>
      <c r="E573" s="1" t="s">
        <v>36</v>
      </c>
      <c r="F573" s="1" t="s">
        <v>28</v>
      </c>
      <c r="G573" s="1">
        <v>1</v>
      </c>
      <c r="H573" s="1" t="s">
        <v>29</v>
      </c>
      <c r="I573" s="1" t="s">
        <v>42</v>
      </c>
      <c r="J573" s="1" t="s">
        <v>48</v>
      </c>
      <c r="K573" s="1" t="s">
        <v>33</v>
      </c>
      <c r="L573" s="1">
        <v>26</v>
      </c>
      <c r="M573" s="1">
        <v>1</v>
      </c>
      <c r="N573" s="1" t="s">
        <v>32</v>
      </c>
      <c r="O573" s="1">
        <v>1</v>
      </c>
      <c r="P573" s="1">
        <v>1</v>
      </c>
      <c r="Q573" s="1">
        <v>4</v>
      </c>
      <c r="R573" s="1">
        <v>4364</v>
      </c>
      <c r="S573" s="1">
        <v>5</v>
      </c>
      <c r="T573" s="1">
        <v>3</v>
      </c>
      <c r="U573" s="1">
        <v>2</v>
      </c>
      <c r="V573" s="1">
        <v>2</v>
      </c>
      <c r="W573" s="1">
        <v>2</v>
      </c>
      <c r="X573" s="1">
        <v>0</v>
      </c>
    </row>
    <row r="574" spans="1:24">
      <c r="A574" s="1">
        <v>573</v>
      </c>
      <c r="B574" s="1" t="s">
        <v>33</v>
      </c>
      <c r="C574" s="1" t="s">
        <v>25</v>
      </c>
      <c r="D574" s="1" t="s">
        <v>43</v>
      </c>
      <c r="E574" s="1" t="s">
        <v>36</v>
      </c>
      <c r="F574" s="1" t="s">
        <v>45</v>
      </c>
      <c r="G574" s="1">
        <v>1</v>
      </c>
      <c r="H574" s="1" t="s">
        <v>29</v>
      </c>
      <c r="I574" s="1" t="s">
        <v>50</v>
      </c>
      <c r="J574" s="1" t="s">
        <v>39</v>
      </c>
      <c r="K574" s="1" t="s">
        <v>33</v>
      </c>
      <c r="L574" s="1">
        <v>29</v>
      </c>
      <c r="M574" s="1">
        <v>27</v>
      </c>
      <c r="N574" s="1" t="s">
        <v>47</v>
      </c>
      <c r="O574" s="1">
        <v>2</v>
      </c>
      <c r="P574" s="1">
        <v>2</v>
      </c>
      <c r="Q574" s="1">
        <v>3</v>
      </c>
      <c r="R574" s="1">
        <v>4335</v>
      </c>
      <c r="S574" s="1">
        <v>11</v>
      </c>
      <c r="T574" s="1">
        <v>2</v>
      </c>
      <c r="U574" s="1">
        <v>8</v>
      </c>
      <c r="V574" s="1">
        <v>7</v>
      </c>
      <c r="W574" s="1">
        <v>1</v>
      </c>
      <c r="X574" s="1">
        <v>1</v>
      </c>
    </row>
    <row r="575" spans="1:24">
      <c r="A575" s="1">
        <v>574</v>
      </c>
      <c r="B575" s="1" t="s">
        <v>24</v>
      </c>
      <c r="C575" s="1" t="s">
        <v>25</v>
      </c>
      <c r="D575" s="1" t="s">
        <v>43</v>
      </c>
      <c r="E575" s="1" t="s">
        <v>27</v>
      </c>
      <c r="F575" s="1" t="s">
        <v>57</v>
      </c>
      <c r="G575" s="1">
        <v>1</v>
      </c>
      <c r="H575" s="1" t="s">
        <v>37</v>
      </c>
      <c r="I575" s="1" t="s">
        <v>30</v>
      </c>
      <c r="J575" s="1" t="s">
        <v>31</v>
      </c>
      <c r="K575" s="1" t="s">
        <v>33</v>
      </c>
      <c r="L575" s="1">
        <v>26</v>
      </c>
      <c r="M575" s="1">
        <v>8</v>
      </c>
      <c r="N575" s="1" t="s">
        <v>47</v>
      </c>
      <c r="O575" s="1">
        <v>4</v>
      </c>
      <c r="P575" s="1">
        <v>2</v>
      </c>
      <c r="Q575" s="1">
        <v>1</v>
      </c>
      <c r="R575" s="1">
        <v>5326</v>
      </c>
      <c r="S575" s="1">
        <v>6</v>
      </c>
      <c r="T575" s="1">
        <v>2</v>
      </c>
      <c r="U575" s="1">
        <v>4</v>
      </c>
      <c r="V575" s="1">
        <v>3</v>
      </c>
      <c r="W575" s="1">
        <v>1</v>
      </c>
      <c r="X575" s="1">
        <v>2</v>
      </c>
    </row>
    <row r="576" spans="1:24">
      <c r="A576" s="1">
        <v>575</v>
      </c>
      <c r="B576" s="1" t="s">
        <v>33</v>
      </c>
      <c r="C576" s="1" t="s">
        <v>25</v>
      </c>
      <c r="D576" s="1" t="s">
        <v>43</v>
      </c>
      <c r="E576" s="1" t="s">
        <v>36</v>
      </c>
      <c r="F576" s="1" t="s">
        <v>28</v>
      </c>
      <c r="G576" s="1">
        <v>1</v>
      </c>
      <c r="H576" s="1" t="s">
        <v>29</v>
      </c>
      <c r="I576" s="1" t="s">
        <v>38</v>
      </c>
      <c r="J576" s="1" t="s">
        <v>31</v>
      </c>
      <c r="K576" s="1" t="s">
        <v>33</v>
      </c>
      <c r="L576" s="1">
        <v>34</v>
      </c>
      <c r="M576" s="1">
        <v>1</v>
      </c>
      <c r="N576" s="1" t="s">
        <v>44</v>
      </c>
      <c r="O576" s="1">
        <v>2</v>
      </c>
      <c r="P576" s="1">
        <v>1</v>
      </c>
      <c r="Q576" s="1">
        <v>4</v>
      </c>
      <c r="R576" s="1">
        <v>3280</v>
      </c>
      <c r="S576" s="1">
        <v>10</v>
      </c>
      <c r="T576" s="1">
        <v>3</v>
      </c>
      <c r="U576" s="1">
        <v>4</v>
      </c>
      <c r="V576" s="1">
        <v>2</v>
      </c>
      <c r="W576" s="1">
        <v>1</v>
      </c>
      <c r="X576" s="1">
        <v>3</v>
      </c>
    </row>
    <row r="577" spans="1:24">
      <c r="A577" s="1">
        <v>576</v>
      </c>
      <c r="B577" s="1" t="s">
        <v>33</v>
      </c>
      <c r="C577" s="1" t="s">
        <v>25</v>
      </c>
      <c r="D577" s="1" t="s">
        <v>35</v>
      </c>
      <c r="E577" s="1" t="s">
        <v>36</v>
      </c>
      <c r="F577" s="1" t="s">
        <v>45</v>
      </c>
      <c r="G577" s="1">
        <v>1</v>
      </c>
      <c r="H577" s="1" t="s">
        <v>29</v>
      </c>
      <c r="I577" s="1" t="s">
        <v>49</v>
      </c>
      <c r="J577" s="1" t="s">
        <v>48</v>
      </c>
      <c r="K577" s="1" t="s">
        <v>24</v>
      </c>
      <c r="L577" s="1">
        <v>54</v>
      </c>
      <c r="M577" s="1">
        <v>19</v>
      </c>
      <c r="N577" s="1" t="s">
        <v>44</v>
      </c>
      <c r="O577" s="1">
        <v>4</v>
      </c>
      <c r="P577" s="1">
        <v>2</v>
      </c>
      <c r="Q577" s="1">
        <v>1</v>
      </c>
      <c r="R577" s="1">
        <v>5485</v>
      </c>
      <c r="S577" s="1">
        <v>9</v>
      </c>
      <c r="T577" s="1">
        <v>3</v>
      </c>
      <c r="U577" s="1">
        <v>5</v>
      </c>
      <c r="V577" s="1">
        <v>3</v>
      </c>
      <c r="W577" s="1">
        <v>1</v>
      </c>
      <c r="X577" s="1">
        <v>4</v>
      </c>
    </row>
    <row r="578" spans="1:24">
      <c r="A578" s="1">
        <v>577</v>
      </c>
      <c r="B578" s="1" t="s">
        <v>33</v>
      </c>
      <c r="C578" s="1" t="s">
        <v>34</v>
      </c>
      <c r="D578" s="1" t="s">
        <v>43</v>
      </c>
      <c r="E578" s="1" t="s">
        <v>27</v>
      </c>
      <c r="F578" s="1" t="s">
        <v>56</v>
      </c>
      <c r="G578" s="1">
        <v>1</v>
      </c>
      <c r="H578" s="1" t="s">
        <v>37</v>
      </c>
      <c r="I578" s="1" t="s">
        <v>30</v>
      </c>
      <c r="J578" s="1" t="s">
        <v>39</v>
      </c>
      <c r="K578" s="1" t="s">
        <v>33</v>
      </c>
      <c r="L578" s="1">
        <v>27</v>
      </c>
      <c r="M578" s="1">
        <v>8</v>
      </c>
      <c r="N578" s="1" t="s">
        <v>40</v>
      </c>
      <c r="O578" s="1">
        <v>3</v>
      </c>
      <c r="P578" s="1">
        <v>2</v>
      </c>
      <c r="Q578" s="1">
        <v>4</v>
      </c>
      <c r="R578" s="1">
        <v>4342</v>
      </c>
      <c r="S578" s="1">
        <v>5</v>
      </c>
      <c r="T578" s="1">
        <v>3</v>
      </c>
      <c r="U578" s="1">
        <v>4</v>
      </c>
      <c r="V578" s="1">
        <v>2</v>
      </c>
      <c r="W578" s="1">
        <v>1</v>
      </c>
      <c r="X578" s="1">
        <v>1</v>
      </c>
    </row>
    <row r="579" spans="1:24">
      <c r="A579" s="1">
        <v>578</v>
      </c>
      <c r="B579" s="1" t="s">
        <v>33</v>
      </c>
      <c r="C579" s="1" t="s">
        <v>25</v>
      </c>
      <c r="D579" s="1" t="s">
        <v>26</v>
      </c>
      <c r="E579" s="1" t="s">
        <v>36</v>
      </c>
      <c r="F579" s="1" t="s">
        <v>28</v>
      </c>
      <c r="G579" s="1">
        <v>1</v>
      </c>
      <c r="H579" s="1" t="s">
        <v>29</v>
      </c>
      <c r="I579" s="1" t="s">
        <v>38</v>
      </c>
      <c r="J579" s="1" t="s">
        <v>48</v>
      </c>
      <c r="K579" s="1" t="s">
        <v>24</v>
      </c>
      <c r="L579" s="1">
        <v>37</v>
      </c>
      <c r="M579" s="1">
        <v>10</v>
      </c>
      <c r="N579" s="1" t="s">
        <v>40</v>
      </c>
      <c r="O579" s="1">
        <v>4</v>
      </c>
      <c r="P579" s="1">
        <v>1</v>
      </c>
      <c r="Q579" s="1">
        <v>1</v>
      </c>
      <c r="R579" s="1">
        <v>2782</v>
      </c>
      <c r="S579" s="1">
        <v>6</v>
      </c>
      <c r="T579" s="1">
        <v>2</v>
      </c>
      <c r="U579" s="1">
        <v>5</v>
      </c>
      <c r="V579" s="1">
        <v>3</v>
      </c>
      <c r="W579" s="1">
        <v>4</v>
      </c>
      <c r="X579" s="1">
        <v>3</v>
      </c>
    </row>
    <row r="580" spans="1:24">
      <c r="A580" s="1">
        <v>579</v>
      </c>
      <c r="B580" s="1" t="s">
        <v>33</v>
      </c>
      <c r="C580" s="1" t="s">
        <v>34</v>
      </c>
      <c r="D580" s="1" t="s">
        <v>26</v>
      </c>
      <c r="E580" s="1" t="s">
        <v>36</v>
      </c>
      <c r="F580" s="1" t="s">
        <v>28</v>
      </c>
      <c r="G580" s="1">
        <v>1</v>
      </c>
      <c r="H580" s="1" t="s">
        <v>29</v>
      </c>
      <c r="I580" s="1" t="s">
        <v>49</v>
      </c>
      <c r="J580" s="1" t="s">
        <v>31</v>
      </c>
      <c r="K580" s="1" t="s">
        <v>24</v>
      </c>
      <c r="L580" s="1">
        <v>38</v>
      </c>
      <c r="M580" s="1">
        <v>2</v>
      </c>
      <c r="N580" s="1" t="s">
        <v>44</v>
      </c>
      <c r="O580" s="1">
        <v>1</v>
      </c>
      <c r="P580" s="1">
        <v>2</v>
      </c>
      <c r="Q580" s="1">
        <v>1</v>
      </c>
      <c r="R580" s="1">
        <v>5980</v>
      </c>
      <c r="S580" s="1">
        <v>17</v>
      </c>
      <c r="T580" s="1">
        <v>3</v>
      </c>
      <c r="U580" s="1">
        <v>15</v>
      </c>
      <c r="V580" s="1">
        <v>7</v>
      </c>
      <c r="W580" s="1">
        <v>4</v>
      </c>
      <c r="X580" s="1">
        <v>12</v>
      </c>
    </row>
    <row r="581" spans="1:24">
      <c r="A581" s="1">
        <v>580</v>
      </c>
      <c r="B581" s="1" t="s">
        <v>33</v>
      </c>
      <c r="C581" s="1" t="s">
        <v>25</v>
      </c>
      <c r="D581" s="1" t="s">
        <v>43</v>
      </c>
      <c r="E581" s="1" t="s">
        <v>36</v>
      </c>
      <c r="F581" s="1" t="s">
        <v>45</v>
      </c>
      <c r="G581" s="1">
        <v>1</v>
      </c>
      <c r="H581" s="1" t="s">
        <v>29</v>
      </c>
      <c r="I581" s="1" t="s">
        <v>38</v>
      </c>
      <c r="J581" s="1" t="s">
        <v>31</v>
      </c>
      <c r="K581" s="1" t="s">
        <v>33</v>
      </c>
      <c r="L581" s="1">
        <v>34</v>
      </c>
      <c r="M581" s="1">
        <v>2</v>
      </c>
      <c r="N581" s="1" t="s">
        <v>44</v>
      </c>
      <c r="O581" s="1">
        <v>3</v>
      </c>
      <c r="P581" s="1">
        <v>1</v>
      </c>
      <c r="Q581" s="1">
        <v>1</v>
      </c>
      <c r="R581" s="1">
        <v>4381</v>
      </c>
      <c r="S581" s="1">
        <v>6</v>
      </c>
      <c r="T581" s="1">
        <v>3</v>
      </c>
      <c r="U581" s="1">
        <v>6</v>
      </c>
      <c r="V581" s="1">
        <v>5</v>
      </c>
      <c r="W581" s="1">
        <v>1</v>
      </c>
      <c r="X581" s="1">
        <v>3</v>
      </c>
    </row>
    <row r="582" spans="1:24">
      <c r="A582" s="1">
        <v>581</v>
      </c>
      <c r="B582" s="1" t="s">
        <v>33</v>
      </c>
      <c r="C582" s="1" t="s">
        <v>25</v>
      </c>
      <c r="D582" s="1" t="s">
        <v>26</v>
      </c>
      <c r="E582" s="1" t="s">
        <v>27</v>
      </c>
      <c r="F582" s="1" t="s">
        <v>28</v>
      </c>
      <c r="G582" s="1">
        <v>1</v>
      </c>
      <c r="H582" s="1" t="s">
        <v>29</v>
      </c>
      <c r="I582" s="1" t="s">
        <v>54</v>
      </c>
      <c r="J582" s="1" t="s">
        <v>39</v>
      </c>
      <c r="K582" s="1" t="s">
        <v>33</v>
      </c>
      <c r="L582" s="1">
        <v>35</v>
      </c>
      <c r="M582" s="1">
        <v>8</v>
      </c>
      <c r="N582" s="1" t="s">
        <v>44</v>
      </c>
      <c r="O582" s="1">
        <v>1</v>
      </c>
      <c r="P582" s="1">
        <v>1</v>
      </c>
      <c r="Q582" s="1">
        <v>4</v>
      </c>
      <c r="R582" s="1">
        <v>2572</v>
      </c>
      <c r="S582" s="1">
        <v>3</v>
      </c>
      <c r="T582" s="1">
        <v>2</v>
      </c>
      <c r="U582" s="1">
        <v>3</v>
      </c>
      <c r="V582" s="1">
        <v>2</v>
      </c>
      <c r="W582" s="1">
        <v>0</v>
      </c>
      <c r="X582" s="1">
        <v>2</v>
      </c>
    </row>
    <row r="583" spans="1:24">
      <c r="A583" s="1">
        <v>582</v>
      </c>
      <c r="B583" s="1" t="s">
        <v>33</v>
      </c>
      <c r="C583" s="1" t="s">
        <v>25</v>
      </c>
      <c r="D583" s="1" t="s">
        <v>43</v>
      </c>
      <c r="E583" s="1" t="s">
        <v>36</v>
      </c>
      <c r="F583" s="1" t="s">
        <v>28</v>
      </c>
      <c r="G583" s="1">
        <v>1</v>
      </c>
      <c r="H583" s="1" t="s">
        <v>37</v>
      </c>
      <c r="I583" s="1" t="s">
        <v>42</v>
      </c>
      <c r="J583" s="1" t="s">
        <v>39</v>
      </c>
      <c r="K583" s="1" t="s">
        <v>33</v>
      </c>
      <c r="L583" s="1">
        <v>30</v>
      </c>
      <c r="M583" s="1">
        <v>1</v>
      </c>
      <c r="N583" s="1" t="s">
        <v>47</v>
      </c>
      <c r="O583" s="1">
        <v>4</v>
      </c>
      <c r="P583" s="1">
        <v>1</v>
      </c>
      <c r="Q583" s="1">
        <v>3</v>
      </c>
      <c r="R583" s="1">
        <v>3833</v>
      </c>
      <c r="S583" s="1">
        <v>7</v>
      </c>
      <c r="T583" s="1">
        <v>3</v>
      </c>
      <c r="U583" s="1">
        <v>2</v>
      </c>
      <c r="V583" s="1">
        <v>2</v>
      </c>
      <c r="W583" s="1">
        <v>0</v>
      </c>
      <c r="X583" s="1">
        <v>2</v>
      </c>
    </row>
    <row r="584" spans="1:24">
      <c r="A584" s="1">
        <v>583</v>
      </c>
      <c r="B584" s="1" t="s">
        <v>33</v>
      </c>
      <c r="C584" s="1" t="s">
        <v>34</v>
      </c>
      <c r="D584" s="1" t="s">
        <v>26</v>
      </c>
      <c r="E584" s="1" t="s">
        <v>36</v>
      </c>
      <c r="F584" s="1" t="s">
        <v>45</v>
      </c>
      <c r="G584" s="1">
        <v>1</v>
      </c>
      <c r="H584" s="1" t="s">
        <v>29</v>
      </c>
      <c r="I584" s="1" t="s">
        <v>50</v>
      </c>
      <c r="J584" s="1" t="s">
        <v>39</v>
      </c>
      <c r="K584" s="1" t="s">
        <v>33</v>
      </c>
      <c r="L584" s="1">
        <v>40</v>
      </c>
      <c r="M584" s="1">
        <v>2</v>
      </c>
      <c r="N584" s="1" t="s">
        <v>32</v>
      </c>
      <c r="O584" s="1">
        <v>3</v>
      </c>
      <c r="P584" s="1">
        <v>2</v>
      </c>
      <c r="Q584" s="1">
        <v>2</v>
      </c>
      <c r="R584" s="1">
        <v>4244</v>
      </c>
      <c r="S584" s="1">
        <v>8</v>
      </c>
      <c r="T584" s="1">
        <v>3</v>
      </c>
      <c r="U584" s="1">
        <v>8</v>
      </c>
      <c r="V584" s="1">
        <v>7</v>
      </c>
      <c r="W584" s="1">
        <v>3</v>
      </c>
      <c r="X584" s="1">
        <v>7</v>
      </c>
    </row>
    <row r="585" spans="1:24">
      <c r="A585" s="1">
        <v>584</v>
      </c>
      <c r="B585" s="1" t="s">
        <v>33</v>
      </c>
      <c r="C585" s="1" t="s">
        <v>25</v>
      </c>
      <c r="D585" s="1" t="s">
        <v>43</v>
      </c>
      <c r="E585" s="1" t="s">
        <v>27</v>
      </c>
      <c r="F585" s="1" t="s">
        <v>28</v>
      </c>
      <c r="G585" s="1">
        <v>1</v>
      </c>
      <c r="H585" s="1" t="s">
        <v>29</v>
      </c>
      <c r="I585" s="1" t="s">
        <v>30</v>
      </c>
      <c r="J585" s="1" t="s">
        <v>39</v>
      </c>
      <c r="K585" s="1" t="s">
        <v>33</v>
      </c>
      <c r="L585" s="1">
        <v>34</v>
      </c>
      <c r="M585" s="1">
        <v>8</v>
      </c>
      <c r="N585" s="1" t="s">
        <v>32</v>
      </c>
      <c r="O585" s="1">
        <v>3</v>
      </c>
      <c r="P585" s="1">
        <v>2</v>
      </c>
      <c r="Q585" s="1">
        <v>1</v>
      </c>
      <c r="R585" s="1">
        <v>6500</v>
      </c>
      <c r="S585" s="1">
        <v>6</v>
      </c>
      <c r="T585" s="1">
        <v>3</v>
      </c>
      <c r="U585" s="1">
        <v>3</v>
      </c>
      <c r="V585" s="1">
        <v>2</v>
      </c>
      <c r="W585" s="1">
        <v>1</v>
      </c>
      <c r="X585" s="1">
        <v>2</v>
      </c>
    </row>
    <row r="586" spans="1:24">
      <c r="A586" s="1">
        <v>585</v>
      </c>
      <c r="B586" s="1" t="s">
        <v>33</v>
      </c>
      <c r="C586" s="1" t="s">
        <v>34</v>
      </c>
      <c r="D586" s="1" t="s">
        <v>26</v>
      </c>
      <c r="E586" s="1" t="s">
        <v>36</v>
      </c>
      <c r="F586" s="1" t="s">
        <v>28</v>
      </c>
      <c r="G586" s="1">
        <v>1</v>
      </c>
      <c r="H586" s="1" t="s">
        <v>37</v>
      </c>
      <c r="I586" s="1" t="s">
        <v>53</v>
      </c>
      <c r="J586" s="1" t="s">
        <v>48</v>
      </c>
      <c r="K586" s="1" t="s">
        <v>33</v>
      </c>
      <c r="L586" s="1">
        <v>42</v>
      </c>
      <c r="M586" s="1">
        <v>8</v>
      </c>
      <c r="N586" s="1" t="s">
        <v>47</v>
      </c>
      <c r="O586" s="1">
        <v>2</v>
      </c>
      <c r="P586" s="1">
        <v>5</v>
      </c>
      <c r="Q586" s="1">
        <v>4</v>
      </c>
      <c r="R586" s="1">
        <v>18430</v>
      </c>
      <c r="S586" s="1">
        <v>24</v>
      </c>
      <c r="T586" s="1">
        <v>2</v>
      </c>
      <c r="U586" s="1">
        <v>24</v>
      </c>
      <c r="V586" s="1">
        <v>7</v>
      </c>
      <c r="W586" s="1">
        <v>14</v>
      </c>
      <c r="X586" s="1">
        <v>9</v>
      </c>
    </row>
    <row r="587" spans="1:24">
      <c r="A587" s="1">
        <v>586</v>
      </c>
      <c r="B587" s="1" t="s">
        <v>24</v>
      </c>
      <c r="C587" s="1" t="s">
        <v>25</v>
      </c>
      <c r="D587" s="1" t="s">
        <v>52</v>
      </c>
      <c r="E587" s="1" t="s">
        <v>36</v>
      </c>
      <c r="F587" s="1" t="s">
        <v>28</v>
      </c>
      <c r="G587" s="1">
        <v>1</v>
      </c>
      <c r="H587" s="1" t="s">
        <v>37</v>
      </c>
      <c r="I587" s="1" t="s">
        <v>42</v>
      </c>
      <c r="J587" s="1" t="s">
        <v>39</v>
      </c>
      <c r="K587" s="1" t="s">
        <v>24</v>
      </c>
      <c r="L587" s="1">
        <v>23</v>
      </c>
      <c r="M587" s="1">
        <v>6</v>
      </c>
      <c r="N587" s="1" t="s">
        <v>47</v>
      </c>
      <c r="O587" s="1">
        <v>3</v>
      </c>
      <c r="P587" s="1">
        <v>1</v>
      </c>
      <c r="Q587" s="1">
        <v>1</v>
      </c>
      <c r="R587" s="1">
        <v>1601</v>
      </c>
      <c r="S587" s="1">
        <v>1</v>
      </c>
      <c r="T587" s="1">
        <v>3</v>
      </c>
      <c r="U587" s="1">
        <v>0</v>
      </c>
      <c r="V587" s="1">
        <v>0</v>
      </c>
      <c r="W587" s="1">
        <v>0</v>
      </c>
      <c r="X587" s="1">
        <v>0</v>
      </c>
    </row>
    <row r="588" spans="1:24">
      <c r="A588" s="1">
        <v>587</v>
      </c>
      <c r="B588" s="1" t="s">
        <v>33</v>
      </c>
      <c r="C588" s="1" t="s">
        <v>51</v>
      </c>
      <c r="D588" s="1" t="s">
        <v>52</v>
      </c>
      <c r="E588" s="1" t="s">
        <v>36</v>
      </c>
      <c r="F588" s="1" t="s">
        <v>28</v>
      </c>
      <c r="G588" s="1">
        <v>1</v>
      </c>
      <c r="H588" s="1" t="s">
        <v>37</v>
      </c>
      <c r="I588" s="1" t="s">
        <v>42</v>
      </c>
      <c r="J588" s="1" t="s">
        <v>48</v>
      </c>
      <c r="K588" s="1" t="s">
        <v>33</v>
      </c>
      <c r="L588" s="1">
        <v>24</v>
      </c>
      <c r="M588" s="1">
        <v>9</v>
      </c>
      <c r="N588" s="1" t="s">
        <v>47</v>
      </c>
      <c r="O588" s="1">
        <v>3</v>
      </c>
      <c r="P588" s="1">
        <v>1</v>
      </c>
      <c r="Q588" s="1">
        <v>2</v>
      </c>
      <c r="R588" s="1">
        <v>2694</v>
      </c>
      <c r="S588" s="1">
        <v>1</v>
      </c>
      <c r="T588" s="1">
        <v>3</v>
      </c>
      <c r="U588" s="1">
        <v>1</v>
      </c>
      <c r="V588" s="1">
        <v>0</v>
      </c>
      <c r="W588" s="1">
        <v>0</v>
      </c>
      <c r="X588" s="1">
        <v>0</v>
      </c>
    </row>
    <row r="589" spans="1:24">
      <c r="A589" s="1">
        <v>588</v>
      </c>
      <c r="B589" s="1" t="s">
        <v>33</v>
      </c>
      <c r="C589" s="1" t="s">
        <v>25</v>
      </c>
      <c r="D589" s="1" t="s">
        <v>35</v>
      </c>
      <c r="E589" s="1" t="s">
        <v>36</v>
      </c>
      <c r="F589" s="1" t="s">
        <v>28</v>
      </c>
      <c r="G589" s="1">
        <v>1</v>
      </c>
      <c r="H589" s="1" t="s">
        <v>29</v>
      </c>
      <c r="I589" s="1" t="s">
        <v>42</v>
      </c>
      <c r="J589" s="1" t="s">
        <v>39</v>
      </c>
      <c r="K589" s="1" t="s">
        <v>33</v>
      </c>
      <c r="L589" s="1">
        <v>52</v>
      </c>
      <c r="M589" s="1">
        <v>11</v>
      </c>
      <c r="N589" s="1" t="s">
        <v>44</v>
      </c>
      <c r="O589" s="1">
        <v>4</v>
      </c>
      <c r="P589" s="1">
        <v>2</v>
      </c>
      <c r="Q589" s="1">
        <v>3</v>
      </c>
      <c r="R589" s="1">
        <v>3149</v>
      </c>
      <c r="S589" s="1">
        <v>9</v>
      </c>
      <c r="T589" s="1">
        <v>3</v>
      </c>
      <c r="U589" s="1">
        <v>5</v>
      </c>
      <c r="V589" s="1">
        <v>2</v>
      </c>
      <c r="W589" s="1">
        <v>1</v>
      </c>
      <c r="X589" s="1">
        <v>4</v>
      </c>
    </row>
    <row r="590" spans="1:24">
      <c r="A590" s="1">
        <v>589</v>
      </c>
      <c r="B590" s="1" t="s">
        <v>33</v>
      </c>
      <c r="C590" s="1" t="s">
        <v>25</v>
      </c>
      <c r="D590" s="1" t="s">
        <v>35</v>
      </c>
      <c r="E590" s="1" t="s">
        <v>36</v>
      </c>
      <c r="F590" s="1" t="s">
        <v>45</v>
      </c>
      <c r="G590" s="1">
        <v>1</v>
      </c>
      <c r="H590" s="1" t="s">
        <v>37</v>
      </c>
      <c r="I590" s="1" t="s">
        <v>55</v>
      </c>
      <c r="J590" s="1" t="s">
        <v>39</v>
      </c>
      <c r="K590" s="1" t="s">
        <v>33</v>
      </c>
      <c r="L590" s="1">
        <v>50</v>
      </c>
      <c r="M590" s="1">
        <v>2</v>
      </c>
      <c r="N590" s="1" t="s">
        <v>47</v>
      </c>
      <c r="O590" s="1">
        <v>3</v>
      </c>
      <c r="P590" s="1">
        <v>4</v>
      </c>
      <c r="Q590" s="1">
        <v>3</v>
      </c>
      <c r="R590" s="1">
        <v>17639</v>
      </c>
      <c r="S590" s="1">
        <v>30</v>
      </c>
      <c r="T590" s="1">
        <v>3</v>
      </c>
      <c r="U590" s="1">
        <v>4</v>
      </c>
      <c r="V590" s="1">
        <v>3</v>
      </c>
      <c r="W590" s="1">
        <v>0</v>
      </c>
      <c r="X590" s="1">
        <v>3</v>
      </c>
    </row>
    <row r="591" spans="1:24">
      <c r="A591" s="1">
        <v>590</v>
      </c>
      <c r="B591" s="1" t="s">
        <v>24</v>
      </c>
      <c r="C591" s="1" t="s">
        <v>25</v>
      </c>
      <c r="D591" s="1" t="s">
        <v>43</v>
      </c>
      <c r="E591" s="1" t="s">
        <v>36</v>
      </c>
      <c r="F591" s="1" t="s">
        <v>28</v>
      </c>
      <c r="G591" s="1">
        <v>1</v>
      </c>
      <c r="H591" s="1" t="s">
        <v>29</v>
      </c>
      <c r="I591" s="1" t="s">
        <v>42</v>
      </c>
      <c r="J591" s="1" t="s">
        <v>39</v>
      </c>
      <c r="K591" s="1" t="s">
        <v>24</v>
      </c>
      <c r="L591" s="1">
        <v>29</v>
      </c>
      <c r="M591" s="1">
        <v>1</v>
      </c>
      <c r="N591" s="1" t="s">
        <v>32</v>
      </c>
      <c r="O591" s="1">
        <v>2</v>
      </c>
      <c r="P591" s="1">
        <v>1</v>
      </c>
      <c r="Q591" s="1">
        <v>1</v>
      </c>
      <c r="R591" s="1">
        <v>2319</v>
      </c>
      <c r="S591" s="1">
        <v>1</v>
      </c>
      <c r="T591" s="1">
        <v>3</v>
      </c>
      <c r="U591" s="1">
        <v>1</v>
      </c>
      <c r="V591" s="1">
        <v>0</v>
      </c>
      <c r="W591" s="1">
        <v>0</v>
      </c>
      <c r="X591" s="1">
        <v>0</v>
      </c>
    </row>
    <row r="592" spans="1:24">
      <c r="A592" s="1">
        <v>591</v>
      </c>
      <c r="B592" s="1" t="s">
        <v>33</v>
      </c>
      <c r="C592" s="1" t="s">
        <v>25</v>
      </c>
      <c r="D592" s="1" t="s">
        <v>43</v>
      </c>
      <c r="E592" s="1" t="s">
        <v>36</v>
      </c>
      <c r="F592" s="1" t="s">
        <v>45</v>
      </c>
      <c r="G592" s="1">
        <v>1</v>
      </c>
      <c r="H592" s="1" t="s">
        <v>37</v>
      </c>
      <c r="I592" s="1" t="s">
        <v>55</v>
      </c>
      <c r="J592" s="1" t="s">
        <v>39</v>
      </c>
      <c r="K592" s="1" t="s">
        <v>33</v>
      </c>
      <c r="L592" s="1">
        <v>33</v>
      </c>
      <c r="M592" s="1">
        <v>7</v>
      </c>
      <c r="N592" s="1" t="s">
        <v>47</v>
      </c>
      <c r="O592" s="1">
        <v>3</v>
      </c>
      <c r="P592" s="1">
        <v>3</v>
      </c>
      <c r="Q592" s="1">
        <v>3</v>
      </c>
      <c r="R592" s="1">
        <v>11691</v>
      </c>
      <c r="S592" s="1">
        <v>14</v>
      </c>
      <c r="T592" s="1">
        <v>4</v>
      </c>
      <c r="U592" s="1">
        <v>13</v>
      </c>
      <c r="V592" s="1">
        <v>9</v>
      </c>
      <c r="W592" s="1">
        <v>3</v>
      </c>
      <c r="X592" s="1">
        <v>7</v>
      </c>
    </row>
    <row r="593" spans="1:24">
      <c r="A593" s="1">
        <v>592</v>
      </c>
      <c r="B593" s="1" t="s">
        <v>24</v>
      </c>
      <c r="C593" s="1" t="s">
        <v>25</v>
      </c>
      <c r="D593" s="1" t="s">
        <v>43</v>
      </c>
      <c r="E593" s="1" t="s">
        <v>27</v>
      </c>
      <c r="F593" s="1" t="s">
        <v>56</v>
      </c>
      <c r="G593" s="1">
        <v>1</v>
      </c>
      <c r="H593" s="1" t="s">
        <v>29</v>
      </c>
      <c r="I593" s="1" t="s">
        <v>30</v>
      </c>
      <c r="J593" s="1" t="s">
        <v>31</v>
      </c>
      <c r="K593" s="1" t="s">
        <v>33</v>
      </c>
      <c r="L593" s="1">
        <v>33</v>
      </c>
      <c r="M593" s="1">
        <v>16</v>
      </c>
      <c r="N593" s="1" t="s">
        <v>47</v>
      </c>
      <c r="O593" s="1">
        <v>1</v>
      </c>
      <c r="P593" s="1">
        <v>2</v>
      </c>
      <c r="Q593" s="1">
        <v>1</v>
      </c>
      <c r="R593" s="1">
        <v>5324</v>
      </c>
      <c r="S593" s="1">
        <v>6</v>
      </c>
      <c r="T593" s="1">
        <v>3</v>
      </c>
      <c r="U593" s="1">
        <v>3</v>
      </c>
      <c r="V593" s="1">
        <v>2</v>
      </c>
      <c r="W593" s="1">
        <v>0</v>
      </c>
      <c r="X593" s="1">
        <v>2</v>
      </c>
    </row>
    <row r="594" spans="1:24">
      <c r="A594" s="1">
        <v>593</v>
      </c>
      <c r="B594" s="1" t="s">
        <v>33</v>
      </c>
      <c r="C594" s="1" t="s">
        <v>25</v>
      </c>
      <c r="D594" s="1" t="s">
        <v>35</v>
      </c>
      <c r="E594" s="1" t="s">
        <v>36</v>
      </c>
      <c r="F594" s="1" t="s">
        <v>41</v>
      </c>
      <c r="G594" s="1">
        <v>1</v>
      </c>
      <c r="H594" s="1" t="s">
        <v>29</v>
      </c>
      <c r="I594" s="1" t="s">
        <v>53</v>
      </c>
      <c r="J594" s="1" t="s">
        <v>39</v>
      </c>
      <c r="K594" s="1" t="s">
        <v>24</v>
      </c>
      <c r="L594" s="1">
        <v>47</v>
      </c>
      <c r="M594" s="1">
        <v>2</v>
      </c>
      <c r="N594" s="1" t="s">
        <v>32</v>
      </c>
      <c r="O594" s="1">
        <v>3</v>
      </c>
      <c r="P594" s="1">
        <v>4</v>
      </c>
      <c r="Q594" s="1">
        <v>4</v>
      </c>
      <c r="R594" s="1">
        <v>16752</v>
      </c>
      <c r="S594" s="1">
        <v>26</v>
      </c>
      <c r="T594" s="1">
        <v>2</v>
      </c>
      <c r="U594" s="1">
        <v>26</v>
      </c>
      <c r="V594" s="1">
        <v>14</v>
      </c>
      <c r="W594" s="1">
        <v>3</v>
      </c>
      <c r="X594" s="1">
        <v>0</v>
      </c>
    </row>
    <row r="595" spans="1:24">
      <c r="A595" s="1">
        <v>594</v>
      </c>
      <c r="B595" s="1" t="s">
        <v>33</v>
      </c>
      <c r="C595" s="1" t="s">
        <v>25</v>
      </c>
      <c r="D595" s="1" t="s">
        <v>26</v>
      </c>
      <c r="E595" s="1" t="s">
        <v>36</v>
      </c>
      <c r="F595" s="1" t="s">
        <v>41</v>
      </c>
      <c r="G595" s="1">
        <v>1</v>
      </c>
      <c r="H595" s="1" t="s">
        <v>29</v>
      </c>
      <c r="I595" s="1" t="s">
        <v>49</v>
      </c>
      <c r="J595" s="1" t="s">
        <v>39</v>
      </c>
      <c r="K595" s="1" t="s">
        <v>33</v>
      </c>
      <c r="L595" s="1">
        <v>36</v>
      </c>
      <c r="M595" s="1">
        <v>1</v>
      </c>
      <c r="N595" s="1" t="s">
        <v>47</v>
      </c>
      <c r="O595" s="1">
        <v>3</v>
      </c>
      <c r="P595" s="1">
        <v>2</v>
      </c>
      <c r="Q595" s="1">
        <v>2</v>
      </c>
      <c r="R595" s="1">
        <v>5228</v>
      </c>
      <c r="S595" s="1">
        <v>10</v>
      </c>
      <c r="T595" s="1">
        <v>3</v>
      </c>
      <c r="U595" s="1">
        <v>9</v>
      </c>
      <c r="V595" s="1">
        <v>7</v>
      </c>
      <c r="W595" s="1">
        <v>0</v>
      </c>
      <c r="X595" s="1">
        <v>5</v>
      </c>
    </row>
    <row r="596" spans="1:24">
      <c r="A596" s="1">
        <v>595</v>
      </c>
      <c r="B596" s="1" t="s">
        <v>33</v>
      </c>
      <c r="C596" s="1" t="s">
        <v>25</v>
      </c>
      <c r="D596" s="1" t="s">
        <v>43</v>
      </c>
      <c r="E596" s="1" t="s">
        <v>36</v>
      </c>
      <c r="F596" s="1" t="s">
        <v>28</v>
      </c>
      <c r="G596" s="1">
        <v>1</v>
      </c>
      <c r="H596" s="1" t="s">
        <v>37</v>
      </c>
      <c r="I596" s="1" t="s">
        <v>38</v>
      </c>
      <c r="J596" s="1" t="s">
        <v>39</v>
      </c>
      <c r="K596" s="1" t="s">
        <v>33</v>
      </c>
      <c r="L596" s="1">
        <v>29</v>
      </c>
      <c r="M596" s="1">
        <v>23</v>
      </c>
      <c r="N596" s="1" t="s">
        <v>32</v>
      </c>
      <c r="O596" s="1">
        <v>3</v>
      </c>
      <c r="P596" s="1">
        <v>1</v>
      </c>
      <c r="Q596" s="1">
        <v>3</v>
      </c>
      <c r="R596" s="1">
        <v>2700</v>
      </c>
      <c r="S596" s="1">
        <v>10</v>
      </c>
      <c r="T596" s="1">
        <v>3</v>
      </c>
      <c r="U596" s="1">
        <v>10</v>
      </c>
      <c r="V596" s="1">
        <v>7</v>
      </c>
      <c r="W596" s="1">
        <v>0</v>
      </c>
      <c r="X596" s="1">
        <v>7</v>
      </c>
    </row>
    <row r="597" spans="1:24">
      <c r="A597" s="1">
        <v>596</v>
      </c>
      <c r="B597" s="1" t="s">
        <v>24</v>
      </c>
      <c r="C597" s="1" t="s">
        <v>25</v>
      </c>
      <c r="D597" s="1" t="s">
        <v>46</v>
      </c>
      <c r="E597" s="1" t="s">
        <v>36</v>
      </c>
      <c r="F597" s="1" t="s">
        <v>28</v>
      </c>
      <c r="G597" s="1">
        <v>1</v>
      </c>
      <c r="H597" s="1" t="s">
        <v>37</v>
      </c>
      <c r="I597" s="1" t="s">
        <v>55</v>
      </c>
      <c r="J597" s="1" t="s">
        <v>31</v>
      </c>
      <c r="K597" s="1" t="s">
        <v>24</v>
      </c>
      <c r="L597" s="1">
        <v>58</v>
      </c>
      <c r="M597" s="1">
        <v>2</v>
      </c>
      <c r="N597" s="1" t="s">
        <v>44</v>
      </c>
      <c r="O597" s="1">
        <v>4</v>
      </c>
      <c r="P597" s="1">
        <v>5</v>
      </c>
      <c r="Q597" s="1">
        <v>2</v>
      </c>
      <c r="R597" s="1">
        <v>19246</v>
      </c>
      <c r="S597" s="1">
        <v>40</v>
      </c>
      <c r="T597" s="1">
        <v>3</v>
      </c>
      <c r="U597" s="1">
        <v>31</v>
      </c>
      <c r="V597" s="1">
        <v>15</v>
      </c>
      <c r="W597" s="1">
        <v>13</v>
      </c>
      <c r="X597" s="1">
        <v>8</v>
      </c>
    </row>
    <row r="598" spans="1:24">
      <c r="A598" s="1">
        <v>597</v>
      </c>
      <c r="B598" s="1" t="s">
        <v>33</v>
      </c>
      <c r="C598" s="1" t="s">
        <v>25</v>
      </c>
      <c r="D598" s="1" t="s">
        <v>26</v>
      </c>
      <c r="E598" s="1" t="s">
        <v>36</v>
      </c>
      <c r="F598" s="1" t="s">
        <v>28</v>
      </c>
      <c r="G598" s="1">
        <v>1</v>
      </c>
      <c r="H598" s="1" t="s">
        <v>29</v>
      </c>
      <c r="I598" s="1" t="s">
        <v>38</v>
      </c>
      <c r="J598" s="1" t="s">
        <v>31</v>
      </c>
      <c r="K598" s="1" t="s">
        <v>33</v>
      </c>
      <c r="L598" s="1">
        <v>35</v>
      </c>
      <c r="M598" s="1">
        <v>1</v>
      </c>
      <c r="N598" s="1" t="s">
        <v>44</v>
      </c>
      <c r="O598" s="1">
        <v>4</v>
      </c>
      <c r="P598" s="1">
        <v>1</v>
      </c>
      <c r="Q598" s="1">
        <v>3</v>
      </c>
      <c r="R598" s="1">
        <v>2506</v>
      </c>
      <c r="S598" s="1">
        <v>7</v>
      </c>
      <c r="T598" s="1">
        <v>3</v>
      </c>
      <c r="U598" s="1">
        <v>2</v>
      </c>
      <c r="V598" s="1">
        <v>2</v>
      </c>
      <c r="W598" s="1">
        <v>2</v>
      </c>
      <c r="X598" s="1">
        <v>2</v>
      </c>
    </row>
    <row r="599" spans="1:24">
      <c r="A599" s="1">
        <v>598</v>
      </c>
      <c r="B599" s="1" t="s">
        <v>33</v>
      </c>
      <c r="C599" s="1" t="s">
        <v>25</v>
      </c>
      <c r="D599" s="1" t="s">
        <v>26</v>
      </c>
      <c r="E599" s="1" t="s">
        <v>36</v>
      </c>
      <c r="F599" s="1" t="s">
        <v>28</v>
      </c>
      <c r="G599" s="1">
        <v>1</v>
      </c>
      <c r="H599" s="1" t="s">
        <v>29</v>
      </c>
      <c r="I599" s="1" t="s">
        <v>49</v>
      </c>
      <c r="J599" s="1" t="s">
        <v>39</v>
      </c>
      <c r="K599" s="1" t="s">
        <v>24</v>
      </c>
      <c r="L599" s="1">
        <v>42</v>
      </c>
      <c r="M599" s="1">
        <v>1</v>
      </c>
      <c r="N599" s="1" t="s">
        <v>32</v>
      </c>
      <c r="O599" s="1">
        <v>4</v>
      </c>
      <c r="P599" s="1">
        <v>2</v>
      </c>
      <c r="Q599" s="1">
        <v>4</v>
      </c>
      <c r="R599" s="1">
        <v>6062</v>
      </c>
      <c r="S599" s="1">
        <v>8</v>
      </c>
      <c r="T599" s="1">
        <v>3</v>
      </c>
      <c r="U599" s="1">
        <v>4</v>
      </c>
      <c r="V599" s="1">
        <v>3</v>
      </c>
      <c r="W599" s="1">
        <v>0</v>
      </c>
      <c r="X599" s="1">
        <v>2</v>
      </c>
    </row>
    <row r="600" spans="1:24">
      <c r="A600" s="1">
        <v>599</v>
      </c>
      <c r="B600" s="1" t="s">
        <v>24</v>
      </c>
      <c r="C600" s="1" t="s">
        <v>25</v>
      </c>
      <c r="D600" s="1" t="s">
        <v>43</v>
      </c>
      <c r="E600" s="1" t="s">
        <v>36</v>
      </c>
      <c r="F600" s="1" t="s">
        <v>45</v>
      </c>
      <c r="G600" s="1">
        <v>1</v>
      </c>
      <c r="H600" s="1" t="s">
        <v>37</v>
      </c>
      <c r="I600" s="1" t="s">
        <v>38</v>
      </c>
      <c r="J600" s="1" t="s">
        <v>31</v>
      </c>
      <c r="K600" s="1" t="s">
        <v>33</v>
      </c>
      <c r="L600" s="1">
        <v>28</v>
      </c>
      <c r="M600" s="1">
        <v>2</v>
      </c>
      <c r="N600" s="1" t="s">
        <v>44</v>
      </c>
      <c r="O600" s="1">
        <v>3</v>
      </c>
      <c r="P600" s="1">
        <v>1</v>
      </c>
      <c r="Q600" s="1">
        <v>3</v>
      </c>
      <c r="R600" s="1">
        <v>4382</v>
      </c>
      <c r="S600" s="1">
        <v>5</v>
      </c>
      <c r="T600" s="1">
        <v>2</v>
      </c>
      <c r="U600" s="1">
        <v>2</v>
      </c>
      <c r="V600" s="1">
        <v>2</v>
      </c>
      <c r="W600" s="1">
        <v>2</v>
      </c>
      <c r="X600" s="1">
        <v>1</v>
      </c>
    </row>
    <row r="601" spans="1:24">
      <c r="A601" s="1">
        <v>600</v>
      </c>
      <c r="B601" s="1" t="s">
        <v>33</v>
      </c>
      <c r="C601" s="1" t="s">
        <v>25</v>
      </c>
      <c r="D601" s="1" t="s">
        <v>26</v>
      </c>
      <c r="E601" s="1" t="s">
        <v>59</v>
      </c>
      <c r="F601" s="1" t="s">
        <v>60</v>
      </c>
      <c r="G601" s="1">
        <v>1</v>
      </c>
      <c r="H601" s="1" t="s">
        <v>37</v>
      </c>
      <c r="I601" s="1" t="s">
        <v>60</v>
      </c>
      <c r="J601" s="1" t="s">
        <v>39</v>
      </c>
      <c r="K601" s="1" t="s">
        <v>33</v>
      </c>
      <c r="L601" s="1">
        <v>36</v>
      </c>
      <c r="M601" s="1">
        <v>13</v>
      </c>
      <c r="N601" s="1" t="s">
        <v>47</v>
      </c>
      <c r="O601" s="1">
        <v>3</v>
      </c>
      <c r="P601" s="1">
        <v>1</v>
      </c>
      <c r="Q601" s="1">
        <v>2</v>
      </c>
      <c r="R601" s="1">
        <v>2143</v>
      </c>
      <c r="S601" s="1">
        <v>8</v>
      </c>
      <c r="T601" s="1">
        <v>3</v>
      </c>
      <c r="U601" s="1">
        <v>5</v>
      </c>
      <c r="V601" s="1">
        <v>2</v>
      </c>
      <c r="W601" s="1">
        <v>0</v>
      </c>
      <c r="X601" s="1">
        <v>4</v>
      </c>
    </row>
    <row r="602" spans="1:24">
      <c r="A602" s="1">
        <v>601</v>
      </c>
      <c r="B602" s="1" t="s">
        <v>33</v>
      </c>
      <c r="C602" s="1" t="s">
        <v>25</v>
      </c>
      <c r="D602" s="1" t="s">
        <v>43</v>
      </c>
      <c r="E602" s="1" t="s">
        <v>36</v>
      </c>
      <c r="F602" s="1" t="s">
        <v>28</v>
      </c>
      <c r="G602" s="1">
        <v>1</v>
      </c>
      <c r="H602" s="1" t="s">
        <v>29</v>
      </c>
      <c r="I602" s="1" t="s">
        <v>49</v>
      </c>
      <c r="J602" s="1" t="s">
        <v>39</v>
      </c>
      <c r="K602" s="1" t="s">
        <v>33</v>
      </c>
      <c r="L602" s="1">
        <v>32</v>
      </c>
      <c r="M602" s="1">
        <v>4</v>
      </c>
      <c r="N602" s="1" t="s">
        <v>47</v>
      </c>
      <c r="O602" s="1">
        <v>3</v>
      </c>
      <c r="P602" s="1">
        <v>2</v>
      </c>
      <c r="Q602" s="1">
        <v>3</v>
      </c>
      <c r="R602" s="1">
        <v>6162</v>
      </c>
      <c r="S602" s="1">
        <v>14</v>
      </c>
      <c r="T602" s="1">
        <v>3</v>
      </c>
      <c r="U602" s="1">
        <v>14</v>
      </c>
      <c r="V602" s="1">
        <v>13</v>
      </c>
      <c r="W602" s="1">
        <v>6</v>
      </c>
      <c r="X602" s="1">
        <v>8</v>
      </c>
    </row>
    <row r="603" spans="1:24">
      <c r="A603" s="1">
        <v>602</v>
      </c>
      <c r="B603" s="1" t="s">
        <v>33</v>
      </c>
      <c r="C603" s="1" t="s">
        <v>34</v>
      </c>
      <c r="D603" s="1" t="s">
        <v>26</v>
      </c>
      <c r="E603" s="1" t="s">
        <v>36</v>
      </c>
      <c r="F603" s="1" t="s">
        <v>45</v>
      </c>
      <c r="G603" s="1">
        <v>1</v>
      </c>
      <c r="H603" s="1" t="s">
        <v>37</v>
      </c>
      <c r="I603" s="1" t="s">
        <v>42</v>
      </c>
      <c r="J603" s="1" t="s">
        <v>31</v>
      </c>
      <c r="K603" s="1" t="s">
        <v>33</v>
      </c>
      <c r="L603" s="1">
        <v>40</v>
      </c>
      <c r="M603" s="1">
        <v>16</v>
      </c>
      <c r="N603" s="1" t="s">
        <v>44</v>
      </c>
      <c r="O603" s="1">
        <v>1</v>
      </c>
      <c r="P603" s="1">
        <v>2</v>
      </c>
      <c r="Q603" s="1">
        <v>3</v>
      </c>
      <c r="R603" s="1">
        <v>5094</v>
      </c>
      <c r="S603" s="1">
        <v>10</v>
      </c>
      <c r="T603" s="1">
        <v>3</v>
      </c>
      <c r="U603" s="1">
        <v>1</v>
      </c>
      <c r="V603" s="1">
        <v>0</v>
      </c>
      <c r="W603" s="1">
        <v>0</v>
      </c>
      <c r="X603" s="1">
        <v>0</v>
      </c>
    </row>
    <row r="604" spans="1:24">
      <c r="A604" s="1">
        <v>603</v>
      </c>
      <c r="B604" s="1" t="s">
        <v>33</v>
      </c>
      <c r="C604" s="1" t="s">
        <v>25</v>
      </c>
      <c r="D604" s="1" t="s">
        <v>43</v>
      </c>
      <c r="E604" s="1" t="s">
        <v>36</v>
      </c>
      <c r="F604" s="1" t="s">
        <v>45</v>
      </c>
      <c r="G604" s="1">
        <v>1</v>
      </c>
      <c r="H604" s="1" t="s">
        <v>29</v>
      </c>
      <c r="I604" s="1" t="s">
        <v>49</v>
      </c>
      <c r="J604" s="1" t="s">
        <v>31</v>
      </c>
      <c r="K604" s="1" t="s">
        <v>24</v>
      </c>
      <c r="L604" s="1">
        <v>30</v>
      </c>
      <c r="M604" s="1">
        <v>2</v>
      </c>
      <c r="N604" s="1" t="s">
        <v>47</v>
      </c>
      <c r="O604" s="1">
        <v>3</v>
      </c>
      <c r="P604" s="1">
        <v>2</v>
      </c>
      <c r="Q604" s="1">
        <v>4</v>
      </c>
      <c r="R604" s="1">
        <v>6877</v>
      </c>
      <c r="S604" s="1">
        <v>12</v>
      </c>
      <c r="T604" s="1">
        <v>2</v>
      </c>
      <c r="U604" s="1">
        <v>0</v>
      </c>
      <c r="V604" s="1">
        <v>0</v>
      </c>
      <c r="W604" s="1">
        <v>0</v>
      </c>
      <c r="X604" s="1">
        <v>0</v>
      </c>
    </row>
    <row r="605" spans="1:24">
      <c r="A605" s="1">
        <v>604</v>
      </c>
      <c r="B605" s="1" t="s">
        <v>33</v>
      </c>
      <c r="C605" s="1" t="s">
        <v>25</v>
      </c>
      <c r="D605" s="1" t="s">
        <v>35</v>
      </c>
      <c r="E605" s="1" t="s">
        <v>36</v>
      </c>
      <c r="F605" s="1" t="s">
        <v>28</v>
      </c>
      <c r="G605" s="1">
        <v>1</v>
      </c>
      <c r="H605" s="1" t="s">
        <v>29</v>
      </c>
      <c r="I605" s="1" t="s">
        <v>38</v>
      </c>
      <c r="J605" s="1" t="s">
        <v>31</v>
      </c>
      <c r="K605" s="1" t="s">
        <v>33</v>
      </c>
      <c r="L605" s="1">
        <v>45</v>
      </c>
      <c r="M605" s="1">
        <v>2</v>
      </c>
      <c r="N605" s="1" t="s">
        <v>47</v>
      </c>
      <c r="O605" s="1">
        <v>2</v>
      </c>
      <c r="P605" s="1">
        <v>1</v>
      </c>
      <c r="Q605" s="1">
        <v>3</v>
      </c>
      <c r="R605" s="1">
        <v>2274</v>
      </c>
      <c r="S605" s="1">
        <v>1</v>
      </c>
      <c r="T605" s="1">
        <v>3</v>
      </c>
      <c r="U605" s="1">
        <v>1</v>
      </c>
      <c r="V605" s="1">
        <v>0</v>
      </c>
      <c r="W605" s="1">
        <v>0</v>
      </c>
      <c r="X605" s="1">
        <v>0</v>
      </c>
    </row>
    <row r="606" spans="1:24">
      <c r="A606" s="1">
        <v>605</v>
      </c>
      <c r="B606" s="1" t="s">
        <v>33</v>
      </c>
      <c r="C606" s="1" t="s">
        <v>25</v>
      </c>
      <c r="D606" s="1" t="s">
        <v>26</v>
      </c>
      <c r="E606" s="1" t="s">
        <v>36</v>
      </c>
      <c r="F606" s="1" t="s">
        <v>28</v>
      </c>
      <c r="G606" s="1">
        <v>1</v>
      </c>
      <c r="H606" s="1" t="s">
        <v>37</v>
      </c>
      <c r="I606" s="1" t="s">
        <v>49</v>
      </c>
      <c r="J606" s="1" t="s">
        <v>39</v>
      </c>
      <c r="K606" s="1" t="s">
        <v>33</v>
      </c>
      <c r="L606" s="1">
        <v>42</v>
      </c>
      <c r="M606" s="1">
        <v>29</v>
      </c>
      <c r="N606" s="1" t="s">
        <v>47</v>
      </c>
      <c r="O606" s="1">
        <v>2</v>
      </c>
      <c r="P606" s="1">
        <v>2</v>
      </c>
      <c r="Q606" s="1">
        <v>2</v>
      </c>
      <c r="R606" s="1">
        <v>4434</v>
      </c>
      <c r="S606" s="1">
        <v>10</v>
      </c>
      <c r="T606" s="1">
        <v>2</v>
      </c>
      <c r="U606" s="1">
        <v>9</v>
      </c>
      <c r="V606" s="1">
        <v>8</v>
      </c>
      <c r="W606" s="1">
        <v>7</v>
      </c>
      <c r="X606" s="1">
        <v>8</v>
      </c>
    </row>
    <row r="607" spans="1:24">
      <c r="A607" s="1">
        <v>606</v>
      </c>
      <c r="B607" s="1" t="s">
        <v>33</v>
      </c>
      <c r="C607" s="1" t="s">
        <v>34</v>
      </c>
      <c r="D607" s="1" t="s">
        <v>26</v>
      </c>
      <c r="E607" s="1" t="s">
        <v>36</v>
      </c>
      <c r="F607" s="1" t="s">
        <v>28</v>
      </c>
      <c r="G607" s="1">
        <v>1</v>
      </c>
      <c r="H607" s="1" t="s">
        <v>37</v>
      </c>
      <c r="I607" s="1" t="s">
        <v>50</v>
      </c>
      <c r="J607" s="1" t="s">
        <v>48</v>
      </c>
      <c r="K607" s="1" t="s">
        <v>33</v>
      </c>
      <c r="L607" s="1">
        <v>38</v>
      </c>
      <c r="M607" s="1">
        <v>12</v>
      </c>
      <c r="N607" s="1" t="s">
        <v>47</v>
      </c>
      <c r="O607" s="1">
        <v>1</v>
      </c>
      <c r="P607" s="1">
        <v>2</v>
      </c>
      <c r="Q607" s="1">
        <v>1</v>
      </c>
      <c r="R607" s="1">
        <v>6288</v>
      </c>
      <c r="S607" s="1">
        <v>13</v>
      </c>
      <c r="T607" s="1">
        <v>2</v>
      </c>
      <c r="U607" s="1">
        <v>4</v>
      </c>
      <c r="V607" s="1">
        <v>3</v>
      </c>
      <c r="W607" s="1">
        <v>1</v>
      </c>
      <c r="X607" s="1">
        <v>2</v>
      </c>
    </row>
    <row r="608" spans="1:24">
      <c r="A608" s="1">
        <v>607</v>
      </c>
      <c r="B608" s="1" t="s">
        <v>33</v>
      </c>
      <c r="C608" s="1" t="s">
        <v>34</v>
      </c>
      <c r="D608" s="1" t="s">
        <v>43</v>
      </c>
      <c r="E608" s="1" t="s">
        <v>36</v>
      </c>
      <c r="F608" s="1" t="s">
        <v>28</v>
      </c>
      <c r="G608" s="1">
        <v>1</v>
      </c>
      <c r="H608" s="1" t="s">
        <v>29</v>
      </c>
      <c r="I608" s="1" t="s">
        <v>38</v>
      </c>
      <c r="J608" s="1" t="s">
        <v>31</v>
      </c>
      <c r="K608" s="1" t="s">
        <v>33</v>
      </c>
      <c r="L608" s="1">
        <v>34</v>
      </c>
      <c r="M608" s="1">
        <v>16</v>
      </c>
      <c r="N608" s="1" t="s">
        <v>44</v>
      </c>
      <c r="O608" s="1">
        <v>3</v>
      </c>
      <c r="P608" s="1">
        <v>1</v>
      </c>
      <c r="Q608" s="1">
        <v>4</v>
      </c>
      <c r="R608" s="1">
        <v>2553</v>
      </c>
      <c r="S608" s="1">
        <v>6</v>
      </c>
      <c r="T608" s="1">
        <v>3</v>
      </c>
      <c r="U608" s="1">
        <v>5</v>
      </c>
      <c r="V608" s="1">
        <v>2</v>
      </c>
      <c r="W608" s="1">
        <v>1</v>
      </c>
      <c r="X608" s="1">
        <v>3</v>
      </c>
    </row>
    <row r="609" spans="1:24">
      <c r="A609" s="1">
        <v>608</v>
      </c>
      <c r="B609" s="1" t="s">
        <v>24</v>
      </c>
      <c r="C609" s="1" t="s">
        <v>25</v>
      </c>
      <c r="D609" s="1" t="s">
        <v>35</v>
      </c>
      <c r="E609" s="1" t="s">
        <v>27</v>
      </c>
      <c r="F609" s="1" t="s">
        <v>56</v>
      </c>
      <c r="G609" s="1">
        <v>1</v>
      </c>
      <c r="H609" s="1" t="s">
        <v>29</v>
      </c>
      <c r="I609" s="1" t="s">
        <v>30</v>
      </c>
      <c r="J609" s="1" t="s">
        <v>39</v>
      </c>
      <c r="K609" s="1" t="s">
        <v>33</v>
      </c>
      <c r="L609" s="1">
        <v>49</v>
      </c>
      <c r="M609" s="1">
        <v>11</v>
      </c>
      <c r="N609" s="1" t="s">
        <v>47</v>
      </c>
      <c r="O609" s="1">
        <v>3</v>
      </c>
      <c r="P609" s="1">
        <v>3</v>
      </c>
      <c r="Q609" s="1">
        <v>4</v>
      </c>
      <c r="R609" s="1">
        <v>7654</v>
      </c>
      <c r="S609" s="1">
        <v>9</v>
      </c>
      <c r="T609" s="1">
        <v>4</v>
      </c>
      <c r="U609" s="1">
        <v>9</v>
      </c>
      <c r="V609" s="1">
        <v>8</v>
      </c>
      <c r="W609" s="1">
        <v>7</v>
      </c>
      <c r="X609" s="1">
        <v>7</v>
      </c>
    </row>
    <row r="610" spans="1:24">
      <c r="A610" s="1">
        <v>609</v>
      </c>
      <c r="B610" s="1" t="s">
        <v>24</v>
      </c>
      <c r="C610" s="1" t="s">
        <v>25</v>
      </c>
      <c r="D610" s="1" t="s">
        <v>46</v>
      </c>
      <c r="E610" s="1" t="s">
        <v>27</v>
      </c>
      <c r="F610" s="1" t="s">
        <v>45</v>
      </c>
      <c r="G610" s="1">
        <v>1</v>
      </c>
      <c r="H610" s="1" t="s">
        <v>37</v>
      </c>
      <c r="I610" s="1" t="s">
        <v>30</v>
      </c>
      <c r="J610" s="1" t="s">
        <v>31</v>
      </c>
      <c r="K610" s="1" t="s">
        <v>33</v>
      </c>
      <c r="L610" s="1">
        <v>55</v>
      </c>
      <c r="M610" s="1">
        <v>2</v>
      </c>
      <c r="N610" s="1" t="s">
        <v>40</v>
      </c>
      <c r="O610" s="1">
        <v>3</v>
      </c>
      <c r="P610" s="1">
        <v>2</v>
      </c>
      <c r="Q610" s="1">
        <v>4</v>
      </c>
      <c r="R610" s="1">
        <v>5160</v>
      </c>
      <c r="S610" s="1">
        <v>12</v>
      </c>
      <c r="T610" s="1">
        <v>2</v>
      </c>
      <c r="U610" s="1">
        <v>9</v>
      </c>
      <c r="V610" s="1">
        <v>7</v>
      </c>
      <c r="W610" s="1">
        <v>7</v>
      </c>
      <c r="X610" s="1">
        <v>3</v>
      </c>
    </row>
    <row r="611" spans="1:24">
      <c r="A611" s="1">
        <v>610</v>
      </c>
      <c r="B611" s="1" t="s">
        <v>33</v>
      </c>
      <c r="C611" s="1" t="s">
        <v>25</v>
      </c>
      <c r="D611" s="1" t="s">
        <v>26</v>
      </c>
      <c r="E611" s="1" t="s">
        <v>36</v>
      </c>
      <c r="F611" s="1" t="s">
        <v>28</v>
      </c>
      <c r="G611" s="1">
        <v>1</v>
      </c>
      <c r="H611" s="1" t="s">
        <v>37</v>
      </c>
      <c r="I611" s="1" t="s">
        <v>55</v>
      </c>
      <c r="J611" s="1" t="s">
        <v>39</v>
      </c>
      <c r="K611" s="1" t="s">
        <v>33</v>
      </c>
      <c r="L611" s="1">
        <v>43</v>
      </c>
      <c r="M611" s="1">
        <v>14</v>
      </c>
      <c r="N611" s="1" t="s">
        <v>32</v>
      </c>
      <c r="O611" s="1">
        <v>2</v>
      </c>
      <c r="P611" s="1">
        <v>4</v>
      </c>
      <c r="Q611" s="1">
        <v>1</v>
      </c>
      <c r="R611" s="1">
        <v>17159</v>
      </c>
      <c r="S611" s="1">
        <v>22</v>
      </c>
      <c r="T611" s="1">
        <v>3</v>
      </c>
      <c r="U611" s="1">
        <v>4</v>
      </c>
      <c r="V611" s="1">
        <v>1</v>
      </c>
      <c r="W611" s="1">
        <v>1</v>
      </c>
      <c r="X611" s="1">
        <v>0</v>
      </c>
    </row>
    <row r="612" spans="1:24">
      <c r="A612" s="1">
        <v>611</v>
      </c>
      <c r="B612" s="1" t="s">
        <v>33</v>
      </c>
      <c r="C612" s="1" t="s">
        <v>25</v>
      </c>
      <c r="D612" s="1" t="s">
        <v>43</v>
      </c>
      <c r="E612" s="1" t="s">
        <v>36</v>
      </c>
      <c r="F612" s="1" t="s">
        <v>57</v>
      </c>
      <c r="G612" s="1">
        <v>1</v>
      </c>
      <c r="H612" s="1" t="s">
        <v>37</v>
      </c>
      <c r="I612" s="1" t="s">
        <v>55</v>
      </c>
      <c r="J612" s="1" t="s">
        <v>48</v>
      </c>
      <c r="K612" s="1" t="s">
        <v>24</v>
      </c>
      <c r="L612" s="1">
        <v>27</v>
      </c>
      <c r="M612" s="1">
        <v>5</v>
      </c>
      <c r="N612" s="1" t="s">
        <v>40</v>
      </c>
      <c r="O612" s="1">
        <v>3</v>
      </c>
      <c r="P612" s="1">
        <v>3</v>
      </c>
      <c r="Q612" s="1">
        <v>4</v>
      </c>
      <c r="R612" s="1">
        <v>12808</v>
      </c>
      <c r="S612" s="1">
        <v>9</v>
      </c>
      <c r="T612" s="1">
        <v>3</v>
      </c>
      <c r="U612" s="1">
        <v>9</v>
      </c>
      <c r="V612" s="1">
        <v>8</v>
      </c>
      <c r="W612" s="1">
        <v>0</v>
      </c>
      <c r="X612" s="1">
        <v>8</v>
      </c>
    </row>
    <row r="613" spans="1:24">
      <c r="A613" s="1">
        <v>612</v>
      </c>
      <c r="B613" s="1" t="s">
        <v>33</v>
      </c>
      <c r="C613" s="1" t="s">
        <v>25</v>
      </c>
      <c r="D613" s="1" t="s">
        <v>26</v>
      </c>
      <c r="E613" s="1" t="s">
        <v>36</v>
      </c>
      <c r="F613" s="1" t="s">
        <v>41</v>
      </c>
      <c r="G613" s="1">
        <v>1</v>
      </c>
      <c r="H613" s="1" t="s">
        <v>37</v>
      </c>
      <c r="I613" s="1" t="s">
        <v>49</v>
      </c>
      <c r="J613" s="1" t="s">
        <v>31</v>
      </c>
      <c r="K613" s="1" t="s">
        <v>33</v>
      </c>
      <c r="L613" s="1">
        <v>35</v>
      </c>
      <c r="M613" s="1">
        <v>7</v>
      </c>
      <c r="N613" s="1" t="s">
        <v>47</v>
      </c>
      <c r="O613" s="1">
        <v>3</v>
      </c>
      <c r="P613" s="1">
        <v>3</v>
      </c>
      <c r="Q613" s="1">
        <v>3</v>
      </c>
      <c r="R613" s="1">
        <v>10221</v>
      </c>
      <c r="S613" s="1">
        <v>17</v>
      </c>
      <c r="T613" s="1">
        <v>4</v>
      </c>
      <c r="U613" s="1">
        <v>8</v>
      </c>
      <c r="V613" s="1">
        <v>5</v>
      </c>
      <c r="W613" s="1">
        <v>1</v>
      </c>
      <c r="X613" s="1">
        <v>6</v>
      </c>
    </row>
    <row r="614" spans="1:24">
      <c r="A614" s="1">
        <v>613</v>
      </c>
      <c r="B614" s="1" t="s">
        <v>33</v>
      </c>
      <c r="C614" s="1" t="s">
        <v>25</v>
      </c>
      <c r="D614" s="1" t="s">
        <v>43</v>
      </c>
      <c r="E614" s="1" t="s">
        <v>27</v>
      </c>
      <c r="F614" s="1" t="s">
        <v>56</v>
      </c>
      <c r="G614" s="1">
        <v>1</v>
      </c>
      <c r="H614" s="1" t="s">
        <v>29</v>
      </c>
      <c r="I614" s="1" t="s">
        <v>30</v>
      </c>
      <c r="J614" s="1" t="s">
        <v>39</v>
      </c>
      <c r="K614" s="1" t="s">
        <v>24</v>
      </c>
      <c r="L614" s="1">
        <v>28</v>
      </c>
      <c r="M614" s="1">
        <v>2</v>
      </c>
      <c r="N614" s="1" t="s">
        <v>44</v>
      </c>
      <c r="O614" s="1">
        <v>2</v>
      </c>
      <c r="P614" s="1">
        <v>2</v>
      </c>
      <c r="Q614" s="1">
        <v>2</v>
      </c>
      <c r="R614" s="1">
        <v>4779</v>
      </c>
      <c r="S614" s="1">
        <v>8</v>
      </c>
      <c r="T614" s="1">
        <v>3</v>
      </c>
      <c r="U614" s="1">
        <v>8</v>
      </c>
      <c r="V614" s="1">
        <v>7</v>
      </c>
      <c r="W614" s="1">
        <v>7</v>
      </c>
      <c r="X614" s="1">
        <v>5</v>
      </c>
    </row>
    <row r="615" spans="1:24">
      <c r="A615" s="1">
        <v>614</v>
      </c>
      <c r="B615" s="1" t="s">
        <v>33</v>
      </c>
      <c r="C615" s="1" t="s">
        <v>25</v>
      </c>
      <c r="D615" s="1" t="s">
        <v>43</v>
      </c>
      <c r="E615" s="1" t="s">
        <v>59</v>
      </c>
      <c r="F615" s="1" t="s">
        <v>60</v>
      </c>
      <c r="G615" s="1">
        <v>1</v>
      </c>
      <c r="H615" s="1" t="s">
        <v>37</v>
      </c>
      <c r="I615" s="1" t="s">
        <v>60</v>
      </c>
      <c r="J615" s="1" t="s">
        <v>39</v>
      </c>
      <c r="K615" s="1" t="s">
        <v>33</v>
      </c>
      <c r="L615" s="1">
        <v>34</v>
      </c>
      <c r="M615" s="1">
        <v>3</v>
      </c>
      <c r="N615" s="1" t="s">
        <v>32</v>
      </c>
      <c r="O615" s="1">
        <v>3</v>
      </c>
      <c r="P615" s="1">
        <v>1</v>
      </c>
      <c r="Q615" s="1">
        <v>4</v>
      </c>
      <c r="R615" s="1">
        <v>3737</v>
      </c>
      <c r="S615" s="1">
        <v>4</v>
      </c>
      <c r="T615" s="1">
        <v>1</v>
      </c>
      <c r="U615" s="1">
        <v>3</v>
      </c>
      <c r="V615" s="1">
        <v>2</v>
      </c>
      <c r="W615" s="1">
        <v>0</v>
      </c>
      <c r="X615" s="1">
        <v>2</v>
      </c>
    </row>
    <row r="616" spans="1:24">
      <c r="A616" s="1">
        <v>615</v>
      </c>
      <c r="B616" s="1" t="s">
        <v>24</v>
      </c>
      <c r="C616" s="1" t="s">
        <v>34</v>
      </c>
      <c r="D616" s="1" t="s">
        <v>43</v>
      </c>
      <c r="E616" s="1" t="s">
        <v>36</v>
      </c>
      <c r="F616" s="1" t="s">
        <v>45</v>
      </c>
      <c r="G616" s="1">
        <v>1</v>
      </c>
      <c r="H616" s="1" t="s">
        <v>29</v>
      </c>
      <c r="I616" s="1" t="s">
        <v>38</v>
      </c>
      <c r="J616" s="1" t="s">
        <v>39</v>
      </c>
      <c r="K616" s="1" t="s">
        <v>24</v>
      </c>
      <c r="L616" s="1">
        <v>26</v>
      </c>
      <c r="M616" s="1">
        <v>5</v>
      </c>
      <c r="N616" s="1" t="s">
        <v>32</v>
      </c>
      <c r="O616" s="1">
        <v>3</v>
      </c>
      <c r="P616" s="1">
        <v>1</v>
      </c>
      <c r="Q616" s="1">
        <v>3</v>
      </c>
      <c r="R616" s="1">
        <v>2366</v>
      </c>
      <c r="S616" s="1">
        <v>8</v>
      </c>
      <c r="T616" s="1">
        <v>3</v>
      </c>
      <c r="U616" s="1">
        <v>8</v>
      </c>
      <c r="V616" s="1">
        <v>7</v>
      </c>
      <c r="W616" s="1">
        <v>1</v>
      </c>
      <c r="X616" s="1">
        <v>7</v>
      </c>
    </row>
    <row r="617" spans="1:24">
      <c r="A617" s="1">
        <v>616</v>
      </c>
      <c r="B617" s="1" t="s">
        <v>33</v>
      </c>
      <c r="C617" s="1" t="s">
        <v>51</v>
      </c>
      <c r="D617" s="1" t="s">
        <v>43</v>
      </c>
      <c r="E617" s="1" t="s">
        <v>36</v>
      </c>
      <c r="F617" s="1" t="s">
        <v>45</v>
      </c>
      <c r="G617" s="1">
        <v>1</v>
      </c>
      <c r="H617" s="1" t="s">
        <v>37</v>
      </c>
      <c r="I617" s="1" t="s">
        <v>38</v>
      </c>
      <c r="J617" s="1" t="s">
        <v>39</v>
      </c>
      <c r="K617" s="1" t="s">
        <v>33</v>
      </c>
      <c r="L617" s="1">
        <v>27</v>
      </c>
      <c r="M617" s="1">
        <v>3</v>
      </c>
      <c r="N617" s="1" t="s">
        <v>47</v>
      </c>
      <c r="O617" s="1">
        <v>4</v>
      </c>
      <c r="P617" s="1">
        <v>1</v>
      </c>
      <c r="Q617" s="1">
        <v>4</v>
      </c>
      <c r="R617" s="1">
        <v>1706</v>
      </c>
      <c r="S617" s="1">
        <v>0</v>
      </c>
      <c r="T617" s="1">
        <v>2</v>
      </c>
      <c r="U617" s="1">
        <v>0</v>
      </c>
      <c r="V617" s="1">
        <v>0</v>
      </c>
      <c r="W617" s="1">
        <v>0</v>
      </c>
      <c r="X617" s="1">
        <v>0</v>
      </c>
    </row>
    <row r="618" spans="1:24">
      <c r="A618" s="1">
        <v>617</v>
      </c>
      <c r="B618" s="1" t="s">
        <v>33</v>
      </c>
      <c r="C618" s="1" t="s">
        <v>25</v>
      </c>
      <c r="D618" s="1" t="s">
        <v>35</v>
      </c>
      <c r="E618" s="1" t="s">
        <v>27</v>
      </c>
      <c r="F618" s="1" t="s">
        <v>56</v>
      </c>
      <c r="G618" s="1">
        <v>1</v>
      </c>
      <c r="H618" s="1" t="s">
        <v>29</v>
      </c>
      <c r="I618" s="1" t="s">
        <v>53</v>
      </c>
      <c r="J618" s="1" t="s">
        <v>39</v>
      </c>
      <c r="K618" s="1" t="s">
        <v>33</v>
      </c>
      <c r="L618" s="1">
        <v>51</v>
      </c>
      <c r="M618" s="1">
        <v>26</v>
      </c>
      <c r="N618" s="1" t="s">
        <v>44</v>
      </c>
      <c r="O618" s="1">
        <v>1</v>
      </c>
      <c r="P618" s="1">
        <v>4</v>
      </c>
      <c r="Q618" s="1">
        <v>3</v>
      </c>
      <c r="R618" s="1">
        <v>16307</v>
      </c>
      <c r="S618" s="1">
        <v>29</v>
      </c>
      <c r="T618" s="1">
        <v>2</v>
      </c>
      <c r="U618" s="1">
        <v>20</v>
      </c>
      <c r="V618" s="1">
        <v>6</v>
      </c>
      <c r="W618" s="1">
        <v>4</v>
      </c>
      <c r="X618" s="1">
        <v>17</v>
      </c>
    </row>
    <row r="619" spans="1:24">
      <c r="A619" s="1">
        <v>618</v>
      </c>
      <c r="B619" s="1" t="s">
        <v>33</v>
      </c>
      <c r="C619" s="1" t="s">
        <v>25</v>
      </c>
      <c r="D619" s="1" t="s">
        <v>26</v>
      </c>
      <c r="E619" s="1" t="s">
        <v>36</v>
      </c>
      <c r="F619" s="1" t="s">
        <v>45</v>
      </c>
      <c r="G619" s="1">
        <v>1</v>
      </c>
      <c r="H619" s="1" t="s">
        <v>37</v>
      </c>
      <c r="I619" s="1" t="s">
        <v>50</v>
      </c>
      <c r="J619" s="1" t="s">
        <v>31</v>
      </c>
      <c r="K619" s="1" t="s">
        <v>33</v>
      </c>
      <c r="L619" s="1">
        <v>44</v>
      </c>
      <c r="M619" s="1">
        <v>4</v>
      </c>
      <c r="N619" s="1" t="s">
        <v>47</v>
      </c>
      <c r="O619" s="1">
        <v>4</v>
      </c>
      <c r="P619" s="1">
        <v>2</v>
      </c>
      <c r="Q619" s="1">
        <v>2</v>
      </c>
      <c r="R619" s="1">
        <v>5933</v>
      </c>
      <c r="S619" s="1">
        <v>10</v>
      </c>
      <c r="T619" s="1">
        <v>2</v>
      </c>
      <c r="U619" s="1">
        <v>5</v>
      </c>
      <c r="V619" s="1">
        <v>2</v>
      </c>
      <c r="W619" s="1">
        <v>2</v>
      </c>
      <c r="X619" s="1">
        <v>3</v>
      </c>
    </row>
    <row r="620" spans="1:24">
      <c r="A620" s="1">
        <v>619</v>
      </c>
      <c r="B620" s="1" t="s">
        <v>33</v>
      </c>
      <c r="C620" s="1" t="s">
        <v>25</v>
      </c>
      <c r="D620" s="1" t="s">
        <v>43</v>
      </c>
      <c r="E620" s="1" t="s">
        <v>36</v>
      </c>
      <c r="F620" s="1" t="s">
        <v>45</v>
      </c>
      <c r="G620" s="1">
        <v>1</v>
      </c>
      <c r="H620" s="1" t="s">
        <v>37</v>
      </c>
      <c r="I620" s="1" t="s">
        <v>38</v>
      </c>
      <c r="J620" s="1" t="s">
        <v>31</v>
      </c>
      <c r="K620" s="1" t="s">
        <v>33</v>
      </c>
      <c r="L620" s="1">
        <v>25</v>
      </c>
      <c r="M620" s="1">
        <v>2</v>
      </c>
      <c r="N620" s="1" t="s">
        <v>40</v>
      </c>
      <c r="O620" s="1">
        <v>1</v>
      </c>
      <c r="P620" s="1">
        <v>1</v>
      </c>
      <c r="Q620" s="1">
        <v>1</v>
      </c>
      <c r="R620" s="1">
        <v>3424</v>
      </c>
      <c r="S620" s="1">
        <v>6</v>
      </c>
      <c r="T620" s="1">
        <v>2</v>
      </c>
      <c r="U620" s="1">
        <v>4</v>
      </c>
      <c r="V620" s="1">
        <v>3</v>
      </c>
      <c r="W620" s="1">
        <v>0</v>
      </c>
      <c r="X620" s="1">
        <v>1</v>
      </c>
    </row>
    <row r="621" spans="1:24">
      <c r="A621" s="1">
        <v>620</v>
      </c>
      <c r="B621" s="1" t="s">
        <v>33</v>
      </c>
      <c r="C621" s="1" t="s">
        <v>25</v>
      </c>
      <c r="D621" s="1" t="s">
        <v>43</v>
      </c>
      <c r="E621" s="1" t="s">
        <v>27</v>
      </c>
      <c r="F621" s="1" t="s">
        <v>45</v>
      </c>
      <c r="G621" s="1">
        <v>1</v>
      </c>
      <c r="H621" s="1" t="s">
        <v>37</v>
      </c>
      <c r="I621" s="1" t="s">
        <v>30</v>
      </c>
      <c r="J621" s="1" t="s">
        <v>48</v>
      </c>
      <c r="K621" s="1" t="s">
        <v>33</v>
      </c>
      <c r="L621" s="1">
        <v>33</v>
      </c>
      <c r="M621" s="1">
        <v>1</v>
      </c>
      <c r="N621" s="1" t="s">
        <v>47</v>
      </c>
      <c r="O621" s="1">
        <v>1</v>
      </c>
      <c r="P621" s="1">
        <v>2</v>
      </c>
      <c r="Q621" s="1">
        <v>1</v>
      </c>
      <c r="R621" s="1">
        <v>4037</v>
      </c>
      <c r="S621" s="1">
        <v>9</v>
      </c>
      <c r="T621" s="1">
        <v>3</v>
      </c>
      <c r="U621" s="1">
        <v>9</v>
      </c>
      <c r="V621" s="1">
        <v>8</v>
      </c>
      <c r="W621" s="1">
        <v>0</v>
      </c>
      <c r="X621" s="1">
        <v>8</v>
      </c>
    </row>
    <row r="622" spans="1:24">
      <c r="A622" s="1">
        <v>621</v>
      </c>
      <c r="B622" s="1" t="s">
        <v>33</v>
      </c>
      <c r="C622" s="1" t="s">
        <v>25</v>
      </c>
      <c r="D622" s="1" t="s">
        <v>26</v>
      </c>
      <c r="E622" s="1" t="s">
        <v>36</v>
      </c>
      <c r="F622" s="1" t="s">
        <v>45</v>
      </c>
      <c r="G622" s="1">
        <v>1</v>
      </c>
      <c r="H622" s="1" t="s">
        <v>29</v>
      </c>
      <c r="I622" s="1" t="s">
        <v>38</v>
      </c>
      <c r="J622" s="1" t="s">
        <v>31</v>
      </c>
      <c r="K622" s="1" t="s">
        <v>33</v>
      </c>
      <c r="L622" s="1">
        <v>35</v>
      </c>
      <c r="M622" s="1">
        <v>27</v>
      </c>
      <c r="N622" s="1" t="s">
        <v>40</v>
      </c>
      <c r="O622" s="1">
        <v>3</v>
      </c>
      <c r="P622" s="1">
        <v>1</v>
      </c>
      <c r="Q622" s="1">
        <v>1</v>
      </c>
      <c r="R622" s="1">
        <v>2559</v>
      </c>
      <c r="S622" s="1">
        <v>6</v>
      </c>
      <c r="T622" s="1">
        <v>2</v>
      </c>
      <c r="U622" s="1">
        <v>6</v>
      </c>
      <c r="V622" s="1">
        <v>5</v>
      </c>
      <c r="W622" s="1">
        <v>1</v>
      </c>
      <c r="X622" s="1">
        <v>1</v>
      </c>
    </row>
    <row r="623" spans="1:24">
      <c r="A623" s="1">
        <v>622</v>
      </c>
      <c r="B623" s="1" t="s">
        <v>33</v>
      </c>
      <c r="C623" s="1" t="s">
        <v>25</v>
      </c>
      <c r="D623" s="1" t="s">
        <v>26</v>
      </c>
      <c r="E623" s="1" t="s">
        <v>27</v>
      </c>
      <c r="F623" s="1" t="s">
        <v>28</v>
      </c>
      <c r="G623" s="1">
        <v>1</v>
      </c>
      <c r="H623" s="1" t="s">
        <v>37</v>
      </c>
      <c r="I623" s="1" t="s">
        <v>30</v>
      </c>
      <c r="J623" s="1" t="s">
        <v>39</v>
      </c>
      <c r="K623" s="1" t="s">
        <v>24</v>
      </c>
      <c r="L623" s="1">
        <v>36</v>
      </c>
      <c r="M623" s="1">
        <v>1</v>
      </c>
      <c r="N623" s="1" t="s">
        <v>32</v>
      </c>
      <c r="O623" s="1">
        <v>2</v>
      </c>
      <c r="P623" s="1">
        <v>2</v>
      </c>
      <c r="Q623" s="1">
        <v>4</v>
      </c>
      <c r="R623" s="1">
        <v>6201</v>
      </c>
      <c r="S623" s="1">
        <v>18</v>
      </c>
      <c r="T623" s="1">
        <v>2</v>
      </c>
      <c r="U623" s="1">
        <v>18</v>
      </c>
      <c r="V623" s="1">
        <v>14</v>
      </c>
      <c r="W623" s="1">
        <v>4</v>
      </c>
      <c r="X623" s="1">
        <v>11</v>
      </c>
    </row>
    <row r="624" spans="1:24">
      <c r="A624" s="1">
        <v>623</v>
      </c>
      <c r="B624" s="1" t="s">
        <v>33</v>
      </c>
      <c r="C624" s="1" t="s">
        <v>25</v>
      </c>
      <c r="D624" s="1" t="s">
        <v>43</v>
      </c>
      <c r="E624" s="1" t="s">
        <v>27</v>
      </c>
      <c r="F624" s="1" t="s">
        <v>28</v>
      </c>
      <c r="G624" s="1">
        <v>1</v>
      </c>
      <c r="H624" s="1" t="s">
        <v>37</v>
      </c>
      <c r="I624" s="1" t="s">
        <v>30</v>
      </c>
      <c r="J624" s="1" t="s">
        <v>48</v>
      </c>
      <c r="K624" s="1" t="s">
        <v>33</v>
      </c>
      <c r="L624" s="1">
        <v>32</v>
      </c>
      <c r="M624" s="1">
        <v>13</v>
      </c>
      <c r="N624" s="1" t="s">
        <v>44</v>
      </c>
      <c r="O624" s="1">
        <v>2</v>
      </c>
      <c r="P624" s="1">
        <v>2</v>
      </c>
      <c r="Q624" s="1">
        <v>4</v>
      </c>
      <c r="R624" s="1">
        <v>4403</v>
      </c>
      <c r="S624" s="1">
        <v>8</v>
      </c>
      <c r="T624" s="1">
        <v>2</v>
      </c>
      <c r="U624" s="1">
        <v>5</v>
      </c>
      <c r="V624" s="1">
        <v>2</v>
      </c>
      <c r="W624" s="1">
        <v>0</v>
      </c>
      <c r="X624" s="1">
        <v>3</v>
      </c>
    </row>
    <row r="625" spans="1:24">
      <c r="A625" s="1">
        <v>624</v>
      </c>
      <c r="B625" s="1" t="s">
        <v>33</v>
      </c>
      <c r="C625" s="1" t="s">
        <v>34</v>
      </c>
      <c r="D625" s="1" t="s">
        <v>43</v>
      </c>
      <c r="E625" s="1" t="s">
        <v>36</v>
      </c>
      <c r="F625" s="1" t="s">
        <v>28</v>
      </c>
      <c r="G625" s="1">
        <v>1</v>
      </c>
      <c r="H625" s="1" t="s">
        <v>37</v>
      </c>
      <c r="I625" s="1" t="s">
        <v>38</v>
      </c>
      <c r="J625" s="1" t="s">
        <v>48</v>
      </c>
      <c r="K625" s="1" t="s">
        <v>33</v>
      </c>
      <c r="L625" s="1">
        <v>30</v>
      </c>
      <c r="M625" s="1">
        <v>5</v>
      </c>
      <c r="N625" s="1" t="s">
        <v>44</v>
      </c>
      <c r="O625" s="1">
        <v>2</v>
      </c>
      <c r="P625" s="1">
        <v>1</v>
      </c>
      <c r="Q625" s="1">
        <v>4</v>
      </c>
      <c r="R625" s="1">
        <v>3761</v>
      </c>
      <c r="S625" s="1">
        <v>10</v>
      </c>
      <c r="T625" s="1">
        <v>2</v>
      </c>
      <c r="U625" s="1">
        <v>5</v>
      </c>
      <c r="V625" s="1">
        <v>4</v>
      </c>
      <c r="W625" s="1">
        <v>0</v>
      </c>
      <c r="X625" s="1">
        <v>3</v>
      </c>
    </row>
    <row r="626" spans="1:24">
      <c r="A626" s="1">
        <v>625</v>
      </c>
      <c r="B626" s="1" t="s">
        <v>33</v>
      </c>
      <c r="C626" s="1" t="s">
        <v>25</v>
      </c>
      <c r="D626" s="1" t="s">
        <v>35</v>
      </c>
      <c r="E626" s="1" t="s">
        <v>27</v>
      </c>
      <c r="F626" s="1" t="s">
        <v>56</v>
      </c>
      <c r="G626" s="1">
        <v>1</v>
      </c>
      <c r="H626" s="1" t="s">
        <v>29</v>
      </c>
      <c r="I626" s="1" t="s">
        <v>30</v>
      </c>
      <c r="J626" s="1" t="s">
        <v>39</v>
      </c>
      <c r="K626" s="1" t="s">
        <v>24</v>
      </c>
      <c r="L626" s="1">
        <v>53</v>
      </c>
      <c r="M626" s="1">
        <v>7</v>
      </c>
      <c r="N626" s="1" t="s">
        <v>32</v>
      </c>
      <c r="O626" s="1">
        <v>1</v>
      </c>
      <c r="P626" s="1">
        <v>3</v>
      </c>
      <c r="Q626" s="1">
        <v>4</v>
      </c>
      <c r="R626" s="1">
        <v>10934</v>
      </c>
      <c r="S626" s="1">
        <v>35</v>
      </c>
      <c r="T626" s="1">
        <v>3</v>
      </c>
      <c r="U626" s="1">
        <v>5</v>
      </c>
      <c r="V626" s="1">
        <v>2</v>
      </c>
      <c r="W626" s="1">
        <v>0</v>
      </c>
      <c r="X626" s="1">
        <v>4</v>
      </c>
    </row>
    <row r="627" spans="1:24">
      <c r="A627" s="1">
        <v>626</v>
      </c>
      <c r="B627" s="1" t="s">
        <v>33</v>
      </c>
      <c r="C627" s="1" t="s">
        <v>25</v>
      </c>
      <c r="D627" s="1" t="s">
        <v>35</v>
      </c>
      <c r="E627" s="1" t="s">
        <v>27</v>
      </c>
      <c r="F627" s="1" t="s">
        <v>56</v>
      </c>
      <c r="G627" s="1">
        <v>1</v>
      </c>
      <c r="H627" s="1" t="s">
        <v>37</v>
      </c>
      <c r="I627" s="1" t="s">
        <v>30</v>
      </c>
      <c r="J627" s="1" t="s">
        <v>48</v>
      </c>
      <c r="K627" s="1" t="s">
        <v>24</v>
      </c>
      <c r="L627" s="1">
        <v>45</v>
      </c>
      <c r="M627" s="1">
        <v>9</v>
      </c>
      <c r="N627" s="1" t="s">
        <v>47</v>
      </c>
      <c r="O627" s="1">
        <v>4</v>
      </c>
      <c r="P627" s="1">
        <v>3</v>
      </c>
      <c r="Q627" s="1">
        <v>1</v>
      </c>
      <c r="R627" s="1">
        <v>10761</v>
      </c>
      <c r="S627" s="1">
        <v>18</v>
      </c>
      <c r="T627" s="1">
        <v>3</v>
      </c>
      <c r="U627" s="1">
        <v>5</v>
      </c>
      <c r="V627" s="1">
        <v>4</v>
      </c>
      <c r="W627" s="1">
        <v>0</v>
      </c>
      <c r="X627" s="1">
        <v>2</v>
      </c>
    </row>
    <row r="628" spans="1:24">
      <c r="A628" s="1">
        <v>627</v>
      </c>
      <c r="B628" s="1" t="s">
        <v>33</v>
      </c>
      <c r="C628" s="1" t="s">
        <v>25</v>
      </c>
      <c r="D628" s="1" t="s">
        <v>43</v>
      </c>
      <c r="E628" s="1" t="s">
        <v>36</v>
      </c>
      <c r="F628" s="1" t="s">
        <v>45</v>
      </c>
      <c r="G628" s="1">
        <v>1</v>
      </c>
      <c r="H628" s="1" t="s">
        <v>29</v>
      </c>
      <c r="I628" s="1" t="s">
        <v>38</v>
      </c>
      <c r="J628" s="1" t="s">
        <v>39</v>
      </c>
      <c r="K628" s="1" t="s">
        <v>33</v>
      </c>
      <c r="L628" s="1">
        <v>32</v>
      </c>
      <c r="M628" s="1">
        <v>8</v>
      </c>
      <c r="N628" s="1" t="s">
        <v>32</v>
      </c>
      <c r="O628" s="1">
        <v>3</v>
      </c>
      <c r="P628" s="1">
        <v>2</v>
      </c>
      <c r="Q628" s="1">
        <v>3</v>
      </c>
      <c r="R628" s="1">
        <v>5175</v>
      </c>
      <c r="S628" s="1">
        <v>9</v>
      </c>
      <c r="T628" s="1">
        <v>2</v>
      </c>
      <c r="U628" s="1">
        <v>5</v>
      </c>
      <c r="V628" s="1">
        <v>3</v>
      </c>
      <c r="W628" s="1">
        <v>1</v>
      </c>
      <c r="X628" s="1">
        <v>3</v>
      </c>
    </row>
    <row r="629" spans="1:24">
      <c r="A629" s="1">
        <v>628</v>
      </c>
      <c r="B629" s="1" t="s">
        <v>33</v>
      </c>
      <c r="C629" s="1" t="s">
        <v>34</v>
      </c>
      <c r="D629" s="1" t="s">
        <v>35</v>
      </c>
      <c r="E629" s="1" t="s">
        <v>36</v>
      </c>
      <c r="F629" s="1" t="s">
        <v>45</v>
      </c>
      <c r="G629" s="1">
        <v>1</v>
      </c>
      <c r="H629" s="1" t="s">
        <v>29</v>
      </c>
      <c r="I629" s="1" t="s">
        <v>49</v>
      </c>
      <c r="J629" s="1" t="s">
        <v>39</v>
      </c>
      <c r="K629" s="1" t="s">
        <v>33</v>
      </c>
      <c r="L629" s="1">
        <v>52</v>
      </c>
      <c r="M629" s="1">
        <v>25</v>
      </c>
      <c r="N629" s="1" t="s">
        <v>44</v>
      </c>
      <c r="O629" s="1">
        <v>3</v>
      </c>
      <c r="P629" s="1">
        <v>4</v>
      </c>
      <c r="Q629" s="1">
        <v>4</v>
      </c>
      <c r="R629" s="1">
        <v>13826</v>
      </c>
      <c r="S629" s="1">
        <v>31</v>
      </c>
      <c r="T629" s="1">
        <v>3</v>
      </c>
      <c r="U629" s="1">
        <v>9</v>
      </c>
      <c r="V629" s="1">
        <v>8</v>
      </c>
      <c r="W629" s="1">
        <v>0</v>
      </c>
      <c r="X629" s="1">
        <v>0</v>
      </c>
    </row>
    <row r="630" spans="1:24">
      <c r="A630" s="1">
        <v>629</v>
      </c>
      <c r="B630" s="1" t="s">
        <v>33</v>
      </c>
      <c r="C630" s="1" t="s">
        <v>25</v>
      </c>
      <c r="D630" s="1" t="s">
        <v>26</v>
      </c>
      <c r="E630" s="1" t="s">
        <v>27</v>
      </c>
      <c r="F630" s="1" t="s">
        <v>56</v>
      </c>
      <c r="G630" s="1">
        <v>1</v>
      </c>
      <c r="H630" s="1" t="s">
        <v>37</v>
      </c>
      <c r="I630" s="1" t="s">
        <v>30</v>
      </c>
      <c r="J630" s="1" t="s">
        <v>48</v>
      </c>
      <c r="K630" s="1" t="s">
        <v>33</v>
      </c>
      <c r="L630" s="1">
        <v>37</v>
      </c>
      <c r="M630" s="1">
        <v>16</v>
      </c>
      <c r="N630" s="1" t="s">
        <v>44</v>
      </c>
      <c r="O630" s="1">
        <v>4</v>
      </c>
      <c r="P630" s="1">
        <v>2</v>
      </c>
      <c r="Q630" s="1">
        <v>3</v>
      </c>
      <c r="R630" s="1">
        <v>6334</v>
      </c>
      <c r="S630" s="1">
        <v>9</v>
      </c>
      <c r="T630" s="1">
        <v>3</v>
      </c>
      <c r="U630" s="1">
        <v>1</v>
      </c>
      <c r="V630" s="1">
        <v>0</v>
      </c>
      <c r="W630" s="1">
        <v>0</v>
      </c>
      <c r="X630" s="1">
        <v>0</v>
      </c>
    </row>
    <row r="631" spans="1:24">
      <c r="A631" s="1">
        <v>630</v>
      </c>
      <c r="B631" s="1" t="s">
        <v>33</v>
      </c>
      <c r="C631" s="1" t="s">
        <v>25</v>
      </c>
      <c r="D631" s="1" t="s">
        <v>43</v>
      </c>
      <c r="E631" s="1" t="s">
        <v>59</v>
      </c>
      <c r="F631" s="1" t="s">
        <v>45</v>
      </c>
      <c r="G631" s="1">
        <v>1</v>
      </c>
      <c r="H631" s="1" t="s">
        <v>37</v>
      </c>
      <c r="I631" s="1" t="s">
        <v>60</v>
      </c>
      <c r="J631" s="1" t="s">
        <v>48</v>
      </c>
      <c r="K631" s="1" t="s">
        <v>33</v>
      </c>
      <c r="L631" s="1">
        <v>28</v>
      </c>
      <c r="M631" s="1">
        <v>8</v>
      </c>
      <c r="N631" s="1" t="s">
        <v>32</v>
      </c>
      <c r="O631" s="1">
        <v>2</v>
      </c>
      <c r="P631" s="1">
        <v>1</v>
      </c>
      <c r="Q631" s="1">
        <v>4</v>
      </c>
      <c r="R631" s="1">
        <v>4936</v>
      </c>
      <c r="S631" s="1">
        <v>6</v>
      </c>
      <c r="T631" s="1">
        <v>3</v>
      </c>
      <c r="U631" s="1">
        <v>5</v>
      </c>
      <c r="V631" s="1">
        <v>1</v>
      </c>
      <c r="W631" s="1">
        <v>0</v>
      </c>
      <c r="X631" s="1">
        <v>4</v>
      </c>
    </row>
    <row r="632" spans="1:24">
      <c r="A632" s="1">
        <v>631</v>
      </c>
      <c r="B632" s="1" t="s">
        <v>33</v>
      </c>
      <c r="C632" s="1" t="s">
        <v>25</v>
      </c>
      <c r="D632" s="1" t="s">
        <v>52</v>
      </c>
      <c r="E632" s="1" t="s">
        <v>36</v>
      </c>
      <c r="F632" s="1" t="s">
        <v>28</v>
      </c>
      <c r="G632" s="1">
        <v>1</v>
      </c>
      <c r="H632" s="1" t="s">
        <v>37</v>
      </c>
      <c r="I632" s="1" t="s">
        <v>49</v>
      </c>
      <c r="J632" s="1" t="s">
        <v>39</v>
      </c>
      <c r="K632" s="1" t="s">
        <v>33</v>
      </c>
      <c r="L632" s="1">
        <v>22</v>
      </c>
      <c r="M632" s="1">
        <v>1</v>
      </c>
      <c r="N632" s="1" t="s">
        <v>32</v>
      </c>
      <c r="O632" s="1">
        <v>4</v>
      </c>
      <c r="P632" s="1">
        <v>2</v>
      </c>
      <c r="Q632" s="1">
        <v>4</v>
      </c>
      <c r="R632" s="1">
        <v>4775</v>
      </c>
      <c r="S632" s="1">
        <v>4</v>
      </c>
      <c r="T632" s="1">
        <v>1</v>
      </c>
      <c r="U632" s="1">
        <v>2</v>
      </c>
      <c r="V632" s="1">
        <v>2</v>
      </c>
      <c r="W632" s="1">
        <v>2</v>
      </c>
      <c r="X632" s="1">
        <v>2</v>
      </c>
    </row>
    <row r="633" spans="1:24">
      <c r="A633" s="1">
        <v>632</v>
      </c>
      <c r="B633" s="1" t="s">
        <v>33</v>
      </c>
      <c r="C633" s="1" t="s">
        <v>25</v>
      </c>
      <c r="D633" s="1" t="s">
        <v>26</v>
      </c>
      <c r="E633" s="1" t="s">
        <v>36</v>
      </c>
      <c r="F633" s="1" t="s">
        <v>28</v>
      </c>
      <c r="G633" s="1">
        <v>1</v>
      </c>
      <c r="H633" s="1" t="s">
        <v>37</v>
      </c>
      <c r="I633" s="1" t="s">
        <v>42</v>
      </c>
      <c r="J633" s="1" t="s">
        <v>39</v>
      </c>
      <c r="K633" s="1" t="s">
        <v>24</v>
      </c>
      <c r="L633" s="1">
        <v>44</v>
      </c>
      <c r="M633" s="1">
        <v>8</v>
      </c>
      <c r="N633" s="1" t="s">
        <v>44</v>
      </c>
      <c r="O633" s="1">
        <v>1</v>
      </c>
      <c r="P633" s="1">
        <v>1</v>
      </c>
      <c r="Q633" s="1">
        <v>4</v>
      </c>
      <c r="R633" s="1">
        <v>2818</v>
      </c>
      <c r="S633" s="1">
        <v>10</v>
      </c>
      <c r="T633" s="1">
        <v>2</v>
      </c>
      <c r="U633" s="1">
        <v>3</v>
      </c>
      <c r="V633" s="1">
        <v>2</v>
      </c>
      <c r="W633" s="1">
        <v>0</v>
      </c>
      <c r="X633" s="1">
        <v>2</v>
      </c>
    </row>
    <row r="634" spans="1:24">
      <c r="A634" s="1">
        <v>633</v>
      </c>
      <c r="B634" s="1" t="s">
        <v>33</v>
      </c>
      <c r="C634" s="1" t="s">
        <v>34</v>
      </c>
      <c r="D634" s="1" t="s">
        <v>26</v>
      </c>
      <c r="E634" s="1" t="s">
        <v>36</v>
      </c>
      <c r="F634" s="1" t="s">
        <v>45</v>
      </c>
      <c r="G634" s="1">
        <v>1</v>
      </c>
      <c r="H634" s="1" t="s">
        <v>37</v>
      </c>
      <c r="I634" s="1" t="s">
        <v>38</v>
      </c>
      <c r="J634" s="1" t="s">
        <v>31</v>
      </c>
      <c r="K634" s="1" t="s">
        <v>24</v>
      </c>
      <c r="L634" s="1">
        <v>42</v>
      </c>
      <c r="M634" s="1">
        <v>2</v>
      </c>
      <c r="N634" s="1" t="s">
        <v>40</v>
      </c>
      <c r="O634" s="1">
        <v>2</v>
      </c>
      <c r="P634" s="1">
        <v>1</v>
      </c>
      <c r="Q634" s="1">
        <v>4</v>
      </c>
      <c r="R634" s="1">
        <v>2515</v>
      </c>
      <c r="S634" s="1">
        <v>8</v>
      </c>
      <c r="T634" s="1">
        <v>3</v>
      </c>
      <c r="U634" s="1">
        <v>2</v>
      </c>
      <c r="V634" s="1">
        <v>1</v>
      </c>
      <c r="W634" s="1">
        <v>2</v>
      </c>
      <c r="X634" s="1">
        <v>2</v>
      </c>
    </row>
    <row r="635" spans="1:24">
      <c r="A635" s="1">
        <v>634</v>
      </c>
      <c r="B635" s="1" t="s">
        <v>33</v>
      </c>
      <c r="C635" s="1" t="s">
        <v>25</v>
      </c>
      <c r="D635" s="1" t="s">
        <v>26</v>
      </c>
      <c r="E635" s="1" t="s">
        <v>59</v>
      </c>
      <c r="F635" s="1" t="s">
        <v>28</v>
      </c>
      <c r="G635" s="1">
        <v>1</v>
      </c>
      <c r="H635" s="1" t="s">
        <v>37</v>
      </c>
      <c r="I635" s="1" t="s">
        <v>60</v>
      </c>
      <c r="J635" s="1" t="s">
        <v>39</v>
      </c>
      <c r="K635" s="1" t="s">
        <v>33</v>
      </c>
      <c r="L635" s="1">
        <v>36</v>
      </c>
      <c r="M635" s="1">
        <v>8</v>
      </c>
      <c r="N635" s="1" t="s">
        <v>47</v>
      </c>
      <c r="O635" s="1">
        <v>1</v>
      </c>
      <c r="P635" s="1">
        <v>1</v>
      </c>
      <c r="Q635" s="1">
        <v>1</v>
      </c>
      <c r="R635" s="1">
        <v>2342</v>
      </c>
      <c r="S635" s="1">
        <v>6</v>
      </c>
      <c r="T635" s="1">
        <v>3</v>
      </c>
      <c r="U635" s="1">
        <v>5</v>
      </c>
      <c r="V635" s="1">
        <v>4</v>
      </c>
      <c r="W635" s="1">
        <v>0</v>
      </c>
      <c r="X635" s="1">
        <v>3</v>
      </c>
    </row>
    <row r="636" spans="1:24">
      <c r="A636" s="1">
        <v>635</v>
      </c>
      <c r="B636" s="1" t="s">
        <v>33</v>
      </c>
      <c r="C636" s="1" t="s">
        <v>25</v>
      </c>
      <c r="D636" s="1" t="s">
        <v>43</v>
      </c>
      <c r="E636" s="1" t="s">
        <v>27</v>
      </c>
      <c r="F636" s="1" t="s">
        <v>41</v>
      </c>
      <c r="G636" s="1">
        <v>1</v>
      </c>
      <c r="H636" s="1" t="s">
        <v>37</v>
      </c>
      <c r="I636" s="1" t="s">
        <v>30</v>
      </c>
      <c r="J636" s="1" t="s">
        <v>39</v>
      </c>
      <c r="K636" s="1" t="s">
        <v>24</v>
      </c>
      <c r="L636" s="1">
        <v>25</v>
      </c>
      <c r="M636" s="1">
        <v>3</v>
      </c>
      <c r="N636" s="1" t="s">
        <v>40</v>
      </c>
      <c r="O636" s="1">
        <v>3</v>
      </c>
      <c r="P636" s="1">
        <v>2</v>
      </c>
      <c r="Q636" s="1">
        <v>1</v>
      </c>
      <c r="R636" s="1">
        <v>4194</v>
      </c>
      <c r="S636" s="1">
        <v>5</v>
      </c>
      <c r="T636" s="1">
        <v>3</v>
      </c>
      <c r="U636" s="1">
        <v>5</v>
      </c>
      <c r="V636" s="1">
        <v>3</v>
      </c>
      <c r="W636" s="1">
        <v>0</v>
      </c>
      <c r="X636" s="1">
        <v>3</v>
      </c>
    </row>
    <row r="637" spans="1:24">
      <c r="A637" s="1">
        <v>636</v>
      </c>
      <c r="B637" s="1" t="s">
        <v>33</v>
      </c>
      <c r="C637" s="1" t="s">
        <v>25</v>
      </c>
      <c r="D637" s="1" t="s">
        <v>26</v>
      </c>
      <c r="E637" s="1" t="s">
        <v>36</v>
      </c>
      <c r="F637" s="1" t="s">
        <v>28</v>
      </c>
      <c r="G637" s="1">
        <v>1</v>
      </c>
      <c r="H637" s="1" t="s">
        <v>29</v>
      </c>
      <c r="I637" s="1" t="s">
        <v>49</v>
      </c>
      <c r="J637" s="1" t="s">
        <v>39</v>
      </c>
      <c r="K637" s="1" t="s">
        <v>24</v>
      </c>
      <c r="L637" s="1">
        <v>35</v>
      </c>
      <c r="M637" s="1">
        <v>9</v>
      </c>
      <c r="N637" s="1" t="s">
        <v>47</v>
      </c>
      <c r="O637" s="1">
        <v>4</v>
      </c>
      <c r="P637" s="1">
        <v>3</v>
      </c>
      <c r="Q637" s="1">
        <v>3</v>
      </c>
      <c r="R637" s="1">
        <v>10685</v>
      </c>
      <c r="S637" s="1">
        <v>17</v>
      </c>
      <c r="T637" s="1">
        <v>3</v>
      </c>
      <c r="U637" s="1">
        <v>17</v>
      </c>
      <c r="V637" s="1">
        <v>14</v>
      </c>
      <c r="W637" s="1">
        <v>5</v>
      </c>
      <c r="X637" s="1">
        <v>15</v>
      </c>
    </row>
    <row r="638" spans="1:24">
      <c r="A638" s="1">
        <v>637</v>
      </c>
      <c r="B638" s="1" t="s">
        <v>24</v>
      </c>
      <c r="C638" s="1" t="s">
        <v>34</v>
      </c>
      <c r="D638" s="1" t="s">
        <v>26</v>
      </c>
      <c r="E638" s="1" t="s">
        <v>36</v>
      </c>
      <c r="F638" s="1" t="s">
        <v>28</v>
      </c>
      <c r="G638" s="1">
        <v>1</v>
      </c>
      <c r="H638" s="1" t="s">
        <v>29</v>
      </c>
      <c r="I638" s="1" t="s">
        <v>38</v>
      </c>
      <c r="J638" s="1" t="s">
        <v>48</v>
      </c>
      <c r="K638" s="1" t="s">
        <v>24</v>
      </c>
      <c r="L638" s="1">
        <v>35</v>
      </c>
      <c r="M638" s="1">
        <v>25</v>
      </c>
      <c r="N638" s="1" t="s">
        <v>44</v>
      </c>
      <c r="O638" s="1">
        <v>4</v>
      </c>
      <c r="P638" s="1">
        <v>1</v>
      </c>
      <c r="Q638" s="1">
        <v>2</v>
      </c>
      <c r="R638" s="1">
        <v>2022</v>
      </c>
      <c r="S638" s="1">
        <v>10</v>
      </c>
      <c r="T638" s="1">
        <v>2</v>
      </c>
      <c r="U638" s="1">
        <v>10</v>
      </c>
      <c r="V638" s="1">
        <v>2</v>
      </c>
      <c r="W638" s="1">
        <v>7</v>
      </c>
      <c r="X638" s="1">
        <v>8</v>
      </c>
    </row>
    <row r="639" spans="1:24">
      <c r="A639" s="1">
        <v>638</v>
      </c>
      <c r="B639" s="1" t="s">
        <v>33</v>
      </c>
      <c r="C639" s="1" t="s">
        <v>51</v>
      </c>
      <c r="D639" s="1" t="s">
        <v>43</v>
      </c>
      <c r="E639" s="1" t="s">
        <v>36</v>
      </c>
      <c r="F639" s="1" t="s">
        <v>28</v>
      </c>
      <c r="G639" s="1">
        <v>1</v>
      </c>
      <c r="H639" s="1" t="s">
        <v>37</v>
      </c>
      <c r="I639" s="1" t="s">
        <v>42</v>
      </c>
      <c r="J639" s="1" t="s">
        <v>48</v>
      </c>
      <c r="K639" s="1" t="s">
        <v>33</v>
      </c>
      <c r="L639" s="1">
        <v>32</v>
      </c>
      <c r="M639" s="1">
        <v>1</v>
      </c>
      <c r="N639" s="1" t="s">
        <v>47</v>
      </c>
      <c r="O639" s="1">
        <v>4</v>
      </c>
      <c r="P639" s="1">
        <v>1</v>
      </c>
      <c r="Q639" s="1">
        <v>4</v>
      </c>
      <c r="R639" s="1">
        <v>2314</v>
      </c>
      <c r="S639" s="1">
        <v>4</v>
      </c>
      <c r="T639" s="1">
        <v>3</v>
      </c>
      <c r="U639" s="1">
        <v>3</v>
      </c>
      <c r="V639" s="1">
        <v>0</v>
      </c>
      <c r="W639" s="1">
        <v>0</v>
      </c>
      <c r="X639" s="1">
        <v>2</v>
      </c>
    </row>
    <row r="640" spans="1:24">
      <c r="A640" s="1">
        <v>639</v>
      </c>
      <c r="B640" s="1" t="s">
        <v>33</v>
      </c>
      <c r="C640" s="1" t="s">
        <v>25</v>
      </c>
      <c r="D640" s="1" t="s">
        <v>43</v>
      </c>
      <c r="E640" s="1" t="s">
        <v>27</v>
      </c>
      <c r="F640" s="1" t="s">
        <v>56</v>
      </c>
      <c r="G640" s="1">
        <v>1</v>
      </c>
      <c r="H640" s="1" t="s">
        <v>37</v>
      </c>
      <c r="I640" s="1" t="s">
        <v>30</v>
      </c>
      <c r="J640" s="1" t="s">
        <v>39</v>
      </c>
      <c r="K640" s="1" t="s">
        <v>33</v>
      </c>
      <c r="L640" s="1">
        <v>25</v>
      </c>
      <c r="M640" s="1">
        <v>4</v>
      </c>
      <c r="N640" s="1" t="s">
        <v>40</v>
      </c>
      <c r="O640" s="1">
        <v>3</v>
      </c>
      <c r="P640" s="1">
        <v>2</v>
      </c>
      <c r="Q640" s="1">
        <v>1</v>
      </c>
      <c r="R640" s="1">
        <v>4256</v>
      </c>
      <c r="S640" s="1">
        <v>5</v>
      </c>
      <c r="T640" s="1">
        <v>4</v>
      </c>
      <c r="U640" s="1">
        <v>5</v>
      </c>
      <c r="V640" s="1">
        <v>2</v>
      </c>
      <c r="W640" s="1">
        <v>0</v>
      </c>
      <c r="X640" s="1">
        <v>3</v>
      </c>
    </row>
    <row r="641" spans="1:24">
      <c r="A641" s="1">
        <v>640</v>
      </c>
      <c r="B641" s="1" t="s">
        <v>33</v>
      </c>
      <c r="C641" s="1" t="s">
        <v>25</v>
      </c>
      <c r="D641" s="1" t="s">
        <v>35</v>
      </c>
      <c r="E641" s="1" t="s">
        <v>36</v>
      </c>
      <c r="F641" s="1" t="s">
        <v>57</v>
      </c>
      <c r="G641" s="1">
        <v>1</v>
      </c>
      <c r="H641" s="1" t="s">
        <v>29</v>
      </c>
      <c r="I641" s="1" t="s">
        <v>38</v>
      </c>
      <c r="J641" s="1" t="s">
        <v>39</v>
      </c>
      <c r="K641" s="1" t="s">
        <v>33</v>
      </c>
      <c r="L641" s="1">
        <v>49</v>
      </c>
      <c r="M641" s="1">
        <v>1</v>
      </c>
      <c r="N641" s="1" t="s">
        <v>47</v>
      </c>
      <c r="O641" s="1">
        <v>3</v>
      </c>
      <c r="P641" s="1">
        <v>1</v>
      </c>
      <c r="Q641" s="1">
        <v>1</v>
      </c>
      <c r="R641" s="1">
        <v>3580</v>
      </c>
      <c r="S641" s="1">
        <v>7</v>
      </c>
      <c r="T641" s="1">
        <v>3</v>
      </c>
      <c r="U641" s="1">
        <v>4</v>
      </c>
      <c r="V641" s="1">
        <v>2</v>
      </c>
      <c r="W641" s="1">
        <v>0</v>
      </c>
      <c r="X641" s="1">
        <v>2</v>
      </c>
    </row>
    <row r="642" spans="1:24">
      <c r="A642" s="1">
        <v>641</v>
      </c>
      <c r="B642" s="1" t="s">
        <v>33</v>
      </c>
      <c r="C642" s="1" t="s">
        <v>51</v>
      </c>
      <c r="D642" s="1" t="s">
        <v>52</v>
      </c>
      <c r="E642" s="1" t="s">
        <v>36</v>
      </c>
      <c r="F642" s="1" t="s">
        <v>28</v>
      </c>
      <c r="G642" s="1">
        <v>1</v>
      </c>
      <c r="H642" s="1" t="s">
        <v>37</v>
      </c>
      <c r="I642" s="1" t="s">
        <v>42</v>
      </c>
      <c r="J642" s="1" t="s">
        <v>39</v>
      </c>
      <c r="K642" s="1" t="s">
        <v>33</v>
      </c>
      <c r="L642" s="1">
        <v>24</v>
      </c>
      <c r="M642" s="1">
        <v>4</v>
      </c>
      <c r="N642" s="1" t="s">
        <v>40</v>
      </c>
      <c r="O642" s="1">
        <v>1</v>
      </c>
      <c r="P642" s="1">
        <v>1</v>
      </c>
      <c r="Q642" s="1">
        <v>4</v>
      </c>
      <c r="R642" s="1">
        <v>3162</v>
      </c>
      <c r="S642" s="1">
        <v>6</v>
      </c>
      <c r="T642" s="1">
        <v>2</v>
      </c>
      <c r="U642" s="1">
        <v>5</v>
      </c>
      <c r="V642" s="1">
        <v>2</v>
      </c>
      <c r="W642" s="1">
        <v>3</v>
      </c>
      <c r="X642" s="1">
        <v>4</v>
      </c>
    </row>
    <row r="643" spans="1:24">
      <c r="A643" s="1">
        <v>642</v>
      </c>
      <c r="B643" s="1" t="s">
        <v>33</v>
      </c>
      <c r="C643" s="1" t="s">
        <v>34</v>
      </c>
      <c r="D643" s="1" t="s">
        <v>43</v>
      </c>
      <c r="E643" s="1" t="s">
        <v>27</v>
      </c>
      <c r="F643" s="1" t="s">
        <v>28</v>
      </c>
      <c r="G643" s="1">
        <v>1</v>
      </c>
      <c r="H643" s="1" t="s">
        <v>37</v>
      </c>
      <c r="I643" s="1" t="s">
        <v>30</v>
      </c>
      <c r="J643" s="1" t="s">
        <v>39</v>
      </c>
      <c r="K643" s="1" t="s">
        <v>33</v>
      </c>
      <c r="L643" s="1">
        <v>32</v>
      </c>
      <c r="M643" s="1">
        <v>5</v>
      </c>
      <c r="N643" s="1" t="s">
        <v>32</v>
      </c>
      <c r="O643" s="1">
        <v>2</v>
      </c>
      <c r="P643" s="1">
        <v>2</v>
      </c>
      <c r="Q643" s="1">
        <v>2</v>
      </c>
      <c r="R643" s="1">
        <v>6524</v>
      </c>
      <c r="S643" s="1">
        <v>10</v>
      </c>
      <c r="T643" s="1">
        <v>3</v>
      </c>
      <c r="U643" s="1">
        <v>10</v>
      </c>
      <c r="V643" s="1">
        <v>8</v>
      </c>
      <c r="W643" s="1">
        <v>5</v>
      </c>
      <c r="X643" s="1">
        <v>3</v>
      </c>
    </row>
    <row r="644" spans="1:24">
      <c r="A644" s="1">
        <v>643</v>
      </c>
      <c r="B644" s="1" t="s">
        <v>33</v>
      </c>
      <c r="C644" s="1" t="s">
        <v>25</v>
      </c>
      <c r="D644" s="1" t="s">
        <v>26</v>
      </c>
      <c r="E644" s="1" t="s">
        <v>27</v>
      </c>
      <c r="F644" s="1" t="s">
        <v>56</v>
      </c>
      <c r="G644" s="1">
        <v>1</v>
      </c>
      <c r="H644" s="1" t="s">
        <v>37</v>
      </c>
      <c r="I644" s="1" t="s">
        <v>54</v>
      </c>
      <c r="J644" s="1" t="s">
        <v>39</v>
      </c>
      <c r="K644" s="1" t="s">
        <v>33</v>
      </c>
      <c r="L644" s="1">
        <v>38</v>
      </c>
      <c r="M644" s="1">
        <v>9</v>
      </c>
      <c r="N644" s="1" t="s">
        <v>47</v>
      </c>
      <c r="O644" s="1">
        <v>2</v>
      </c>
      <c r="P644" s="1">
        <v>1</v>
      </c>
      <c r="Q644" s="1">
        <v>2</v>
      </c>
      <c r="R644" s="1">
        <v>2899</v>
      </c>
      <c r="S644" s="1">
        <v>3</v>
      </c>
      <c r="T644" s="1">
        <v>3</v>
      </c>
      <c r="U644" s="1">
        <v>2</v>
      </c>
      <c r="V644" s="1">
        <v>2</v>
      </c>
      <c r="W644" s="1">
        <v>1</v>
      </c>
      <c r="X644" s="1">
        <v>2</v>
      </c>
    </row>
    <row r="645" spans="1:24">
      <c r="A645" s="1">
        <v>644</v>
      </c>
      <c r="B645" s="1" t="s">
        <v>33</v>
      </c>
      <c r="C645" s="1" t="s">
        <v>25</v>
      </c>
      <c r="D645" s="1" t="s">
        <v>26</v>
      </c>
      <c r="E645" s="1" t="s">
        <v>36</v>
      </c>
      <c r="F645" s="1" t="s">
        <v>28</v>
      </c>
      <c r="G645" s="1">
        <v>1</v>
      </c>
      <c r="H645" s="1" t="s">
        <v>29</v>
      </c>
      <c r="I645" s="1" t="s">
        <v>42</v>
      </c>
      <c r="J645" s="1" t="s">
        <v>39</v>
      </c>
      <c r="K645" s="1" t="s">
        <v>24</v>
      </c>
      <c r="L645" s="1">
        <v>42</v>
      </c>
      <c r="M645" s="1">
        <v>3</v>
      </c>
      <c r="N645" s="1" t="s">
        <v>47</v>
      </c>
      <c r="O645" s="1">
        <v>3</v>
      </c>
      <c r="P645" s="1">
        <v>2</v>
      </c>
      <c r="Q645" s="1">
        <v>4</v>
      </c>
      <c r="R645" s="1">
        <v>5231</v>
      </c>
      <c r="S645" s="1">
        <v>17</v>
      </c>
      <c r="T645" s="1">
        <v>2</v>
      </c>
      <c r="U645" s="1">
        <v>5</v>
      </c>
      <c r="V645" s="1">
        <v>3</v>
      </c>
      <c r="W645" s="1">
        <v>1</v>
      </c>
      <c r="X645" s="1">
        <v>3</v>
      </c>
    </row>
    <row r="646" spans="1:24">
      <c r="A646" s="1">
        <v>645</v>
      </c>
      <c r="B646" s="1" t="s">
        <v>33</v>
      </c>
      <c r="C646" s="1" t="s">
        <v>25</v>
      </c>
      <c r="D646" s="1" t="s">
        <v>43</v>
      </c>
      <c r="E646" s="1" t="s">
        <v>36</v>
      </c>
      <c r="F646" s="1" t="s">
        <v>28</v>
      </c>
      <c r="G646" s="1">
        <v>1</v>
      </c>
      <c r="H646" s="1" t="s">
        <v>37</v>
      </c>
      <c r="I646" s="1" t="s">
        <v>38</v>
      </c>
      <c r="J646" s="1" t="s">
        <v>39</v>
      </c>
      <c r="K646" s="1" t="s">
        <v>24</v>
      </c>
      <c r="L646" s="1">
        <v>31</v>
      </c>
      <c r="M646" s="1">
        <v>11</v>
      </c>
      <c r="N646" s="1" t="s">
        <v>44</v>
      </c>
      <c r="O646" s="1">
        <v>4</v>
      </c>
      <c r="P646" s="1">
        <v>1</v>
      </c>
      <c r="Q646" s="1">
        <v>4</v>
      </c>
      <c r="R646" s="1">
        <v>2356</v>
      </c>
      <c r="S646" s="1">
        <v>8</v>
      </c>
      <c r="T646" s="1">
        <v>3</v>
      </c>
      <c r="U646" s="1">
        <v>6</v>
      </c>
      <c r="V646" s="1">
        <v>4</v>
      </c>
      <c r="W646" s="1">
        <v>0</v>
      </c>
      <c r="X646" s="1">
        <v>2</v>
      </c>
    </row>
    <row r="647" spans="1:24">
      <c r="A647" s="1">
        <v>646</v>
      </c>
      <c r="B647" s="1" t="s">
        <v>24</v>
      </c>
      <c r="C647" s="1" t="s">
        <v>25</v>
      </c>
      <c r="D647" s="1" t="s">
        <v>43</v>
      </c>
      <c r="E647" s="1" t="s">
        <v>27</v>
      </c>
      <c r="F647" s="1" t="s">
        <v>45</v>
      </c>
      <c r="G647" s="1">
        <v>1</v>
      </c>
      <c r="H647" s="1" t="s">
        <v>29</v>
      </c>
      <c r="I647" s="1" t="s">
        <v>54</v>
      </c>
      <c r="J647" s="1" t="s">
        <v>48</v>
      </c>
      <c r="K647" s="1" t="s">
        <v>24</v>
      </c>
      <c r="L647" s="1">
        <v>29</v>
      </c>
      <c r="M647" s="1">
        <v>1</v>
      </c>
      <c r="N647" s="1" t="s">
        <v>47</v>
      </c>
      <c r="O647" s="1">
        <v>2</v>
      </c>
      <c r="P647" s="1">
        <v>1</v>
      </c>
      <c r="Q647" s="1">
        <v>3</v>
      </c>
      <c r="R647" s="1">
        <v>2800</v>
      </c>
      <c r="S647" s="1">
        <v>5</v>
      </c>
      <c r="T647" s="1">
        <v>3</v>
      </c>
      <c r="U647" s="1">
        <v>3</v>
      </c>
      <c r="V647" s="1">
        <v>2</v>
      </c>
      <c r="W647" s="1">
        <v>0</v>
      </c>
      <c r="X647" s="1">
        <v>2</v>
      </c>
    </row>
    <row r="648" spans="1:24">
      <c r="A648" s="1">
        <v>647</v>
      </c>
      <c r="B648" s="1" t="s">
        <v>33</v>
      </c>
      <c r="C648" s="1" t="s">
        <v>25</v>
      </c>
      <c r="D648" s="1" t="s">
        <v>35</v>
      </c>
      <c r="E648" s="1" t="s">
        <v>27</v>
      </c>
      <c r="F648" s="1" t="s">
        <v>56</v>
      </c>
      <c r="G648" s="1">
        <v>1</v>
      </c>
      <c r="H648" s="1" t="s">
        <v>37</v>
      </c>
      <c r="I648" s="1" t="s">
        <v>30</v>
      </c>
      <c r="J648" s="1" t="s">
        <v>39</v>
      </c>
      <c r="K648" s="1" t="s">
        <v>33</v>
      </c>
      <c r="L648" s="1">
        <v>53</v>
      </c>
      <c r="M648" s="1">
        <v>8</v>
      </c>
      <c r="N648" s="1" t="s">
        <v>47</v>
      </c>
      <c r="O648" s="1">
        <v>1</v>
      </c>
      <c r="P648" s="1">
        <v>4</v>
      </c>
      <c r="Q648" s="1">
        <v>4</v>
      </c>
      <c r="R648" s="1">
        <v>11836</v>
      </c>
      <c r="S648" s="1">
        <v>28</v>
      </c>
      <c r="T648" s="1">
        <v>3</v>
      </c>
      <c r="U648" s="1">
        <v>2</v>
      </c>
      <c r="V648" s="1">
        <v>0</v>
      </c>
      <c r="W648" s="1">
        <v>2</v>
      </c>
      <c r="X648" s="1">
        <v>2</v>
      </c>
    </row>
    <row r="649" spans="1:24">
      <c r="A649" s="1">
        <v>648</v>
      </c>
      <c r="B649" s="1" t="s">
        <v>33</v>
      </c>
      <c r="C649" s="1" t="s">
        <v>25</v>
      </c>
      <c r="D649" s="1" t="s">
        <v>26</v>
      </c>
      <c r="E649" s="1" t="s">
        <v>36</v>
      </c>
      <c r="F649" s="1" t="s">
        <v>57</v>
      </c>
      <c r="G649" s="1">
        <v>1</v>
      </c>
      <c r="H649" s="1" t="s">
        <v>37</v>
      </c>
      <c r="I649" s="1" t="s">
        <v>49</v>
      </c>
      <c r="J649" s="1" t="s">
        <v>39</v>
      </c>
      <c r="K649" s="1" t="s">
        <v>33</v>
      </c>
      <c r="L649" s="1">
        <v>35</v>
      </c>
      <c r="M649" s="1">
        <v>25</v>
      </c>
      <c r="N649" s="1" t="s">
        <v>47</v>
      </c>
      <c r="O649" s="1">
        <v>4</v>
      </c>
      <c r="P649" s="1">
        <v>3</v>
      </c>
      <c r="Q649" s="1">
        <v>2</v>
      </c>
      <c r="R649" s="1">
        <v>10903</v>
      </c>
      <c r="S649" s="1">
        <v>16</v>
      </c>
      <c r="T649" s="1">
        <v>3</v>
      </c>
      <c r="U649" s="1">
        <v>13</v>
      </c>
      <c r="V649" s="1">
        <v>10</v>
      </c>
      <c r="W649" s="1">
        <v>4</v>
      </c>
      <c r="X649" s="1">
        <v>8</v>
      </c>
    </row>
    <row r="650" spans="1:24">
      <c r="A650" s="1">
        <v>649</v>
      </c>
      <c r="B650" s="1" t="s">
        <v>33</v>
      </c>
      <c r="C650" s="1" t="s">
        <v>34</v>
      </c>
      <c r="D650" s="1" t="s">
        <v>26</v>
      </c>
      <c r="E650" s="1" t="s">
        <v>27</v>
      </c>
      <c r="F650" s="1" t="s">
        <v>45</v>
      </c>
      <c r="G650" s="1">
        <v>1</v>
      </c>
      <c r="H650" s="1" t="s">
        <v>29</v>
      </c>
      <c r="I650" s="1" t="s">
        <v>54</v>
      </c>
      <c r="J650" s="1" t="s">
        <v>39</v>
      </c>
      <c r="K650" s="1" t="s">
        <v>33</v>
      </c>
      <c r="L650" s="1">
        <v>37</v>
      </c>
      <c r="M650" s="1">
        <v>21</v>
      </c>
      <c r="N650" s="1" t="s">
        <v>32</v>
      </c>
      <c r="O650" s="1">
        <v>3</v>
      </c>
      <c r="P650" s="1">
        <v>1</v>
      </c>
      <c r="Q650" s="1">
        <v>4</v>
      </c>
      <c r="R650" s="1">
        <v>2973</v>
      </c>
      <c r="S650" s="1">
        <v>10</v>
      </c>
      <c r="T650" s="1">
        <v>3</v>
      </c>
      <c r="U650" s="1">
        <v>5</v>
      </c>
      <c r="V650" s="1">
        <v>4</v>
      </c>
      <c r="W650" s="1">
        <v>0</v>
      </c>
      <c r="X650" s="1">
        <v>0</v>
      </c>
    </row>
    <row r="651" spans="1:24">
      <c r="A651" s="1">
        <v>650</v>
      </c>
      <c r="B651" s="1" t="s">
        <v>33</v>
      </c>
      <c r="C651" s="1" t="s">
        <v>25</v>
      </c>
      <c r="D651" s="1" t="s">
        <v>35</v>
      </c>
      <c r="E651" s="1" t="s">
        <v>36</v>
      </c>
      <c r="F651" s="1" t="s">
        <v>28</v>
      </c>
      <c r="G651" s="1">
        <v>1</v>
      </c>
      <c r="H651" s="1" t="s">
        <v>29</v>
      </c>
      <c r="I651" s="1" t="s">
        <v>55</v>
      </c>
      <c r="J651" s="1" t="s">
        <v>31</v>
      </c>
      <c r="K651" s="1" t="s">
        <v>33</v>
      </c>
      <c r="L651" s="1">
        <v>53</v>
      </c>
      <c r="M651" s="1">
        <v>23</v>
      </c>
      <c r="N651" s="1" t="s">
        <v>44</v>
      </c>
      <c r="O651" s="1">
        <v>4</v>
      </c>
      <c r="P651" s="1">
        <v>4</v>
      </c>
      <c r="Q651" s="1">
        <v>4</v>
      </c>
      <c r="R651" s="1">
        <v>14275</v>
      </c>
      <c r="S651" s="1">
        <v>33</v>
      </c>
      <c r="T651" s="1">
        <v>3</v>
      </c>
      <c r="U651" s="1">
        <v>12</v>
      </c>
      <c r="V651" s="1">
        <v>9</v>
      </c>
      <c r="W651" s="1">
        <v>3</v>
      </c>
      <c r="X651" s="1">
        <v>8</v>
      </c>
    </row>
    <row r="652" spans="1:24">
      <c r="A652" s="1">
        <v>651</v>
      </c>
      <c r="B652" s="1" t="s">
        <v>33</v>
      </c>
      <c r="C652" s="1" t="s">
        <v>34</v>
      </c>
      <c r="D652" s="1" t="s">
        <v>26</v>
      </c>
      <c r="E652" s="1" t="s">
        <v>36</v>
      </c>
      <c r="F652" s="1" t="s">
        <v>28</v>
      </c>
      <c r="G652" s="1">
        <v>1</v>
      </c>
      <c r="H652" s="1" t="s">
        <v>29</v>
      </c>
      <c r="I652" s="1" t="s">
        <v>50</v>
      </c>
      <c r="J652" s="1" t="s">
        <v>39</v>
      </c>
      <c r="K652" s="1" t="s">
        <v>33</v>
      </c>
      <c r="L652" s="1">
        <v>43</v>
      </c>
      <c r="M652" s="1">
        <v>1</v>
      </c>
      <c r="N652" s="1" t="s">
        <v>47</v>
      </c>
      <c r="O652" s="1">
        <v>4</v>
      </c>
      <c r="P652" s="1">
        <v>2</v>
      </c>
      <c r="Q652" s="1">
        <v>4</v>
      </c>
      <c r="R652" s="1">
        <v>5562</v>
      </c>
      <c r="S652" s="1">
        <v>12</v>
      </c>
      <c r="T652" s="1">
        <v>2</v>
      </c>
      <c r="U652" s="1">
        <v>5</v>
      </c>
      <c r="V652" s="1">
        <v>2</v>
      </c>
      <c r="W652" s="1">
        <v>2</v>
      </c>
      <c r="X652" s="1">
        <v>2</v>
      </c>
    </row>
    <row r="653" spans="1:24">
      <c r="A653" s="1">
        <v>652</v>
      </c>
      <c r="B653" s="1" t="s">
        <v>33</v>
      </c>
      <c r="C653" s="1" t="s">
        <v>25</v>
      </c>
      <c r="D653" s="1" t="s">
        <v>35</v>
      </c>
      <c r="E653" s="1" t="s">
        <v>27</v>
      </c>
      <c r="F653" s="1" t="s">
        <v>56</v>
      </c>
      <c r="G653" s="1">
        <v>1</v>
      </c>
      <c r="H653" s="1" t="s">
        <v>29</v>
      </c>
      <c r="I653" s="1" t="s">
        <v>30</v>
      </c>
      <c r="J653" s="1" t="s">
        <v>39</v>
      </c>
      <c r="K653" s="1" t="s">
        <v>24</v>
      </c>
      <c r="L653" s="1">
        <v>47</v>
      </c>
      <c r="M653" s="1">
        <v>2</v>
      </c>
      <c r="N653" s="1" t="s">
        <v>32</v>
      </c>
      <c r="O653" s="1">
        <v>3</v>
      </c>
      <c r="P653" s="1">
        <v>2</v>
      </c>
      <c r="Q653" s="1">
        <v>4</v>
      </c>
      <c r="R653" s="1">
        <v>4537</v>
      </c>
      <c r="S653" s="1">
        <v>8</v>
      </c>
      <c r="T653" s="1">
        <v>3</v>
      </c>
      <c r="U653" s="1">
        <v>7</v>
      </c>
      <c r="V653" s="1">
        <v>6</v>
      </c>
      <c r="W653" s="1">
        <v>7</v>
      </c>
      <c r="X653" s="1">
        <v>7</v>
      </c>
    </row>
    <row r="654" spans="1:24">
      <c r="A654" s="1">
        <v>653</v>
      </c>
      <c r="B654" s="1" t="s">
        <v>33</v>
      </c>
      <c r="C654" s="1" t="s">
        <v>51</v>
      </c>
      <c r="D654" s="1" t="s">
        <v>26</v>
      </c>
      <c r="E654" s="1" t="s">
        <v>27</v>
      </c>
      <c r="F654" s="1" t="s">
        <v>45</v>
      </c>
      <c r="G654" s="1">
        <v>1</v>
      </c>
      <c r="H654" s="1" t="s">
        <v>37</v>
      </c>
      <c r="I654" s="1" t="s">
        <v>30</v>
      </c>
      <c r="J654" s="1" t="s">
        <v>31</v>
      </c>
      <c r="K654" s="1" t="s">
        <v>24</v>
      </c>
      <c r="L654" s="1">
        <v>37</v>
      </c>
      <c r="M654" s="1">
        <v>19</v>
      </c>
      <c r="N654" s="1" t="s">
        <v>32</v>
      </c>
      <c r="O654" s="1">
        <v>1</v>
      </c>
      <c r="P654" s="1">
        <v>3</v>
      </c>
      <c r="Q654" s="1">
        <v>2</v>
      </c>
      <c r="R654" s="1">
        <v>7642</v>
      </c>
      <c r="S654" s="1">
        <v>10</v>
      </c>
      <c r="T654" s="1">
        <v>3</v>
      </c>
      <c r="U654" s="1">
        <v>10</v>
      </c>
      <c r="V654" s="1">
        <v>0</v>
      </c>
      <c r="W654" s="1">
        <v>0</v>
      </c>
      <c r="X654" s="1">
        <v>9</v>
      </c>
    </row>
    <row r="655" spans="1:24">
      <c r="A655" s="1">
        <v>654</v>
      </c>
      <c r="B655" s="1" t="s">
        <v>33</v>
      </c>
      <c r="C655" s="1" t="s">
        <v>51</v>
      </c>
      <c r="D655" s="1" t="s">
        <v>35</v>
      </c>
      <c r="E655" s="1" t="s">
        <v>36</v>
      </c>
      <c r="F655" s="1" t="s">
        <v>28</v>
      </c>
      <c r="G655" s="1">
        <v>1</v>
      </c>
      <c r="H655" s="1" t="s">
        <v>37</v>
      </c>
      <c r="I655" s="1" t="s">
        <v>53</v>
      </c>
      <c r="J655" s="1" t="s">
        <v>48</v>
      </c>
      <c r="K655" s="1" t="s">
        <v>33</v>
      </c>
      <c r="L655" s="1">
        <v>50</v>
      </c>
      <c r="M655" s="1">
        <v>2</v>
      </c>
      <c r="N655" s="1" t="s">
        <v>44</v>
      </c>
      <c r="O655" s="1">
        <v>1</v>
      </c>
      <c r="P655" s="1">
        <v>4</v>
      </c>
      <c r="Q655" s="1">
        <v>1</v>
      </c>
      <c r="R655" s="1">
        <v>17924</v>
      </c>
      <c r="S655" s="1">
        <v>31</v>
      </c>
      <c r="T655" s="1">
        <v>3</v>
      </c>
      <c r="U655" s="1">
        <v>31</v>
      </c>
      <c r="V655" s="1">
        <v>6</v>
      </c>
      <c r="W655" s="1">
        <v>14</v>
      </c>
      <c r="X655" s="1">
        <v>7</v>
      </c>
    </row>
    <row r="656" spans="1:24">
      <c r="A656" s="1">
        <v>655</v>
      </c>
      <c r="B656" s="1" t="s">
        <v>33</v>
      </c>
      <c r="C656" s="1" t="s">
        <v>25</v>
      </c>
      <c r="D656" s="1" t="s">
        <v>26</v>
      </c>
      <c r="E656" s="1" t="s">
        <v>59</v>
      </c>
      <c r="F656" s="1" t="s">
        <v>28</v>
      </c>
      <c r="G656" s="1">
        <v>1</v>
      </c>
      <c r="H656" s="1" t="s">
        <v>29</v>
      </c>
      <c r="I656" s="1" t="s">
        <v>60</v>
      </c>
      <c r="J656" s="1" t="s">
        <v>39</v>
      </c>
      <c r="K656" s="1" t="s">
        <v>33</v>
      </c>
      <c r="L656" s="1">
        <v>39</v>
      </c>
      <c r="M656" s="1">
        <v>2</v>
      </c>
      <c r="N656" s="1" t="s">
        <v>47</v>
      </c>
      <c r="O656" s="1">
        <v>4</v>
      </c>
      <c r="P656" s="1">
        <v>2</v>
      </c>
      <c r="Q656" s="1">
        <v>4</v>
      </c>
      <c r="R656" s="1">
        <v>5204</v>
      </c>
      <c r="S656" s="1">
        <v>13</v>
      </c>
      <c r="T656" s="1">
        <v>3</v>
      </c>
      <c r="U656" s="1">
        <v>5</v>
      </c>
      <c r="V656" s="1">
        <v>4</v>
      </c>
      <c r="W656" s="1">
        <v>0</v>
      </c>
      <c r="X656" s="1">
        <v>4</v>
      </c>
    </row>
    <row r="657" spans="1:24">
      <c r="A657" s="1">
        <v>656</v>
      </c>
      <c r="B657" s="1" t="s">
        <v>33</v>
      </c>
      <c r="C657" s="1" t="s">
        <v>25</v>
      </c>
      <c r="D657" s="1" t="s">
        <v>43</v>
      </c>
      <c r="E657" s="1" t="s">
        <v>59</v>
      </c>
      <c r="F657" s="1" t="s">
        <v>60</v>
      </c>
      <c r="G657" s="1">
        <v>1</v>
      </c>
      <c r="H657" s="1" t="s">
        <v>37</v>
      </c>
      <c r="I657" s="1" t="s">
        <v>60</v>
      </c>
      <c r="J657" s="1" t="s">
        <v>48</v>
      </c>
      <c r="K657" s="1" t="s">
        <v>24</v>
      </c>
      <c r="L657" s="1">
        <v>33</v>
      </c>
      <c r="M657" s="1">
        <v>3</v>
      </c>
      <c r="N657" s="1" t="s">
        <v>32</v>
      </c>
      <c r="O657" s="1">
        <v>4</v>
      </c>
      <c r="P657" s="1">
        <v>1</v>
      </c>
      <c r="Q657" s="1">
        <v>2</v>
      </c>
      <c r="R657" s="1">
        <v>2277</v>
      </c>
      <c r="S657" s="1">
        <v>7</v>
      </c>
      <c r="T657" s="1">
        <v>4</v>
      </c>
      <c r="U657" s="1">
        <v>4</v>
      </c>
      <c r="V657" s="1">
        <v>3</v>
      </c>
      <c r="W657" s="1">
        <v>0</v>
      </c>
      <c r="X657" s="1">
        <v>3</v>
      </c>
    </row>
    <row r="658" spans="1:24">
      <c r="A658" s="1">
        <v>657</v>
      </c>
      <c r="B658" s="1" t="s">
        <v>24</v>
      </c>
      <c r="C658" s="1" t="s">
        <v>25</v>
      </c>
      <c r="D658" s="1" t="s">
        <v>43</v>
      </c>
      <c r="E658" s="1" t="s">
        <v>36</v>
      </c>
      <c r="F658" s="1" t="s">
        <v>28</v>
      </c>
      <c r="G658" s="1">
        <v>1</v>
      </c>
      <c r="H658" s="1" t="s">
        <v>37</v>
      </c>
      <c r="I658" s="1" t="s">
        <v>42</v>
      </c>
      <c r="J658" s="1" t="s">
        <v>31</v>
      </c>
      <c r="K658" s="1" t="s">
        <v>24</v>
      </c>
      <c r="L658" s="1">
        <v>32</v>
      </c>
      <c r="M658" s="1">
        <v>25</v>
      </c>
      <c r="N658" s="1" t="s">
        <v>44</v>
      </c>
      <c r="O658" s="1">
        <v>1</v>
      </c>
      <c r="P658" s="1">
        <v>1</v>
      </c>
      <c r="Q658" s="1">
        <v>4</v>
      </c>
      <c r="R658" s="1">
        <v>2795</v>
      </c>
      <c r="S658" s="1">
        <v>1</v>
      </c>
      <c r="T658" s="1">
        <v>1</v>
      </c>
      <c r="U658" s="1">
        <v>1</v>
      </c>
      <c r="V658" s="1">
        <v>0</v>
      </c>
      <c r="W658" s="1">
        <v>0</v>
      </c>
      <c r="X658" s="1">
        <v>1</v>
      </c>
    </row>
    <row r="659" spans="1:24">
      <c r="A659" s="1">
        <v>658</v>
      </c>
      <c r="B659" s="1" t="s">
        <v>33</v>
      </c>
      <c r="C659" s="1" t="s">
        <v>25</v>
      </c>
      <c r="D659" s="1" t="s">
        <v>43</v>
      </c>
      <c r="E659" s="1" t="s">
        <v>36</v>
      </c>
      <c r="F659" s="1" t="s">
        <v>45</v>
      </c>
      <c r="G659" s="1">
        <v>1</v>
      </c>
      <c r="H659" s="1" t="s">
        <v>29</v>
      </c>
      <c r="I659" s="1" t="s">
        <v>42</v>
      </c>
      <c r="J659" s="1" t="s">
        <v>48</v>
      </c>
      <c r="K659" s="1" t="s">
        <v>33</v>
      </c>
      <c r="L659" s="1">
        <v>29</v>
      </c>
      <c r="M659" s="1">
        <v>7</v>
      </c>
      <c r="N659" s="1" t="s">
        <v>40</v>
      </c>
      <c r="O659" s="1">
        <v>1</v>
      </c>
      <c r="P659" s="1">
        <v>1</v>
      </c>
      <c r="Q659" s="1">
        <v>4</v>
      </c>
      <c r="R659" s="1">
        <v>2532</v>
      </c>
      <c r="S659" s="1">
        <v>8</v>
      </c>
      <c r="T659" s="1">
        <v>3</v>
      </c>
      <c r="U659" s="1">
        <v>4</v>
      </c>
      <c r="V659" s="1">
        <v>3</v>
      </c>
      <c r="W659" s="1">
        <v>0</v>
      </c>
      <c r="X659" s="1">
        <v>3</v>
      </c>
    </row>
    <row r="660" spans="1:24">
      <c r="A660" s="1">
        <v>659</v>
      </c>
      <c r="B660" s="1" t="s">
        <v>33</v>
      </c>
      <c r="C660" s="1" t="s">
        <v>25</v>
      </c>
      <c r="D660" s="1" t="s">
        <v>26</v>
      </c>
      <c r="E660" s="1" t="s">
        <v>36</v>
      </c>
      <c r="F660" s="1" t="s">
        <v>28</v>
      </c>
      <c r="G660" s="1">
        <v>1</v>
      </c>
      <c r="H660" s="1" t="s">
        <v>37</v>
      </c>
      <c r="I660" s="1" t="s">
        <v>38</v>
      </c>
      <c r="J660" s="1" t="s">
        <v>39</v>
      </c>
      <c r="K660" s="1" t="s">
        <v>24</v>
      </c>
      <c r="L660" s="1">
        <v>44</v>
      </c>
      <c r="M660" s="1">
        <v>9</v>
      </c>
      <c r="N660" s="1" t="s">
        <v>32</v>
      </c>
      <c r="O660" s="1">
        <v>2</v>
      </c>
      <c r="P660" s="1">
        <v>1</v>
      </c>
      <c r="Q660" s="1">
        <v>1</v>
      </c>
      <c r="R660" s="1">
        <v>2559</v>
      </c>
      <c r="S660" s="1">
        <v>8</v>
      </c>
      <c r="T660" s="1">
        <v>3</v>
      </c>
      <c r="U660" s="1">
        <v>8</v>
      </c>
      <c r="V660" s="1">
        <v>7</v>
      </c>
      <c r="W660" s="1">
        <v>7</v>
      </c>
      <c r="X660" s="1">
        <v>1</v>
      </c>
    </row>
    <row r="661" spans="1:24">
      <c r="A661" s="1">
        <v>660</v>
      </c>
      <c r="B661" s="1" t="s">
        <v>33</v>
      </c>
      <c r="C661" s="1" t="s">
        <v>25</v>
      </c>
      <c r="D661" s="1" t="s">
        <v>43</v>
      </c>
      <c r="E661" s="1" t="s">
        <v>27</v>
      </c>
      <c r="F661" s="1" t="s">
        <v>45</v>
      </c>
      <c r="G661" s="1">
        <v>1</v>
      </c>
      <c r="H661" s="1" t="s">
        <v>37</v>
      </c>
      <c r="I661" s="1" t="s">
        <v>30</v>
      </c>
      <c r="J661" s="1" t="s">
        <v>31</v>
      </c>
      <c r="K661" s="1" t="s">
        <v>33</v>
      </c>
      <c r="L661" s="1">
        <v>28</v>
      </c>
      <c r="M661" s="1">
        <v>5</v>
      </c>
      <c r="N661" s="1" t="s">
        <v>44</v>
      </c>
      <c r="O661" s="1">
        <v>1</v>
      </c>
      <c r="P661" s="1">
        <v>2</v>
      </c>
      <c r="Q661" s="1">
        <v>4</v>
      </c>
      <c r="R661" s="1">
        <v>4908</v>
      </c>
      <c r="S661" s="1">
        <v>4</v>
      </c>
      <c r="T661" s="1">
        <v>3</v>
      </c>
      <c r="U661" s="1">
        <v>4</v>
      </c>
      <c r="V661" s="1">
        <v>2</v>
      </c>
      <c r="W661" s="1">
        <v>0</v>
      </c>
      <c r="X661" s="1">
        <v>2</v>
      </c>
    </row>
    <row r="662" spans="1:24">
      <c r="A662" s="1">
        <v>661</v>
      </c>
      <c r="B662" s="1" t="s">
        <v>24</v>
      </c>
      <c r="C662" s="1" t="s">
        <v>34</v>
      </c>
      <c r="D662" s="1" t="s">
        <v>46</v>
      </c>
      <c r="E662" s="1" t="s">
        <v>36</v>
      </c>
      <c r="F662" s="1" t="s">
        <v>28</v>
      </c>
      <c r="G662" s="1">
        <v>1</v>
      </c>
      <c r="H662" s="1" t="s">
        <v>37</v>
      </c>
      <c r="I662" s="1" t="s">
        <v>42</v>
      </c>
      <c r="J662" s="1" t="s">
        <v>48</v>
      </c>
      <c r="K662" s="1" t="s">
        <v>24</v>
      </c>
      <c r="L662" s="1">
        <v>58</v>
      </c>
      <c r="M662" s="1">
        <v>2</v>
      </c>
      <c r="N662" s="1" t="s">
        <v>40</v>
      </c>
      <c r="O662" s="1">
        <v>4</v>
      </c>
      <c r="P662" s="1">
        <v>1</v>
      </c>
      <c r="Q662" s="1">
        <v>4</v>
      </c>
      <c r="R662" s="1">
        <v>2380</v>
      </c>
      <c r="S662" s="1">
        <v>3</v>
      </c>
      <c r="T662" s="1">
        <v>2</v>
      </c>
      <c r="U662" s="1">
        <v>1</v>
      </c>
      <c r="V662" s="1">
        <v>0</v>
      </c>
      <c r="W662" s="1">
        <v>0</v>
      </c>
      <c r="X662" s="1">
        <v>0</v>
      </c>
    </row>
    <row r="663" spans="1:24">
      <c r="A663" s="1">
        <v>662</v>
      </c>
      <c r="B663" s="1" t="s">
        <v>33</v>
      </c>
      <c r="C663" s="1" t="s">
        <v>25</v>
      </c>
      <c r="D663" s="1" t="s">
        <v>26</v>
      </c>
      <c r="E663" s="1" t="s">
        <v>36</v>
      </c>
      <c r="F663" s="1" t="s">
        <v>28</v>
      </c>
      <c r="G663" s="1">
        <v>1</v>
      </c>
      <c r="H663" s="1" t="s">
        <v>29</v>
      </c>
      <c r="I663" s="1" t="s">
        <v>49</v>
      </c>
      <c r="J663" s="1" t="s">
        <v>48</v>
      </c>
      <c r="K663" s="1" t="s">
        <v>33</v>
      </c>
      <c r="L663" s="1">
        <v>43</v>
      </c>
      <c r="M663" s="1">
        <v>8</v>
      </c>
      <c r="N663" s="1" t="s">
        <v>47</v>
      </c>
      <c r="O663" s="1">
        <v>1</v>
      </c>
      <c r="P663" s="1">
        <v>2</v>
      </c>
      <c r="Q663" s="1">
        <v>2</v>
      </c>
      <c r="R663" s="1">
        <v>4765</v>
      </c>
      <c r="S663" s="1">
        <v>4</v>
      </c>
      <c r="T663" s="1">
        <v>4</v>
      </c>
      <c r="U663" s="1">
        <v>1</v>
      </c>
      <c r="V663" s="1">
        <v>0</v>
      </c>
      <c r="W663" s="1">
        <v>0</v>
      </c>
      <c r="X663" s="1">
        <v>0</v>
      </c>
    </row>
    <row r="664" spans="1:24">
      <c r="A664" s="1">
        <v>663</v>
      </c>
      <c r="B664" s="1" t="s">
        <v>24</v>
      </c>
      <c r="C664" s="1" t="s">
        <v>25</v>
      </c>
      <c r="D664" s="1" t="s">
        <v>52</v>
      </c>
      <c r="E664" s="1" t="s">
        <v>27</v>
      </c>
      <c r="F664" s="1" t="s">
        <v>45</v>
      </c>
      <c r="G664" s="1">
        <v>1</v>
      </c>
      <c r="H664" s="1" t="s">
        <v>29</v>
      </c>
      <c r="I664" s="1" t="s">
        <v>54</v>
      </c>
      <c r="J664" s="1" t="s">
        <v>31</v>
      </c>
      <c r="K664" s="1" t="s">
        <v>33</v>
      </c>
      <c r="L664" s="1">
        <v>20</v>
      </c>
      <c r="M664" s="1">
        <v>2</v>
      </c>
      <c r="N664" s="1" t="s">
        <v>47</v>
      </c>
      <c r="O664" s="1">
        <v>3</v>
      </c>
      <c r="P664" s="1">
        <v>1</v>
      </c>
      <c r="Q664" s="1">
        <v>3</v>
      </c>
      <c r="R664" s="1">
        <v>2044</v>
      </c>
      <c r="S664" s="1">
        <v>2</v>
      </c>
      <c r="T664" s="1">
        <v>2</v>
      </c>
      <c r="U664" s="1">
        <v>2</v>
      </c>
      <c r="V664" s="1">
        <v>2</v>
      </c>
      <c r="W664" s="1">
        <v>0</v>
      </c>
      <c r="X664" s="1">
        <v>2</v>
      </c>
    </row>
    <row r="665" spans="1:24">
      <c r="A665" s="1">
        <v>664</v>
      </c>
      <c r="B665" s="1" t="s">
        <v>24</v>
      </c>
      <c r="C665" s="1" t="s">
        <v>25</v>
      </c>
      <c r="D665" s="1" t="s">
        <v>52</v>
      </c>
      <c r="E665" s="1" t="s">
        <v>36</v>
      </c>
      <c r="F665" s="1" t="s">
        <v>41</v>
      </c>
      <c r="G665" s="1">
        <v>1</v>
      </c>
      <c r="H665" s="1" t="s">
        <v>29</v>
      </c>
      <c r="I665" s="1" t="s">
        <v>38</v>
      </c>
      <c r="J665" s="1" t="s">
        <v>31</v>
      </c>
      <c r="K665" s="1" t="s">
        <v>33</v>
      </c>
      <c r="L665" s="1">
        <v>21</v>
      </c>
      <c r="M665" s="1">
        <v>18</v>
      </c>
      <c r="N665" s="1" t="s">
        <v>40</v>
      </c>
      <c r="O665" s="1">
        <v>4</v>
      </c>
      <c r="P665" s="1">
        <v>1</v>
      </c>
      <c r="Q665" s="1">
        <v>4</v>
      </c>
      <c r="R665" s="1">
        <v>2693</v>
      </c>
      <c r="S665" s="1">
        <v>1</v>
      </c>
      <c r="T665" s="1">
        <v>2</v>
      </c>
      <c r="U665" s="1">
        <v>1</v>
      </c>
      <c r="V665" s="1">
        <v>0</v>
      </c>
      <c r="W665" s="1">
        <v>0</v>
      </c>
      <c r="X665" s="1">
        <v>0</v>
      </c>
    </row>
    <row r="666" spans="1:24">
      <c r="A666" s="1">
        <v>665</v>
      </c>
      <c r="B666" s="1" t="s">
        <v>33</v>
      </c>
      <c r="C666" s="1" t="s">
        <v>25</v>
      </c>
      <c r="D666" s="1" t="s">
        <v>26</v>
      </c>
      <c r="E666" s="1" t="s">
        <v>36</v>
      </c>
      <c r="F666" s="1" t="s">
        <v>28</v>
      </c>
      <c r="G666" s="1">
        <v>1</v>
      </c>
      <c r="H666" s="1" t="s">
        <v>37</v>
      </c>
      <c r="I666" s="1" t="s">
        <v>50</v>
      </c>
      <c r="J666" s="1" t="s">
        <v>39</v>
      </c>
      <c r="K666" s="1" t="s">
        <v>24</v>
      </c>
      <c r="L666" s="1">
        <v>36</v>
      </c>
      <c r="M666" s="1">
        <v>14</v>
      </c>
      <c r="N666" s="1" t="s">
        <v>40</v>
      </c>
      <c r="O666" s="1">
        <v>3</v>
      </c>
      <c r="P666" s="1">
        <v>2</v>
      </c>
      <c r="Q666" s="1">
        <v>4</v>
      </c>
      <c r="R666" s="1">
        <v>6586</v>
      </c>
      <c r="S666" s="1">
        <v>17</v>
      </c>
      <c r="T666" s="1">
        <v>2</v>
      </c>
      <c r="U666" s="1">
        <v>16</v>
      </c>
      <c r="V666" s="1">
        <v>8</v>
      </c>
      <c r="W666" s="1">
        <v>4</v>
      </c>
      <c r="X666" s="1">
        <v>11</v>
      </c>
    </row>
    <row r="667" spans="1:24">
      <c r="A667" s="1">
        <v>666</v>
      </c>
      <c r="B667" s="1" t="s">
        <v>33</v>
      </c>
      <c r="C667" s="1" t="s">
        <v>25</v>
      </c>
      <c r="D667" s="1" t="s">
        <v>35</v>
      </c>
      <c r="E667" s="1" t="s">
        <v>27</v>
      </c>
      <c r="F667" s="1" t="s">
        <v>28</v>
      </c>
      <c r="G667" s="1">
        <v>1</v>
      </c>
      <c r="H667" s="1" t="s">
        <v>29</v>
      </c>
      <c r="I667" s="1" t="s">
        <v>54</v>
      </c>
      <c r="J667" s="1" t="s">
        <v>31</v>
      </c>
      <c r="K667" s="1" t="s">
        <v>24</v>
      </c>
      <c r="L667" s="1">
        <v>47</v>
      </c>
      <c r="M667" s="1">
        <v>2</v>
      </c>
      <c r="N667" s="1" t="s">
        <v>44</v>
      </c>
      <c r="O667" s="1">
        <v>4</v>
      </c>
      <c r="P667" s="1">
        <v>1</v>
      </c>
      <c r="Q667" s="1">
        <v>4</v>
      </c>
      <c r="R667" s="1">
        <v>3294</v>
      </c>
      <c r="S667" s="1">
        <v>3</v>
      </c>
      <c r="T667" s="1">
        <v>2</v>
      </c>
      <c r="U667" s="1">
        <v>3</v>
      </c>
      <c r="V667" s="1">
        <v>2</v>
      </c>
      <c r="W667" s="1">
        <v>1</v>
      </c>
      <c r="X667" s="1">
        <v>2</v>
      </c>
    </row>
    <row r="668" spans="1:24">
      <c r="A668" s="1">
        <v>667</v>
      </c>
      <c r="B668" s="1" t="s">
        <v>24</v>
      </c>
      <c r="C668" s="1" t="s">
        <v>25</v>
      </c>
      <c r="D668" s="1" t="s">
        <v>52</v>
      </c>
      <c r="E668" s="1" t="s">
        <v>36</v>
      </c>
      <c r="F668" s="1" t="s">
        <v>28</v>
      </c>
      <c r="G668" s="1">
        <v>1</v>
      </c>
      <c r="H668" s="1" t="s">
        <v>29</v>
      </c>
      <c r="I668" s="1" t="s">
        <v>49</v>
      </c>
      <c r="J668" s="1" t="s">
        <v>39</v>
      </c>
      <c r="K668" s="1" t="s">
        <v>24</v>
      </c>
      <c r="L668" s="1">
        <v>22</v>
      </c>
      <c r="M668" s="1">
        <v>3</v>
      </c>
      <c r="N668" s="1" t="s">
        <v>40</v>
      </c>
      <c r="O668" s="1">
        <v>2</v>
      </c>
      <c r="P668" s="1">
        <v>2</v>
      </c>
      <c r="Q668" s="1">
        <v>3</v>
      </c>
      <c r="R668" s="1">
        <v>4171</v>
      </c>
      <c r="S668" s="1">
        <v>4</v>
      </c>
      <c r="T668" s="1">
        <v>4</v>
      </c>
      <c r="U668" s="1">
        <v>3</v>
      </c>
      <c r="V668" s="1">
        <v>2</v>
      </c>
      <c r="W668" s="1">
        <v>0</v>
      </c>
      <c r="X668" s="1">
        <v>2</v>
      </c>
    </row>
    <row r="669" spans="1:24">
      <c r="A669" s="1">
        <v>668</v>
      </c>
      <c r="B669" s="1" t="s">
        <v>24</v>
      </c>
      <c r="C669" s="1" t="s">
        <v>25</v>
      </c>
      <c r="D669" s="1" t="s">
        <v>26</v>
      </c>
      <c r="E669" s="1" t="s">
        <v>36</v>
      </c>
      <c r="F669" s="1" t="s">
        <v>28</v>
      </c>
      <c r="G669" s="1">
        <v>1</v>
      </c>
      <c r="H669" s="1" t="s">
        <v>29</v>
      </c>
      <c r="I669" s="1" t="s">
        <v>42</v>
      </c>
      <c r="J669" s="1" t="s">
        <v>48</v>
      </c>
      <c r="K669" s="1" t="s">
        <v>24</v>
      </c>
      <c r="L669" s="1">
        <v>41</v>
      </c>
      <c r="M669" s="1">
        <v>2</v>
      </c>
      <c r="N669" s="1" t="s">
        <v>44</v>
      </c>
      <c r="O669" s="1">
        <v>2</v>
      </c>
      <c r="P669" s="1">
        <v>1</v>
      </c>
      <c r="Q669" s="1">
        <v>4</v>
      </c>
      <c r="R669" s="1">
        <v>2778</v>
      </c>
      <c r="S669" s="1">
        <v>10</v>
      </c>
      <c r="T669" s="1">
        <v>2</v>
      </c>
      <c r="U669" s="1">
        <v>7</v>
      </c>
      <c r="V669" s="1">
        <v>7</v>
      </c>
      <c r="W669" s="1">
        <v>1</v>
      </c>
      <c r="X669" s="1">
        <v>0</v>
      </c>
    </row>
    <row r="670" spans="1:24">
      <c r="A670" s="1">
        <v>669</v>
      </c>
      <c r="B670" s="1" t="s">
        <v>33</v>
      </c>
      <c r="C670" s="1" t="s">
        <v>25</v>
      </c>
      <c r="D670" s="1" t="s">
        <v>43</v>
      </c>
      <c r="E670" s="1" t="s">
        <v>36</v>
      </c>
      <c r="F670" s="1" t="s">
        <v>45</v>
      </c>
      <c r="G670" s="1">
        <v>1</v>
      </c>
      <c r="H670" s="1" t="s">
        <v>29</v>
      </c>
      <c r="I670" s="1" t="s">
        <v>38</v>
      </c>
      <c r="J670" s="1" t="s">
        <v>48</v>
      </c>
      <c r="K670" s="1" t="s">
        <v>33</v>
      </c>
      <c r="L670" s="1">
        <v>28</v>
      </c>
      <c r="M670" s="1">
        <v>9</v>
      </c>
      <c r="N670" s="1" t="s">
        <v>47</v>
      </c>
      <c r="O670" s="1">
        <v>3</v>
      </c>
      <c r="P670" s="1">
        <v>1</v>
      </c>
      <c r="Q670" s="1">
        <v>3</v>
      </c>
      <c r="R670" s="1">
        <v>2377</v>
      </c>
      <c r="S670" s="1">
        <v>6</v>
      </c>
      <c r="T670" s="1">
        <v>3</v>
      </c>
      <c r="U670" s="1">
        <v>2</v>
      </c>
      <c r="V670" s="1">
        <v>2</v>
      </c>
      <c r="W670" s="1">
        <v>2</v>
      </c>
      <c r="X670" s="1">
        <v>2</v>
      </c>
    </row>
    <row r="671" spans="1:24">
      <c r="A671" s="1">
        <v>670</v>
      </c>
      <c r="B671" s="1" t="s">
        <v>24</v>
      </c>
      <c r="C671" s="1" t="s">
        <v>25</v>
      </c>
      <c r="D671" s="1" t="s">
        <v>26</v>
      </c>
      <c r="E671" s="1" t="s">
        <v>36</v>
      </c>
      <c r="F671" s="1" t="s">
        <v>45</v>
      </c>
      <c r="G671" s="1">
        <v>1</v>
      </c>
      <c r="H671" s="1" t="s">
        <v>37</v>
      </c>
      <c r="I671" s="1" t="s">
        <v>42</v>
      </c>
      <c r="J671" s="1" t="s">
        <v>39</v>
      </c>
      <c r="K671" s="1" t="s">
        <v>24</v>
      </c>
      <c r="L671" s="1">
        <v>39</v>
      </c>
      <c r="M671" s="1">
        <v>6</v>
      </c>
      <c r="N671" s="1" t="s">
        <v>47</v>
      </c>
      <c r="O671" s="1">
        <v>4</v>
      </c>
      <c r="P671" s="1">
        <v>1</v>
      </c>
      <c r="Q671" s="1">
        <v>1</v>
      </c>
      <c r="R671" s="1">
        <v>2404</v>
      </c>
      <c r="S671" s="1">
        <v>8</v>
      </c>
      <c r="T671" s="1">
        <v>1</v>
      </c>
      <c r="U671" s="1">
        <v>2</v>
      </c>
      <c r="V671" s="1">
        <v>2</v>
      </c>
      <c r="W671" s="1">
        <v>2</v>
      </c>
      <c r="X671" s="1">
        <v>2</v>
      </c>
    </row>
    <row r="672" spans="1:24">
      <c r="A672" s="1">
        <v>671</v>
      </c>
      <c r="B672" s="1" t="s">
        <v>33</v>
      </c>
      <c r="C672" s="1" t="s">
        <v>25</v>
      </c>
      <c r="D672" s="1" t="s">
        <v>43</v>
      </c>
      <c r="E672" s="1" t="s">
        <v>36</v>
      </c>
      <c r="F672" s="1" t="s">
        <v>28</v>
      </c>
      <c r="G672" s="1">
        <v>1</v>
      </c>
      <c r="H672" s="1" t="s">
        <v>29</v>
      </c>
      <c r="I672" s="1" t="s">
        <v>38</v>
      </c>
      <c r="J672" s="1" t="s">
        <v>31</v>
      </c>
      <c r="K672" s="1" t="s">
        <v>33</v>
      </c>
      <c r="L672" s="1">
        <v>27</v>
      </c>
      <c r="M672" s="1">
        <v>4</v>
      </c>
      <c r="N672" s="1" t="s">
        <v>47</v>
      </c>
      <c r="O672" s="1">
        <v>2</v>
      </c>
      <c r="P672" s="1">
        <v>1</v>
      </c>
      <c r="Q672" s="1">
        <v>3</v>
      </c>
      <c r="R672" s="1">
        <v>2318</v>
      </c>
      <c r="S672" s="1">
        <v>1</v>
      </c>
      <c r="T672" s="1">
        <v>3</v>
      </c>
      <c r="U672" s="1">
        <v>1</v>
      </c>
      <c r="V672" s="1">
        <v>1</v>
      </c>
      <c r="W672" s="1">
        <v>0</v>
      </c>
      <c r="X672" s="1">
        <v>0</v>
      </c>
    </row>
    <row r="673" spans="1:24">
      <c r="A673" s="1">
        <v>672</v>
      </c>
      <c r="B673" s="1" t="s">
        <v>33</v>
      </c>
      <c r="C673" s="1" t="s">
        <v>25</v>
      </c>
      <c r="D673" s="1" t="s">
        <v>43</v>
      </c>
      <c r="E673" s="1" t="s">
        <v>36</v>
      </c>
      <c r="F673" s="1" t="s">
        <v>28</v>
      </c>
      <c r="G673" s="1">
        <v>1</v>
      </c>
      <c r="H673" s="1" t="s">
        <v>37</v>
      </c>
      <c r="I673" s="1" t="s">
        <v>42</v>
      </c>
      <c r="J673" s="1" t="s">
        <v>48</v>
      </c>
      <c r="K673" s="1" t="s">
        <v>33</v>
      </c>
      <c r="L673" s="1">
        <v>34</v>
      </c>
      <c r="M673" s="1">
        <v>10</v>
      </c>
      <c r="N673" s="1" t="s">
        <v>47</v>
      </c>
      <c r="O673" s="1">
        <v>2</v>
      </c>
      <c r="P673" s="1">
        <v>1</v>
      </c>
      <c r="Q673" s="1">
        <v>2</v>
      </c>
      <c r="R673" s="1">
        <v>2008</v>
      </c>
      <c r="S673" s="1">
        <v>1</v>
      </c>
      <c r="T673" s="1">
        <v>3</v>
      </c>
      <c r="U673" s="1">
        <v>1</v>
      </c>
      <c r="V673" s="1">
        <v>0</v>
      </c>
      <c r="W673" s="1">
        <v>1</v>
      </c>
      <c r="X673" s="1">
        <v>0</v>
      </c>
    </row>
    <row r="674" spans="1:24">
      <c r="A674" s="1">
        <v>673</v>
      </c>
      <c r="B674" s="1" t="s">
        <v>33</v>
      </c>
      <c r="C674" s="1" t="s">
        <v>25</v>
      </c>
      <c r="D674" s="1" t="s">
        <v>26</v>
      </c>
      <c r="E674" s="1" t="s">
        <v>27</v>
      </c>
      <c r="F674" s="1" t="s">
        <v>45</v>
      </c>
      <c r="G674" s="1">
        <v>1</v>
      </c>
      <c r="H674" s="1" t="s">
        <v>29</v>
      </c>
      <c r="I674" s="1" t="s">
        <v>30</v>
      </c>
      <c r="J674" s="1" t="s">
        <v>31</v>
      </c>
      <c r="K674" s="1" t="s">
        <v>33</v>
      </c>
      <c r="L674" s="1">
        <v>42</v>
      </c>
      <c r="M674" s="1">
        <v>14</v>
      </c>
      <c r="N674" s="1" t="s">
        <v>32</v>
      </c>
      <c r="O674" s="1">
        <v>3</v>
      </c>
      <c r="P674" s="1">
        <v>2</v>
      </c>
      <c r="Q674" s="1">
        <v>3</v>
      </c>
      <c r="R674" s="1">
        <v>6244</v>
      </c>
      <c r="S674" s="1">
        <v>10</v>
      </c>
      <c r="T674" s="1">
        <v>3</v>
      </c>
      <c r="U674" s="1">
        <v>5</v>
      </c>
      <c r="V674" s="1">
        <v>4</v>
      </c>
      <c r="W674" s="1">
        <v>0</v>
      </c>
      <c r="X674" s="1">
        <v>3</v>
      </c>
    </row>
    <row r="675" spans="1:24">
      <c r="A675" s="1">
        <v>674</v>
      </c>
      <c r="B675" s="1" t="s">
        <v>33</v>
      </c>
      <c r="C675" s="1" t="s">
        <v>25</v>
      </c>
      <c r="D675" s="1" t="s">
        <v>43</v>
      </c>
      <c r="E675" s="1" t="s">
        <v>36</v>
      </c>
      <c r="F675" s="1" t="s">
        <v>41</v>
      </c>
      <c r="G675" s="1">
        <v>1</v>
      </c>
      <c r="H675" s="1" t="s">
        <v>37</v>
      </c>
      <c r="I675" s="1" t="s">
        <v>38</v>
      </c>
      <c r="J675" s="1" t="s">
        <v>31</v>
      </c>
      <c r="K675" s="1" t="s">
        <v>24</v>
      </c>
      <c r="L675" s="1">
        <v>33</v>
      </c>
      <c r="M675" s="1">
        <v>1</v>
      </c>
      <c r="N675" s="1" t="s">
        <v>44</v>
      </c>
      <c r="O675" s="1">
        <v>3</v>
      </c>
      <c r="P675" s="1">
        <v>1</v>
      </c>
      <c r="Q675" s="1">
        <v>1</v>
      </c>
      <c r="R675" s="1">
        <v>2799</v>
      </c>
      <c r="S675" s="1">
        <v>6</v>
      </c>
      <c r="T675" s="1">
        <v>3</v>
      </c>
      <c r="U675" s="1">
        <v>3</v>
      </c>
      <c r="V675" s="1">
        <v>2</v>
      </c>
      <c r="W675" s="1">
        <v>0</v>
      </c>
      <c r="X675" s="1">
        <v>2</v>
      </c>
    </row>
    <row r="676" spans="1:24">
      <c r="A676" s="1">
        <v>675</v>
      </c>
      <c r="B676" s="1" t="s">
        <v>33</v>
      </c>
      <c r="C676" s="1" t="s">
        <v>25</v>
      </c>
      <c r="D676" s="1" t="s">
        <v>46</v>
      </c>
      <c r="E676" s="1" t="s">
        <v>36</v>
      </c>
      <c r="F676" s="1" t="s">
        <v>57</v>
      </c>
      <c r="G676" s="1">
        <v>1</v>
      </c>
      <c r="H676" s="1" t="s">
        <v>29</v>
      </c>
      <c r="I676" s="1" t="s">
        <v>50</v>
      </c>
      <c r="J676" s="1" t="s">
        <v>48</v>
      </c>
      <c r="K676" s="1" t="s">
        <v>24</v>
      </c>
      <c r="L676" s="1">
        <v>58</v>
      </c>
      <c r="M676" s="1">
        <v>5</v>
      </c>
      <c r="N676" s="1" t="s">
        <v>47</v>
      </c>
      <c r="O676" s="1">
        <v>3</v>
      </c>
      <c r="P676" s="1">
        <v>3</v>
      </c>
      <c r="Q676" s="1">
        <v>2</v>
      </c>
      <c r="R676" s="1">
        <v>10552</v>
      </c>
      <c r="S676" s="1">
        <v>24</v>
      </c>
      <c r="T676" s="1">
        <v>3</v>
      </c>
      <c r="U676" s="1">
        <v>6</v>
      </c>
      <c r="V676" s="1">
        <v>0</v>
      </c>
      <c r="W676" s="1">
        <v>0</v>
      </c>
      <c r="X676" s="1">
        <v>4</v>
      </c>
    </row>
    <row r="677" spans="1:24">
      <c r="A677" s="1">
        <v>676</v>
      </c>
      <c r="B677" s="1" t="s">
        <v>33</v>
      </c>
      <c r="C677" s="1" t="s">
        <v>25</v>
      </c>
      <c r="D677" s="1" t="s">
        <v>43</v>
      </c>
      <c r="E677" s="1" t="s">
        <v>27</v>
      </c>
      <c r="F677" s="1" t="s">
        <v>28</v>
      </c>
      <c r="G677" s="1">
        <v>1</v>
      </c>
      <c r="H677" s="1" t="s">
        <v>37</v>
      </c>
      <c r="I677" s="1" t="s">
        <v>54</v>
      </c>
      <c r="J677" s="1" t="s">
        <v>39</v>
      </c>
      <c r="K677" s="1" t="s">
        <v>33</v>
      </c>
      <c r="L677" s="1">
        <v>31</v>
      </c>
      <c r="M677" s="1">
        <v>7</v>
      </c>
      <c r="N677" s="1" t="s">
        <v>44</v>
      </c>
      <c r="O677" s="1">
        <v>2</v>
      </c>
      <c r="P677" s="1">
        <v>1</v>
      </c>
      <c r="Q677" s="1">
        <v>3</v>
      </c>
      <c r="R677" s="1">
        <v>2329</v>
      </c>
      <c r="S677" s="1">
        <v>13</v>
      </c>
      <c r="T677" s="1">
        <v>4</v>
      </c>
      <c r="U677" s="1">
        <v>7</v>
      </c>
      <c r="V677" s="1">
        <v>7</v>
      </c>
      <c r="W677" s="1">
        <v>5</v>
      </c>
      <c r="X677" s="1">
        <v>2</v>
      </c>
    </row>
    <row r="678" spans="1:24">
      <c r="A678" s="1">
        <v>677</v>
      </c>
      <c r="B678" s="1" t="s">
        <v>33</v>
      </c>
      <c r="C678" s="1" t="s">
        <v>25</v>
      </c>
      <c r="D678" s="1" t="s">
        <v>26</v>
      </c>
      <c r="E678" s="1" t="s">
        <v>36</v>
      </c>
      <c r="F678" s="1" t="s">
        <v>28</v>
      </c>
      <c r="G678" s="1">
        <v>1</v>
      </c>
      <c r="H678" s="1" t="s">
        <v>29</v>
      </c>
      <c r="I678" s="1" t="s">
        <v>50</v>
      </c>
      <c r="J678" s="1" t="s">
        <v>39</v>
      </c>
      <c r="K678" s="1" t="s">
        <v>24</v>
      </c>
      <c r="L678" s="1">
        <v>35</v>
      </c>
      <c r="M678" s="1">
        <v>21</v>
      </c>
      <c r="N678" s="1" t="s">
        <v>40</v>
      </c>
      <c r="O678" s="1">
        <v>4</v>
      </c>
      <c r="P678" s="1">
        <v>2</v>
      </c>
      <c r="Q678" s="1">
        <v>4</v>
      </c>
      <c r="R678" s="1">
        <v>4014</v>
      </c>
      <c r="S678" s="1">
        <v>10</v>
      </c>
      <c r="T678" s="1">
        <v>1</v>
      </c>
      <c r="U678" s="1">
        <v>10</v>
      </c>
      <c r="V678" s="1">
        <v>6</v>
      </c>
      <c r="W678" s="1">
        <v>0</v>
      </c>
      <c r="X678" s="1">
        <v>7</v>
      </c>
    </row>
    <row r="679" spans="1:24">
      <c r="A679" s="1">
        <v>678</v>
      </c>
      <c r="B679" s="1" t="s">
        <v>33</v>
      </c>
      <c r="C679" s="1" t="s">
        <v>25</v>
      </c>
      <c r="D679" s="1" t="s">
        <v>35</v>
      </c>
      <c r="E679" s="1" t="s">
        <v>36</v>
      </c>
      <c r="F679" s="1" t="s">
        <v>41</v>
      </c>
      <c r="G679" s="1">
        <v>1</v>
      </c>
      <c r="H679" s="1" t="s">
        <v>29</v>
      </c>
      <c r="I679" s="1" t="s">
        <v>42</v>
      </c>
      <c r="J679" s="1" t="s">
        <v>39</v>
      </c>
      <c r="K679" s="1" t="s">
        <v>33</v>
      </c>
      <c r="L679" s="1">
        <v>49</v>
      </c>
      <c r="M679" s="1">
        <v>8</v>
      </c>
      <c r="N679" s="1" t="s">
        <v>32</v>
      </c>
      <c r="O679" s="1">
        <v>1</v>
      </c>
      <c r="P679" s="1">
        <v>3</v>
      </c>
      <c r="Q679" s="1">
        <v>2</v>
      </c>
      <c r="R679" s="1">
        <v>7403</v>
      </c>
      <c r="S679" s="1">
        <v>29</v>
      </c>
      <c r="T679" s="1">
        <v>2</v>
      </c>
      <c r="U679" s="1">
        <v>26</v>
      </c>
      <c r="V679" s="1">
        <v>9</v>
      </c>
      <c r="W679" s="1">
        <v>1</v>
      </c>
      <c r="X679" s="1">
        <v>7</v>
      </c>
    </row>
    <row r="680" spans="1:24">
      <c r="A680" s="1">
        <v>679</v>
      </c>
      <c r="B680" s="1" t="s">
        <v>33</v>
      </c>
      <c r="C680" s="1" t="s">
        <v>25</v>
      </c>
      <c r="D680" s="1" t="s">
        <v>35</v>
      </c>
      <c r="E680" s="1" t="s">
        <v>36</v>
      </c>
      <c r="F680" s="1" t="s">
        <v>45</v>
      </c>
      <c r="G680" s="1">
        <v>1</v>
      </c>
      <c r="H680" s="1" t="s">
        <v>37</v>
      </c>
      <c r="I680" s="1" t="s">
        <v>38</v>
      </c>
      <c r="J680" s="1" t="s">
        <v>39</v>
      </c>
      <c r="K680" s="1" t="s">
        <v>33</v>
      </c>
      <c r="L680" s="1">
        <v>48</v>
      </c>
      <c r="M680" s="1">
        <v>20</v>
      </c>
      <c r="N680" s="1" t="s">
        <v>44</v>
      </c>
      <c r="O680" s="1">
        <v>4</v>
      </c>
      <c r="P680" s="1">
        <v>1</v>
      </c>
      <c r="Q680" s="1">
        <v>3</v>
      </c>
      <c r="R680" s="1">
        <v>2259</v>
      </c>
      <c r="S680" s="1">
        <v>13</v>
      </c>
      <c r="T680" s="1">
        <v>2</v>
      </c>
      <c r="U680" s="1">
        <v>0</v>
      </c>
      <c r="V680" s="1">
        <v>0</v>
      </c>
      <c r="W680" s="1">
        <v>0</v>
      </c>
      <c r="X680" s="1">
        <v>0</v>
      </c>
    </row>
    <row r="681" spans="1:24">
      <c r="A681" s="1">
        <v>680</v>
      </c>
      <c r="B681" s="1" t="s">
        <v>33</v>
      </c>
      <c r="C681" s="1" t="s">
        <v>51</v>
      </c>
      <c r="D681" s="1" t="s">
        <v>43</v>
      </c>
      <c r="E681" s="1" t="s">
        <v>27</v>
      </c>
      <c r="F681" s="1" t="s">
        <v>56</v>
      </c>
      <c r="G681" s="1">
        <v>1</v>
      </c>
      <c r="H681" s="1" t="s">
        <v>29</v>
      </c>
      <c r="I681" s="1" t="s">
        <v>30</v>
      </c>
      <c r="J681" s="1" t="s">
        <v>39</v>
      </c>
      <c r="K681" s="1" t="s">
        <v>33</v>
      </c>
      <c r="L681" s="1">
        <v>31</v>
      </c>
      <c r="M681" s="1">
        <v>20</v>
      </c>
      <c r="N681" s="1" t="s">
        <v>32</v>
      </c>
      <c r="O681" s="1">
        <v>4</v>
      </c>
      <c r="P681" s="1">
        <v>2</v>
      </c>
      <c r="Q681" s="1">
        <v>3</v>
      </c>
      <c r="R681" s="1">
        <v>6932</v>
      </c>
      <c r="S681" s="1">
        <v>9</v>
      </c>
      <c r="T681" s="1">
        <v>2</v>
      </c>
      <c r="U681" s="1">
        <v>9</v>
      </c>
      <c r="V681" s="1">
        <v>8</v>
      </c>
      <c r="W681" s="1">
        <v>0</v>
      </c>
      <c r="X681" s="1">
        <v>0</v>
      </c>
    </row>
    <row r="682" spans="1:24">
      <c r="A682" s="1">
        <v>681</v>
      </c>
      <c r="B682" s="1" t="s">
        <v>33</v>
      </c>
      <c r="C682" s="1" t="s">
        <v>25</v>
      </c>
      <c r="D682" s="1" t="s">
        <v>26</v>
      </c>
      <c r="E682" s="1" t="s">
        <v>36</v>
      </c>
      <c r="F682" s="1" t="s">
        <v>41</v>
      </c>
      <c r="G682" s="1">
        <v>1</v>
      </c>
      <c r="H682" s="1" t="s">
        <v>37</v>
      </c>
      <c r="I682" s="1" t="s">
        <v>38</v>
      </c>
      <c r="J682" s="1" t="s">
        <v>31</v>
      </c>
      <c r="K682" s="1" t="s">
        <v>33</v>
      </c>
      <c r="L682" s="1">
        <v>36</v>
      </c>
      <c r="M682" s="1">
        <v>7</v>
      </c>
      <c r="N682" s="1" t="s">
        <v>44</v>
      </c>
      <c r="O682" s="1">
        <v>2</v>
      </c>
      <c r="P682" s="1">
        <v>1</v>
      </c>
      <c r="Q682" s="1">
        <v>4</v>
      </c>
      <c r="R682" s="1">
        <v>4678</v>
      </c>
      <c r="S682" s="1">
        <v>8</v>
      </c>
      <c r="T682" s="1">
        <v>3</v>
      </c>
      <c r="U682" s="1">
        <v>6</v>
      </c>
      <c r="V682" s="1">
        <v>2</v>
      </c>
      <c r="W682" s="1">
        <v>0</v>
      </c>
      <c r="X682" s="1">
        <v>1</v>
      </c>
    </row>
    <row r="683" spans="1:24">
      <c r="A683" s="1">
        <v>682</v>
      </c>
      <c r="B683" s="1" t="s">
        <v>33</v>
      </c>
      <c r="C683" s="1" t="s">
        <v>25</v>
      </c>
      <c r="D683" s="1" t="s">
        <v>26</v>
      </c>
      <c r="E683" s="1" t="s">
        <v>36</v>
      </c>
      <c r="F683" s="1" t="s">
        <v>57</v>
      </c>
      <c r="G683" s="1">
        <v>1</v>
      </c>
      <c r="H683" s="1" t="s">
        <v>29</v>
      </c>
      <c r="I683" s="1" t="s">
        <v>55</v>
      </c>
      <c r="J683" s="1" t="s">
        <v>39</v>
      </c>
      <c r="K683" s="1" t="s">
        <v>33</v>
      </c>
      <c r="L683" s="1">
        <v>38</v>
      </c>
      <c r="M683" s="1">
        <v>1</v>
      </c>
      <c r="N683" s="1" t="s">
        <v>47</v>
      </c>
      <c r="O683" s="1">
        <v>4</v>
      </c>
      <c r="P683" s="1">
        <v>3</v>
      </c>
      <c r="Q683" s="1">
        <v>1</v>
      </c>
      <c r="R683" s="1">
        <v>13582</v>
      </c>
      <c r="S683" s="1">
        <v>15</v>
      </c>
      <c r="T683" s="1">
        <v>3</v>
      </c>
      <c r="U683" s="1">
        <v>15</v>
      </c>
      <c r="V683" s="1">
        <v>12</v>
      </c>
      <c r="W683" s="1">
        <v>5</v>
      </c>
      <c r="X683" s="1">
        <v>11</v>
      </c>
    </row>
    <row r="684" spans="1:24">
      <c r="A684" s="1">
        <v>683</v>
      </c>
      <c r="B684" s="1" t="s">
        <v>33</v>
      </c>
      <c r="C684" s="1" t="s">
        <v>51</v>
      </c>
      <c r="D684" s="1" t="s">
        <v>43</v>
      </c>
      <c r="E684" s="1" t="s">
        <v>36</v>
      </c>
      <c r="F684" s="1" t="s">
        <v>28</v>
      </c>
      <c r="G684" s="1">
        <v>1</v>
      </c>
      <c r="H684" s="1" t="s">
        <v>29</v>
      </c>
      <c r="I684" s="1" t="s">
        <v>42</v>
      </c>
      <c r="J684" s="1" t="s">
        <v>39</v>
      </c>
      <c r="K684" s="1" t="s">
        <v>33</v>
      </c>
      <c r="L684" s="1">
        <v>32</v>
      </c>
      <c r="M684" s="1">
        <v>1</v>
      </c>
      <c r="N684" s="1" t="s">
        <v>47</v>
      </c>
      <c r="O684" s="1">
        <v>3</v>
      </c>
      <c r="P684" s="1">
        <v>1</v>
      </c>
      <c r="Q684" s="1">
        <v>2</v>
      </c>
      <c r="R684" s="1">
        <v>2332</v>
      </c>
      <c r="S684" s="1">
        <v>5</v>
      </c>
      <c r="T684" s="1">
        <v>3</v>
      </c>
      <c r="U684" s="1">
        <v>3</v>
      </c>
      <c r="V684" s="1">
        <v>0</v>
      </c>
      <c r="W684" s="1">
        <v>0</v>
      </c>
      <c r="X684" s="1">
        <v>2</v>
      </c>
    </row>
    <row r="685" spans="1:24">
      <c r="A685" s="1">
        <v>684</v>
      </c>
      <c r="B685" s="1" t="s">
        <v>24</v>
      </c>
      <c r="C685" s="1" t="s">
        <v>25</v>
      </c>
      <c r="D685" s="1" t="s">
        <v>43</v>
      </c>
      <c r="E685" s="1" t="s">
        <v>27</v>
      </c>
      <c r="F685" s="1" t="s">
        <v>56</v>
      </c>
      <c r="G685" s="1">
        <v>1</v>
      </c>
      <c r="H685" s="1" t="s">
        <v>37</v>
      </c>
      <c r="I685" s="1" t="s">
        <v>54</v>
      </c>
      <c r="J685" s="1" t="s">
        <v>39</v>
      </c>
      <c r="K685" s="1" t="s">
        <v>24</v>
      </c>
      <c r="L685" s="1">
        <v>25</v>
      </c>
      <c r="M685" s="1">
        <v>19</v>
      </c>
      <c r="N685" s="1" t="s">
        <v>32</v>
      </c>
      <c r="O685" s="1">
        <v>3</v>
      </c>
      <c r="P685" s="1">
        <v>1</v>
      </c>
      <c r="Q685" s="1">
        <v>2</v>
      </c>
      <c r="R685" s="1">
        <v>2413</v>
      </c>
      <c r="S685" s="1">
        <v>1</v>
      </c>
      <c r="T685" s="1">
        <v>3</v>
      </c>
      <c r="U685" s="1">
        <v>1</v>
      </c>
      <c r="V685" s="1">
        <v>0</v>
      </c>
      <c r="W685" s="1">
        <v>0</v>
      </c>
      <c r="X685" s="1">
        <v>0</v>
      </c>
    </row>
    <row r="686" spans="1:24">
      <c r="A686" s="1">
        <v>685</v>
      </c>
      <c r="B686" s="1" t="s">
        <v>33</v>
      </c>
      <c r="C686" s="1" t="s">
        <v>25</v>
      </c>
      <c r="D686" s="1" t="s">
        <v>26</v>
      </c>
      <c r="E686" s="1" t="s">
        <v>27</v>
      </c>
      <c r="F686" s="1" t="s">
        <v>56</v>
      </c>
      <c r="G686" s="1">
        <v>1</v>
      </c>
      <c r="H686" s="1" t="s">
        <v>37</v>
      </c>
      <c r="I686" s="1" t="s">
        <v>30</v>
      </c>
      <c r="J686" s="1" t="s">
        <v>48</v>
      </c>
      <c r="K686" s="1" t="s">
        <v>33</v>
      </c>
      <c r="L686" s="1">
        <v>40</v>
      </c>
      <c r="M686" s="1">
        <v>10</v>
      </c>
      <c r="N686" s="1" t="s">
        <v>44</v>
      </c>
      <c r="O686" s="1">
        <v>1</v>
      </c>
      <c r="P686" s="1">
        <v>3</v>
      </c>
      <c r="Q686" s="1">
        <v>2</v>
      </c>
      <c r="R686" s="1">
        <v>9705</v>
      </c>
      <c r="S686" s="1">
        <v>11</v>
      </c>
      <c r="T686" s="1">
        <v>2</v>
      </c>
      <c r="U686" s="1">
        <v>1</v>
      </c>
      <c r="V686" s="1">
        <v>0</v>
      </c>
      <c r="W686" s="1">
        <v>0</v>
      </c>
      <c r="X686" s="1">
        <v>0</v>
      </c>
    </row>
    <row r="687" spans="1:24">
      <c r="A687" s="1">
        <v>686</v>
      </c>
      <c r="B687" s="1" t="s">
        <v>33</v>
      </c>
      <c r="C687" s="1" t="s">
        <v>34</v>
      </c>
      <c r="D687" s="1" t="s">
        <v>43</v>
      </c>
      <c r="E687" s="1" t="s">
        <v>27</v>
      </c>
      <c r="F687" s="1" t="s">
        <v>45</v>
      </c>
      <c r="G687" s="1">
        <v>1</v>
      </c>
      <c r="H687" s="1" t="s">
        <v>37</v>
      </c>
      <c r="I687" s="1" t="s">
        <v>30</v>
      </c>
      <c r="J687" s="1" t="s">
        <v>31</v>
      </c>
      <c r="K687" s="1" t="s">
        <v>33</v>
      </c>
      <c r="L687" s="1">
        <v>26</v>
      </c>
      <c r="M687" s="1">
        <v>1</v>
      </c>
      <c r="N687" s="1" t="s">
        <v>47</v>
      </c>
      <c r="O687" s="1">
        <v>3</v>
      </c>
      <c r="P687" s="1">
        <v>2</v>
      </c>
      <c r="Q687" s="1">
        <v>1</v>
      </c>
      <c r="R687" s="1">
        <v>4294</v>
      </c>
      <c r="S687" s="1">
        <v>7</v>
      </c>
      <c r="T687" s="1">
        <v>3</v>
      </c>
      <c r="U687" s="1">
        <v>7</v>
      </c>
      <c r="V687" s="1">
        <v>7</v>
      </c>
      <c r="W687" s="1">
        <v>0</v>
      </c>
      <c r="X687" s="1">
        <v>7</v>
      </c>
    </row>
    <row r="688" spans="1:24">
      <c r="A688" s="1">
        <v>687</v>
      </c>
      <c r="B688" s="1" t="s">
        <v>33</v>
      </c>
      <c r="C688" s="1" t="s">
        <v>25</v>
      </c>
      <c r="D688" s="1" t="s">
        <v>26</v>
      </c>
      <c r="E688" s="1" t="s">
        <v>36</v>
      </c>
      <c r="F688" s="1" t="s">
        <v>45</v>
      </c>
      <c r="G688" s="1">
        <v>1</v>
      </c>
      <c r="H688" s="1" t="s">
        <v>37</v>
      </c>
      <c r="I688" s="1" t="s">
        <v>42</v>
      </c>
      <c r="J688" s="1" t="s">
        <v>31</v>
      </c>
      <c r="K688" s="1" t="s">
        <v>24</v>
      </c>
      <c r="L688" s="1">
        <v>41</v>
      </c>
      <c r="M688" s="1">
        <v>6</v>
      </c>
      <c r="N688" s="1" t="s">
        <v>47</v>
      </c>
      <c r="O688" s="1">
        <v>4</v>
      </c>
      <c r="P688" s="1">
        <v>1</v>
      </c>
      <c r="Q688" s="1">
        <v>1</v>
      </c>
      <c r="R688" s="1">
        <v>4721</v>
      </c>
      <c r="S688" s="1">
        <v>20</v>
      </c>
      <c r="T688" s="1">
        <v>3</v>
      </c>
      <c r="U688" s="1">
        <v>18</v>
      </c>
      <c r="V688" s="1">
        <v>13</v>
      </c>
      <c r="W688" s="1">
        <v>2</v>
      </c>
      <c r="X688" s="1">
        <v>17</v>
      </c>
    </row>
    <row r="689" spans="1:24">
      <c r="A689" s="1">
        <v>688</v>
      </c>
      <c r="B689" s="1" t="s">
        <v>33</v>
      </c>
      <c r="C689" s="1" t="s">
        <v>25</v>
      </c>
      <c r="D689" s="1" t="s">
        <v>26</v>
      </c>
      <c r="E689" s="1" t="s">
        <v>36</v>
      </c>
      <c r="F689" s="1" t="s">
        <v>45</v>
      </c>
      <c r="G689" s="1">
        <v>1</v>
      </c>
      <c r="H689" s="1" t="s">
        <v>37</v>
      </c>
      <c r="I689" s="1" t="s">
        <v>42</v>
      </c>
      <c r="J689" s="1" t="s">
        <v>31</v>
      </c>
      <c r="K689" s="1" t="s">
        <v>33</v>
      </c>
      <c r="L689" s="1">
        <v>36</v>
      </c>
      <c r="M689" s="1">
        <v>2</v>
      </c>
      <c r="N689" s="1" t="s">
        <v>44</v>
      </c>
      <c r="O689" s="1">
        <v>3</v>
      </c>
      <c r="P689" s="1">
        <v>1</v>
      </c>
      <c r="Q689" s="1">
        <v>3</v>
      </c>
      <c r="R689" s="1">
        <v>2519</v>
      </c>
      <c r="S689" s="1">
        <v>16</v>
      </c>
      <c r="T689" s="1">
        <v>3</v>
      </c>
      <c r="U689" s="1">
        <v>11</v>
      </c>
      <c r="V689" s="1">
        <v>8</v>
      </c>
      <c r="W689" s="1">
        <v>3</v>
      </c>
      <c r="X689" s="1">
        <v>9</v>
      </c>
    </row>
    <row r="690" spans="1:24">
      <c r="A690" s="1">
        <v>689</v>
      </c>
      <c r="B690" s="1" t="s">
        <v>24</v>
      </c>
      <c r="C690" s="1" t="s">
        <v>25</v>
      </c>
      <c r="D690" s="1" t="s">
        <v>52</v>
      </c>
      <c r="E690" s="1" t="s">
        <v>27</v>
      </c>
      <c r="F690" s="1" t="s">
        <v>41</v>
      </c>
      <c r="G690" s="1">
        <v>1</v>
      </c>
      <c r="H690" s="1" t="s">
        <v>37</v>
      </c>
      <c r="I690" s="1" t="s">
        <v>54</v>
      </c>
      <c r="J690" s="1" t="s">
        <v>31</v>
      </c>
      <c r="K690" s="1" t="s">
        <v>24</v>
      </c>
      <c r="L690" s="1">
        <v>19</v>
      </c>
      <c r="M690" s="1">
        <v>21</v>
      </c>
      <c r="N690" s="1" t="s">
        <v>47</v>
      </c>
      <c r="O690" s="1">
        <v>4</v>
      </c>
      <c r="P690" s="1">
        <v>1</v>
      </c>
      <c r="Q690" s="1">
        <v>2</v>
      </c>
      <c r="R690" s="1">
        <v>2121</v>
      </c>
      <c r="S690" s="1">
        <v>1</v>
      </c>
      <c r="T690" s="1">
        <v>4</v>
      </c>
      <c r="U690" s="1">
        <v>1</v>
      </c>
      <c r="V690" s="1">
        <v>0</v>
      </c>
      <c r="W690" s="1">
        <v>0</v>
      </c>
      <c r="X690" s="1">
        <v>0</v>
      </c>
    </row>
    <row r="691" spans="1:24">
      <c r="A691" s="1">
        <v>690</v>
      </c>
      <c r="B691" s="1" t="s">
        <v>24</v>
      </c>
      <c r="C691" s="1" t="s">
        <v>25</v>
      </c>
      <c r="D691" s="1" t="s">
        <v>52</v>
      </c>
      <c r="E691" s="1" t="s">
        <v>36</v>
      </c>
      <c r="F691" s="1" t="s">
        <v>57</v>
      </c>
      <c r="G691" s="1">
        <v>1</v>
      </c>
      <c r="H691" s="1" t="s">
        <v>37</v>
      </c>
      <c r="I691" s="1" t="s">
        <v>42</v>
      </c>
      <c r="J691" s="1" t="s">
        <v>31</v>
      </c>
      <c r="K691" s="1" t="s">
        <v>33</v>
      </c>
      <c r="L691" s="1">
        <v>20</v>
      </c>
      <c r="M691" s="1">
        <v>4</v>
      </c>
      <c r="N691" s="1" t="s">
        <v>47</v>
      </c>
      <c r="O691" s="1">
        <v>1</v>
      </c>
      <c r="P691" s="1">
        <v>1</v>
      </c>
      <c r="Q691" s="1">
        <v>1</v>
      </c>
      <c r="R691" s="1">
        <v>2973</v>
      </c>
      <c r="S691" s="1">
        <v>1</v>
      </c>
      <c r="T691" s="1">
        <v>3</v>
      </c>
      <c r="U691" s="1">
        <v>1</v>
      </c>
      <c r="V691" s="1">
        <v>0</v>
      </c>
      <c r="W691" s="1">
        <v>0</v>
      </c>
      <c r="X691" s="1">
        <v>0</v>
      </c>
    </row>
    <row r="692" spans="1:24">
      <c r="A692" s="1">
        <v>691</v>
      </c>
      <c r="B692" s="1" t="s">
        <v>33</v>
      </c>
      <c r="C692" s="1" t="s">
        <v>25</v>
      </c>
      <c r="D692" s="1" t="s">
        <v>43</v>
      </c>
      <c r="E692" s="1" t="s">
        <v>36</v>
      </c>
      <c r="F692" s="1" t="s">
        <v>45</v>
      </c>
      <c r="G692" s="1">
        <v>1</v>
      </c>
      <c r="H692" s="1" t="s">
        <v>29</v>
      </c>
      <c r="I692" s="1" t="s">
        <v>50</v>
      </c>
      <c r="J692" s="1" t="s">
        <v>39</v>
      </c>
      <c r="K692" s="1" t="s">
        <v>24</v>
      </c>
      <c r="L692" s="1">
        <v>31</v>
      </c>
      <c r="M692" s="1">
        <v>12</v>
      </c>
      <c r="N692" s="1" t="s">
        <v>47</v>
      </c>
      <c r="O692" s="1">
        <v>4</v>
      </c>
      <c r="P692" s="1">
        <v>2</v>
      </c>
      <c r="Q692" s="1">
        <v>4</v>
      </c>
      <c r="R692" s="1">
        <v>5855</v>
      </c>
      <c r="S692" s="1">
        <v>10</v>
      </c>
      <c r="T692" s="1">
        <v>1</v>
      </c>
      <c r="U692" s="1">
        <v>9</v>
      </c>
      <c r="V692" s="1">
        <v>7</v>
      </c>
      <c r="W692" s="1">
        <v>8</v>
      </c>
      <c r="X692" s="1">
        <v>5</v>
      </c>
    </row>
    <row r="693" spans="1:24">
      <c r="A693" s="1">
        <v>692</v>
      </c>
      <c r="B693" s="1" t="s">
        <v>33</v>
      </c>
      <c r="C693" s="1" t="s">
        <v>34</v>
      </c>
      <c r="D693" s="1" t="s">
        <v>26</v>
      </c>
      <c r="E693" s="1" t="s">
        <v>36</v>
      </c>
      <c r="F693" s="1" t="s">
        <v>45</v>
      </c>
      <c r="G693" s="1">
        <v>1</v>
      </c>
      <c r="H693" s="1" t="s">
        <v>37</v>
      </c>
      <c r="I693" s="1" t="s">
        <v>38</v>
      </c>
      <c r="J693" s="1" t="s">
        <v>48</v>
      </c>
      <c r="K693" s="1" t="s">
        <v>24</v>
      </c>
      <c r="L693" s="1">
        <v>40</v>
      </c>
      <c r="M693" s="1">
        <v>9</v>
      </c>
      <c r="N693" s="1" t="s">
        <v>44</v>
      </c>
      <c r="O693" s="1">
        <v>4</v>
      </c>
      <c r="P693" s="1">
        <v>1</v>
      </c>
      <c r="Q693" s="1">
        <v>2</v>
      </c>
      <c r="R693" s="1">
        <v>3617</v>
      </c>
      <c r="S693" s="1">
        <v>3</v>
      </c>
      <c r="T693" s="1">
        <v>3</v>
      </c>
      <c r="U693" s="1">
        <v>1</v>
      </c>
      <c r="V693" s="1">
        <v>1</v>
      </c>
      <c r="W693" s="1">
        <v>0</v>
      </c>
      <c r="X693" s="1">
        <v>0</v>
      </c>
    </row>
    <row r="694" spans="1:24">
      <c r="A694" s="1">
        <v>693</v>
      </c>
      <c r="B694" s="1" t="s">
        <v>33</v>
      </c>
      <c r="C694" s="1" t="s">
        <v>25</v>
      </c>
      <c r="D694" s="1" t="s">
        <v>43</v>
      </c>
      <c r="E694" s="1" t="s">
        <v>36</v>
      </c>
      <c r="F694" s="1" t="s">
        <v>45</v>
      </c>
      <c r="G694" s="1">
        <v>1</v>
      </c>
      <c r="H694" s="1" t="s">
        <v>29</v>
      </c>
      <c r="I694" s="1" t="s">
        <v>49</v>
      </c>
      <c r="J694" s="1" t="s">
        <v>39</v>
      </c>
      <c r="K694" s="1" t="s">
        <v>33</v>
      </c>
      <c r="L694" s="1">
        <v>32</v>
      </c>
      <c r="M694" s="1">
        <v>3</v>
      </c>
      <c r="N694" s="1" t="s">
        <v>44</v>
      </c>
      <c r="O694" s="1">
        <v>3</v>
      </c>
      <c r="P694" s="1">
        <v>2</v>
      </c>
      <c r="Q694" s="1">
        <v>1</v>
      </c>
      <c r="R694" s="1">
        <v>6725</v>
      </c>
      <c r="S694" s="1">
        <v>8</v>
      </c>
      <c r="T694" s="1">
        <v>4</v>
      </c>
      <c r="U694" s="1">
        <v>8</v>
      </c>
      <c r="V694" s="1">
        <v>7</v>
      </c>
      <c r="W694" s="1">
        <v>6</v>
      </c>
      <c r="X694" s="1">
        <v>3</v>
      </c>
    </row>
    <row r="695" spans="1:24">
      <c r="A695" s="1">
        <v>694</v>
      </c>
      <c r="B695" s="1" t="s">
        <v>24</v>
      </c>
      <c r="C695" s="1" t="s">
        <v>25</v>
      </c>
      <c r="D695" s="1" t="s">
        <v>26</v>
      </c>
      <c r="E695" s="1" t="s">
        <v>27</v>
      </c>
      <c r="F695" s="1" t="s">
        <v>28</v>
      </c>
      <c r="G695" s="1">
        <v>1</v>
      </c>
      <c r="H695" s="1" t="s">
        <v>37</v>
      </c>
      <c r="I695" s="1" t="s">
        <v>30</v>
      </c>
      <c r="J695" s="1" t="s">
        <v>39</v>
      </c>
      <c r="K695" s="1" t="s">
        <v>24</v>
      </c>
      <c r="L695" s="1">
        <v>36</v>
      </c>
      <c r="M695" s="1">
        <v>3</v>
      </c>
      <c r="N695" s="1" t="s">
        <v>40</v>
      </c>
      <c r="O695" s="1">
        <v>3</v>
      </c>
      <c r="P695" s="1">
        <v>3</v>
      </c>
      <c r="Q695" s="1">
        <v>4</v>
      </c>
      <c r="R695" s="1">
        <v>10325</v>
      </c>
      <c r="S695" s="1">
        <v>16</v>
      </c>
      <c r="T695" s="1">
        <v>3</v>
      </c>
      <c r="U695" s="1">
        <v>16</v>
      </c>
      <c r="V695" s="1">
        <v>7</v>
      </c>
      <c r="W695" s="1">
        <v>3</v>
      </c>
      <c r="X695" s="1">
        <v>7</v>
      </c>
    </row>
    <row r="696" spans="1:24">
      <c r="A696" s="1">
        <v>695</v>
      </c>
      <c r="B696" s="1" t="s">
        <v>33</v>
      </c>
      <c r="C696" s="1" t="s">
        <v>25</v>
      </c>
      <c r="D696" s="1" t="s">
        <v>43</v>
      </c>
      <c r="E696" s="1" t="s">
        <v>36</v>
      </c>
      <c r="F696" s="1" t="s">
        <v>28</v>
      </c>
      <c r="G696" s="1">
        <v>1</v>
      </c>
      <c r="H696" s="1" t="s">
        <v>29</v>
      </c>
      <c r="I696" s="1" t="s">
        <v>50</v>
      </c>
      <c r="J696" s="1" t="s">
        <v>31</v>
      </c>
      <c r="K696" s="1" t="s">
        <v>33</v>
      </c>
      <c r="L696" s="1">
        <v>33</v>
      </c>
      <c r="M696" s="1">
        <v>1</v>
      </c>
      <c r="N696" s="1" t="s">
        <v>47</v>
      </c>
      <c r="O696" s="1">
        <v>2</v>
      </c>
      <c r="P696" s="1">
        <v>2</v>
      </c>
      <c r="Q696" s="1">
        <v>4</v>
      </c>
      <c r="R696" s="1">
        <v>6949</v>
      </c>
      <c r="S696" s="1">
        <v>6</v>
      </c>
      <c r="T696" s="1">
        <v>3</v>
      </c>
      <c r="U696" s="1">
        <v>5</v>
      </c>
      <c r="V696" s="1">
        <v>0</v>
      </c>
      <c r="W696" s="1">
        <v>1</v>
      </c>
      <c r="X696" s="1">
        <v>4</v>
      </c>
    </row>
    <row r="697" spans="1:24">
      <c r="A697" s="1">
        <v>696</v>
      </c>
      <c r="B697" s="1" t="s">
        <v>24</v>
      </c>
      <c r="C697" s="1" t="s">
        <v>25</v>
      </c>
      <c r="D697" s="1" t="s">
        <v>26</v>
      </c>
      <c r="E697" s="1" t="s">
        <v>27</v>
      </c>
      <c r="F697" s="1" t="s">
        <v>28</v>
      </c>
      <c r="G697" s="1">
        <v>1</v>
      </c>
      <c r="H697" s="1" t="s">
        <v>37</v>
      </c>
      <c r="I697" s="1" t="s">
        <v>30</v>
      </c>
      <c r="J697" s="1" t="s">
        <v>39</v>
      </c>
      <c r="K697" s="1" t="s">
        <v>33</v>
      </c>
      <c r="L697" s="1">
        <v>37</v>
      </c>
      <c r="M697" s="1">
        <v>1</v>
      </c>
      <c r="N697" s="1" t="s">
        <v>44</v>
      </c>
      <c r="O697" s="1">
        <v>1</v>
      </c>
      <c r="P697" s="1">
        <v>3</v>
      </c>
      <c r="Q697" s="1">
        <v>3</v>
      </c>
      <c r="R697" s="1">
        <v>10609</v>
      </c>
      <c r="S697" s="1">
        <v>17</v>
      </c>
      <c r="T697" s="1">
        <v>1</v>
      </c>
      <c r="U697" s="1">
        <v>14</v>
      </c>
      <c r="V697" s="1">
        <v>1</v>
      </c>
      <c r="W697" s="1">
        <v>11</v>
      </c>
      <c r="X697" s="1">
        <v>7</v>
      </c>
    </row>
    <row r="698" spans="1:24">
      <c r="A698" s="1">
        <v>697</v>
      </c>
      <c r="B698" s="1" t="s">
        <v>33</v>
      </c>
      <c r="C698" s="1" t="s">
        <v>51</v>
      </c>
      <c r="D698" s="1" t="s">
        <v>35</v>
      </c>
      <c r="E698" s="1" t="s">
        <v>36</v>
      </c>
      <c r="F698" s="1" t="s">
        <v>28</v>
      </c>
      <c r="G698" s="1">
        <v>1</v>
      </c>
      <c r="H698" s="1" t="s">
        <v>37</v>
      </c>
      <c r="I698" s="1" t="s">
        <v>42</v>
      </c>
      <c r="J698" s="1" t="s">
        <v>39</v>
      </c>
      <c r="K698" s="1" t="s">
        <v>33</v>
      </c>
      <c r="L698" s="1">
        <v>45</v>
      </c>
      <c r="M698" s="1">
        <v>4</v>
      </c>
      <c r="N698" s="1" t="s">
        <v>32</v>
      </c>
      <c r="O698" s="1">
        <v>3</v>
      </c>
      <c r="P698" s="1">
        <v>2</v>
      </c>
      <c r="Q698" s="1">
        <v>2</v>
      </c>
      <c r="R698" s="1">
        <v>4447</v>
      </c>
      <c r="S698" s="1">
        <v>9</v>
      </c>
      <c r="T698" s="1">
        <v>2</v>
      </c>
      <c r="U698" s="1">
        <v>9</v>
      </c>
      <c r="V698" s="1">
        <v>7</v>
      </c>
      <c r="W698" s="1">
        <v>0</v>
      </c>
      <c r="X698" s="1">
        <v>8</v>
      </c>
    </row>
    <row r="699" spans="1:24">
      <c r="A699" s="1">
        <v>698</v>
      </c>
      <c r="B699" s="1" t="s">
        <v>33</v>
      </c>
      <c r="C699" s="1" t="s">
        <v>34</v>
      </c>
      <c r="D699" s="1" t="s">
        <v>43</v>
      </c>
      <c r="E699" s="1" t="s">
        <v>27</v>
      </c>
      <c r="F699" s="1" t="s">
        <v>57</v>
      </c>
      <c r="G699" s="1">
        <v>1</v>
      </c>
      <c r="H699" s="1" t="s">
        <v>29</v>
      </c>
      <c r="I699" s="1" t="s">
        <v>54</v>
      </c>
      <c r="J699" s="1" t="s">
        <v>39</v>
      </c>
      <c r="K699" s="1" t="s">
        <v>33</v>
      </c>
      <c r="L699" s="1">
        <v>29</v>
      </c>
      <c r="M699" s="1">
        <v>20</v>
      </c>
      <c r="N699" s="1" t="s">
        <v>47</v>
      </c>
      <c r="O699" s="1">
        <v>3</v>
      </c>
      <c r="P699" s="1">
        <v>1</v>
      </c>
      <c r="Q699" s="1">
        <v>4</v>
      </c>
      <c r="R699" s="1">
        <v>2157</v>
      </c>
      <c r="S699" s="1">
        <v>3</v>
      </c>
      <c r="T699" s="1">
        <v>3</v>
      </c>
      <c r="U699" s="1">
        <v>3</v>
      </c>
      <c r="V699" s="1">
        <v>1</v>
      </c>
      <c r="W699" s="1">
        <v>0</v>
      </c>
      <c r="X699" s="1">
        <v>2</v>
      </c>
    </row>
    <row r="700" spans="1:24">
      <c r="A700" s="1">
        <v>699</v>
      </c>
      <c r="B700" s="1" t="s">
        <v>33</v>
      </c>
      <c r="C700" s="1" t="s">
        <v>25</v>
      </c>
      <c r="D700" s="1" t="s">
        <v>26</v>
      </c>
      <c r="E700" s="1" t="s">
        <v>27</v>
      </c>
      <c r="F700" s="1" t="s">
        <v>45</v>
      </c>
      <c r="G700" s="1">
        <v>1</v>
      </c>
      <c r="H700" s="1" t="s">
        <v>29</v>
      </c>
      <c r="I700" s="1" t="s">
        <v>30</v>
      </c>
      <c r="J700" s="1" t="s">
        <v>39</v>
      </c>
      <c r="K700" s="1" t="s">
        <v>33</v>
      </c>
      <c r="L700" s="1">
        <v>35</v>
      </c>
      <c r="M700" s="1">
        <v>18</v>
      </c>
      <c r="N700" s="1" t="s">
        <v>47</v>
      </c>
      <c r="O700" s="1">
        <v>3</v>
      </c>
      <c r="P700" s="1">
        <v>2</v>
      </c>
      <c r="Q700" s="1">
        <v>3</v>
      </c>
      <c r="R700" s="1">
        <v>4601</v>
      </c>
      <c r="S700" s="1">
        <v>5</v>
      </c>
      <c r="T700" s="1">
        <v>3</v>
      </c>
      <c r="U700" s="1">
        <v>5</v>
      </c>
      <c r="V700" s="1">
        <v>2</v>
      </c>
      <c r="W700" s="1">
        <v>1</v>
      </c>
      <c r="X700" s="1">
        <v>0</v>
      </c>
    </row>
    <row r="701" spans="1:24">
      <c r="A701" s="1">
        <v>700</v>
      </c>
      <c r="B701" s="1" t="s">
        <v>33</v>
      </c>
      <c r="C701" s="1" t="s">
        <v>25</v>
      </c>
      <c r="D701" s="1" t="s">
        <v>35</v>
      </c>
      <c r="E701" s="1" t="s">
        <v>36</v>
      </c>
      <c r="F701" s="1" t="s">
        <v>28</v>
      </c>
      <c r="G701" s="1">
        <v>1</v>
      </c>
      <c r="H701" s="1" t="s">
        <v>37</v>
      </c>
      <c r="I701" s="1" t="s">
        <v>53</v>
      </c>
      <c r="J701" s="1" t="s">
        <v>39</v>
      </c>
      <c r="K701" s="1" t="s">
        <v>33</v>
      </c>
      <c r="L701" s="1">
        <v>52</v>
      </c>
      <c r="M701" s="1">
        <v>1</v>
      </c>
      <c r="N701" s="1" t="s">
        <v>32</v>
      </c>
      <c r="O701" s="1">
        <v>4</v>
      </c>
      <c r="P701" s="1">
        <v>4</v>
      </c>
      <c r="Q701" s="1">
        <v>4</v>
      </c>
      <c r="R701" s="1">
        <v>17099</v>
      </c>
      <c r="S701" s="1">
        <v>26</v>
      </c>
      <c r="T701" s="1">
        <v>2</v>
      </c>
      <c r="U701" s="1">
        <v>9</v>
      </c>
      <c r="V701" s="1">
        <v>8</v>
      </c>
      <c r="W701" s="1">
        <v>7</v>
      </c>
      <c r="X701" s="1">
        <v>8</v>
      </c>
    </row>
    <row r="702" spans="1:24">
      <c r="A702" s="1">
        <v>701</v>
      </c>
      <c r="B702" s="1" t="s">
        <v>24</v>
      </c>
      <c r="C702" s="1" t="s">
        <v>25</v>
      </c>
      <c r="D702" s="1" t="s">
        <v>46</v>
      </c>
      <c r="E702" s="1" t="s">
        <v>36</v>
      </c>
      <c r="F702" s="1" t="s">
        <v>57</v>
      </c>
      <c r="G702" s="1">
        <v>1</v>
      </c>
      <c r="H702" s="1" t="s">
        <v>37</v>
      </c>
      <c r="I702" s="1" t="s">
        <v>38</v>
      </c>
      <c r="J702" s="1" t="s">
        <v>31</v>
      </c>
      <c r="K702" s="1" t="s">
        <v>33</v>
      </c>
      <c r="L702" s="1">
        <v>58</v>
      </c>
      <c r="M702" s="1">
        <v>2</v>
      </c>
      <c r="N702" s="1" t="s">
        <v>47</v>
      </c>
      <c r="O702" s="1">
        <v>4</v>
      </c>
      <c r="P702" s="1">
        <v>1</v>
      </c>
      <c r="Q702" s="1">
        <v>3</v>
      </c>
      <c r="R702" s="1">
        <v>2479</v>
      </c>
      <c r="S702" s="1">
        <v>7</v>
      </c>
      <c r="T702" s="1">
        <v>3</v>
      </c>
      <c r="U702" s="1">
        <v>1</v>
      </c>
      <c r="V702" s="1">
        <v>0</v>
      </c>
      <c r="W702" s="1">
        <v>0</v>
      </c>
      <c r="X702" s="1">
        <v>0</v>
      </c>
    </row>
    <row r="703" spans="1:24">
      <c r="A703" s="1">
        <v>702</v>
      </c>
      <c r="B703" s="1" t="s">
        <v>33</v>
      </c>
      <c r="C703" s="1" t="s">
        <v>25</v>
      </c>
      <c r="D703" s="1" t="s">
        <v>35</v>
      </c>
      <c r="E703" s="1" t="s">
        <v>27</v>
      </c>
      <c r="F703" s="1" t="s">
        <v>45</v>
      </c>
      <c r="G703" s="1">
        <v>1</v>
      </c>
      <c r="H703" s="1" t="s">
        <v>37</v>
      </c>
      <c r="I703" s="1" t="s">
        <v>53</v>
      </c>
      <c r="J703" s="1" t="s">
        <v>48</v>
      </c>
      <c r="K703" s="1" t="s">
        <v>33</v>
      </c>
      <c r="L703" s="1">
        <v>53</v>
      </c>
      <c r="M703" s="1">
        <v>2</v>
      </c>
      <c r="N703" s="1" t="s">
        <v>32</v>
      </c>
      <c r="O703" s="1">
        <v>3</v>
      </c>
      <c r="P703" s="1">
        <v>4</v>
      </c>
      <c r="Q703" s="1">
        <v>3</v>
      </c>
      <c r="R703" s="1">
        <v>14852</v>
      </c>
      <c r="S703" s="1">
        <v>22</v>
      </c>
      <c r="T703" s="1">
        <v>4</v>
      </c>
      <c r="U703" s="1">
        <v>17</v>
      </c>
      <c r="V703" s="1">
        <v>13</v>
      </c>
      <c r="W703" s="1">
        <v>15</v>
      </c>
      <c r="X703" s="1">
        <v>2</v>
      </c>
    </row>
    <row r="704" spans="1:24">
      <c r="A704" s="1">
        <v>703</v>
      </c>
      <c r="B704" s="1" t="s">
        <v>33</v>
      </c>
      <c r="C704" s="1" t="s">
        <v>25</v>
      </c>
      <c r="D704" s="1" t="s">
        <v>43</v>
      </c>
      <c r="E704" s="1" t="s">
        <v>27</v>
      </c>
      <c r="F704" s="1" t="s">
        <v>41</v>
      </c>
      <c r="G704" s="1">
        <v>1</v>
      </c>
      <c r="H704" s="1" t="s">
        <v>37</v>
      </c>
      <c r="I704" s="1" t="s">
        <v>30</v>
      </c>
      <c r="J704" s="1" t="s">
        <v>48</v>
      </c>
      <c r="K704" s="1" t="s">
        <v>33</v>
      </c>
      <c r="L704" s="1">
        <v>30</v>
      </c>
      <c r="M704" s="1">
        <v>8</v>
      </c>
      <c r="N704" s="1" t="s">
        <v>32</v>
      </c>
      <c r="O704" s="1">
        <v>3</v>
      </c>
      <c r="P704" s="1">
        <v>3</v>
      </c>
      <c r="Q704" s="1">
        <v>3</v>
      </c>
      <c r="R704" s="1">
        <v>7264</v>
      </c>
      <c r="S704" s="1">
        <v>10</v>
      </c>
      <c r="T704" s="1">
        <v>4</v>
      </c>
      <c r="U704" s="1">
        <v>8</v>
      </c>
      <c r="V704" s="1">
        <v>4</v>
      </c>
      <c r="W704" s="1">
        <v>7</v>
      </c>
      <c r="X704" s="1">
        <v>7</v>
      </c>
    </row>
    <row r="705" spans="1:24">
      <c r="A705" s="1">
        <v>704</v>
      </c>
      <c r="B705" s="1" t="s">
        <v>33</v>
      </c>
      <c r="C705" s="1" t="s">
        <v>51</v>
      </c>
      <c r="D705" s="1" t="s">
        <v>26</v>
      </c>
      <c r="E705" s="1" t="s">
        <v>27</v>
      </c>
      <c r="F705" s="1" t="s">
        <v>57</v>
      </c>
      <c r="G705" s="1">
        <v>1</v>
      </c>
      <c r="H705" s="1" t="s">
        <v>29</v>
      </c>
      <c r="I705" s="1" t="s">
        <v>30</v>
      </c>
      <c r="J705" s="1" t="s">
        <v>31</v>
      </c>
      <c r="K705" s="1" t="s">
        <v>24</v>
      </c>
      <c r="L705" s="1">
        <v>38</v>
      </c>
      <c r="M705" s="1">
        <v>10</v>
      </c>
      <c r="N705" s="1" t="s">
        <v>47</v>
      </c>
      <c r="O705" s="1">
        <v>3</v>
      </c>
      <c r="P705" s="1">
        <v>2</v>
      </c>
      <c r="Q705" s="1">
        <v>4</v>
      </c>
      <c r="R705" s="1">
        <v>5666</v>
      </c>
      <c r="S705" s="1">
        <v>6</v>
      </c>
      <c r="T705" s="1">
        <v>3</v>
      </c>
      <c r="U705" s="1">
        <v>5</v>
      </c>
      <c r="V705" s="1">
        <v>3</v>
      </c>
      <c r="W705" s="1">
        <v>1</v>
      </c>
      <c r="X705" s="1">
        <v>3</v>
      </c>
    </row>
    <row r="706" spans="1:24">
      <c r="A706" s="1">
        <v>705</v>
      </c>
      <c r="B706" s="1" t="s">
        <v>33</v>
      </c>
      <c r="C706" s="1" t="s">
        <v>25</v>
      </c>
      <c r="D706" s="1" t="s">
        <v>26</v>
      </c>
      <c r="E706" s="1" t="s">
        <v>27</v>
      </c>
      <c r="F706" s="1" t="s">
        <v>28</v>
      </c>
      <c r="G706" s="1">
        <v>1</v>
      </c>
      <c r="H706" s="1" t="s">
        <v>37</v>
      </c>
      <c r="I706" s="1" t="s">
        <v>30</v>
      </c>
      <c r="J706" s="1" t="s">
        <v>48</v>
      </c>
      <c r="K706" s="1" t="s">
        <v>33</v>
      </c>
      <c r="L706" s="1">
        <v>35</v>
      </c>
      <c r="M706" s="1">
        <v>3</v>
      </c>
      <c r="N706" s="1" t="s">
        <v>44</v>
      </c>
      <c r="O706" s="1">
        <v>4</v>
      </c>
      <c r="P706" s="1">
        <v>3</v>
      </c>
      <c r="Q706" s="1">
        <v>4</v>
      </c>
      <c r="R706" s="1">
        <v>7823</v>
      </c>
      <c r="S706" s="1">
        <v>12</v>
      </c>
      <c r="T706" s="1">
        <v>3</v>
      </c>
      <c r="U706" s="1">
        <v>10</v>
      </c>
      <c r="V706" s="1">
        <v>9</v>
      </c>
      <c r="W706" s="1">
        <v>0</v>
      </c>
      <c r="X706" s="1">
        <v>8</v>
      </c>
    </row>
    <row r="707" spans="1:24">
      <c r="A707" s="1">
        <v>706</v>
      </c>
      <c r="B707" s="1" t="s">
        <v>33</v>
      </c>
      <c r="C707" s="1" t="s">
        <v>25</v>
      </c>
      <c r="D707" s="1" t="s">
        <v>26</v>
      </c>
      <c r="E707" s="1" t="s">
        <v>27</v>
      </c>
      <c r="F707" s="1" t="s">
        <v>28</v>
      </c>
      <c r="G707" s="1">
        <v>1</v>
      </c>
      <c r="H707" s="1" t="s">
        <v>37</v>
      </c>
      <c r="I707" s="1" t="s">
        <v>30</v>
      </c>
      <c r="J707" s="1" t="s">
        <v>31</v>
      </c>
      <c r="K707" s="1" t="s">
        <v>33</v>
      </c>
      <c r="L707" s="1">
        <v>39</v>
      </c>
      <c r="M707" s="1">
        <v>2</v>
      </c>
      <c r="N707" s="1" t="s">
        <v>58</v>
      </c>
      <c r="O707" s="1">
        <v>1</v>
      </c>
      <c r="P707" s="1">
        <v>3</v>
      </c>
      <c r="Q707" s="1">
        <v>3</v>
      </c>
      <c r="R707" s="1">
        <v>7880</v>
      </c>
      <c r="S707" s="1">
        <v>9</v>
      </c>
      <c r="T707" s="1">
        <v>3</v>
      </c>
      <c r="U707" s="1">
        <v>8</v>
      </c>
      <c r="V707" s="1">
        <v>7</v>
      </c>
      <c r="W707" s="1">
        <v>0</v>
      </c>
      <c r="X707" s="1">
        <v>7</v>
      </c>
    </row>
    <row r="708" spans="1:24">
      <c r="A708" s="1">
        <v>707</v>
      </c>
      <c r="B708" s="1" t="s">
        <v>24</v>
      </c>
      <c r="C708" s="1" t="s">
        <v>51</v>
      </c>
      <c r="D708" s="1" t="s">
        <v>26</v>
      </c>
      <c r="E708" s="1" t="s">
        <v>27</v>
      </c>
      <c r="F708" s="1" t="s">
        <v>28</v>
      </c>
      <c r="G708" s="1">
        <v>1</v>
      </c>
      <c r="H708" s="1" t="s">
        <v>29</v>
      </c>
      <c r="I708" s="1" t="s">
        <v>30</v>
      </c>
      <c r="J708" s="1" t="s">
        <v>31</v>
      </c>
      <c r="K708" s="1" t="s">
        <v>24</v>
      </c>
      <c r="L708" s="1">
        <v>40</v>
      </c>
      <c r="M708" s="1">
        <v>24</v>
      </c>
      <c r="N708" s="1" t="s">
        <v>47</v>
      </c>
      <c r="O708" s="1">
        <v>2</v>
      </c>
      <c r="P708" s="1">
        <v>4</v>
      </c>
      <c r="Q708" s="1">
        <v>2</v>
      </c>
      <c r="R708" s="1">
        <v>13194</v>
      </c>
      <c r="S708" s="1">
        <v>22</v>
      </c>
      <c r="T708" s="1">
        <v>2</v>
      </c>
      <c r="U708" s="1">
        <v>1</v>
      </c>
      <c r="V708" s="1">
        <v>0</v>
      </c>
      <c r="W708" s="1">
        <v>0</v>
      </c>
      <c r="X708" s="1">
        <v>0</v>
      </c>
    </row>
    <row r="709" spans="1:24">
      <c r="A709" s="1">
        <v>708</v>
      </c>
      <c r="B709" s="1" t="s">
        <v>33</v>
      </c>
      <c r="C709" s="1" t="s">
        <v>34</v>
      </c>
      <c r="D709" s="1" t="s">
        <v>35</v>
      </c>
      <c r="E709" s="1" t="s">
        <v>36</v>
      </c>
      <c r="F709" s="1" t="s">
        <v>45</v>
      </c>
      <c r="G709" s="1">
        <v>1</v>
      </c>
      <c r="H709" s="1" t="s">
        <v>37</v>
      </c>
      <c r="I709" s="1" t="s">
        <v>49</v>
      </c>
      <c r="J709" s="1" t="s">
        <v>48</v>
      </c>
      <c r="K709" s="1" t="s">
        <v>24</v>
      </c>
      <c r="L709" s="1">
        <v>47</v>
      </c>
      <c r="M709" s="1">
        <v>16</v>
      </c>
      <c r="N709" s="1" t="s">
        <v>44</v>
      </c>
      <c r="O709" s="1">
        <v>3</v>
      </c>
      <c r="P709" s="1">
        <v>2</v>
      </c>
      <c r="Q709" s="1">
        <v>3</v>
      </c>
      <c r="R709" s="1">
        <v>5067</v>
      </c>
      <c r="S709" s="1">
        <v>20</v>
      </c>
      <c r="T709" s="1">
        <v>4</v>
      </c>
      <c r="U709" s="1">
        <v>19</v>
      </c>
      <c r="V709" s="1">
        <v>10</v>
      </c>
      <c r="W709" s="1">
        <v>2</v>
      </c>
      <c r="X709" s="1">
        <v>7</v>
      </c>
    </row>
    <row r="710" spans="1:24">
      <c r="A710" s="1">
        <v>709</v>
      </c>
      <c r="B710" s="1" t="s">
        <v>33</v>
      </c>
      <c r="C710" s="1" t="s">
        <v>51</v>
      </c>
      <c r="D710" s="1" t="s">
        <v>26</v>
      </c>
      <c r="E710" s="1" t="s">
        <v>27</v>
      </c>
      <c r="F710" s="1" t="s">
        <v>57</v>
      </c>
      <c r="G710" s="1">
        <v>1</v>
      </c>
      <c r="H710" s="1" t="s">
        <v>37</v>
      </c>
      <c r="I710" s="1" t="s">
        <v>30</v>
      </c>
      <c r="J710" s="1" t="s">
        <v>48</v>
      </c>
      <c r="K710" s="1" t="s">
        <v>33</v>
      </c>
      <c r="L710" s="1">
        <v>36</v>
      </c>
      <c r="M710" s="1">
        <v>8</v>
      </c>
      <c r="N710" s="1" t="s">
        <v>44</v>
      </c>
      <c r="O710" s="1">
        <v>1</v>
      </c>
      <c r="P710" s="1">
        <v>2</v>
      </c>
      <c r="Q710" s="1">
        <v>4</v>
      </c>
      <c r="R710" s="1">
        <v>5079</v>
      </c>
      <c r="S710" s="1">
        <v>12</v>
      </c>
      <c r="T710" s="1">
        <v>3</v>
      </c>
      <c r="U710" s="1">
        <v>7</v>
      </c>
      <c r="V710" s="1">
        <v>7</v>
      </c>
      <c r="W710" s="1">
        <v>0</v>
      </c>
      <c r="X710" s="1">
        <v>7</v>
      </c>
    </row>
    <row r="711" spans="1:24">
      <c r="A711" s="1">
        <v>710</v>
      </c>
      <c r="B711" s="1" t="s">
        <v>24</v>
      </c>
      <c r="C711" s="1" t="s">
        <v>51</v>
      </c>
      <c r="D711" s="1" t="s">
        <v>43</v>
      </c>
      <c r="E711" s="1" t="s">
        <v>36</v>
      </c>
      <c r="F711" s="1" t="s">
        <v>45</v>
      </c>
      <c r="G711" s="1">
        <v>1</v>
      </c>
      <c r="H711" s="1" t="s">
        <v>37</v>
      </c>
      <c r="I711" s="1" t="s">
        <v>38</v>
      </c>
      <c r="J711" s="1" t="s">
        <v>31</v>
      </c>
      <c r="K711" s="1" t="s">
        <v>24</v>
      </c>
      <c r="L711" s="1">
        <v>31</v>
      </c>
      <c r="M711" s="1">
        <v>9</v>
      </c>
      <c r="N711" s="1" t="s">
        <v>32</v>
      </c>
      <c r="O711" s="1">
        <v>3</v>
      </c>
      <c r="P711" s="1">
        <v>1</v>
      </c>
      <c r="Q711" s="1">
        <v>1</v>
      </c>
      <c r="R711" s="1">
        <v>2321</v>
      </c>
      <c r="S711" s="1">
        <v>4</v>
      </c>
      <c r="T711" s="1">
        <v>3</v>
      </c>
      <c r="U711" s="1">
        <v>3</v>
      </c>
      <c r="V711" s="1">
        <v>2</v>
      </c>
      <c r="W711" s="1">
        <v>1</v>
      </c>
      <c r="X711" s="1">
        <v>2</v>
      </c>
    </row>
    <row r="712" spans="1:24">
      <c r="A712" s="1">
        <v>711</v>
      </c>
      <c r="B712" s="1" t="s">
        <v>33</v>
      </c>
      <c r="C712" s="1" t="s">
        <v>51</v>
      </c>
      <c r="D712" s="1" t="s">
        <v>43</v>
      </c>
      <c r="E712" s="1" t="s">
        <v>27</v>
      </c>
      <c r="F712" s="1" t="s">
        <v>28</v>
      </c>
      <c r="G712" s="1">
        <v>1</v>
      </c>
      <c r="H712" s="1" t="s">
        <v>37</v>
      </c>
      <c r="I712" s="1" t="s">
        <v>53</v>
      </c>
      <c r="J712" s="1" t="s">
        <v>31</v>
      </c>
      <c r="K712" s="1" t="s">
        <v>33</v>
      </c>
      <c r="L712" s="1">
        <v>33</v>
      </c>
      <c r="M712" s="1">
        <v>17</v>
      </c>
      <c r="N712" s="1" t="s">
        <v>47</v>
      </c>
      <c r="O712" s="1">
        <v>4</v>
      </c>
      <c r="P712" s="1">
        <v>4</v>
      </c>
      <c r="Q712" s="1">
        <v>3</v>
      </c>
      <c r="R712" s="1">
        <v>17444</v>
      </c>
      <c r="S712" s="1">
        <v>10</v>
      </c>
      <c r="T712" s="1">
        <v>3</v>
      </c>
      <c r="U712" s="1">
        <v>10</v>
      </c>
      <c r="V712" s="1">
        <v>8</v>
      </c>
      <c r="W712" s="1">
        <v>6</v>
      </c>
      <c r="X712" s="1">
        <v>0</v>
      </c>
    </row>
    <row r="713" spans="1:24">
      <c r="A713" s="1">
        <v>712</v>
      </c>
      <c r="B713" s="1" t="s">
        <v>24</v>
      </c>
      <c r="C713" s="1" t="s">
        <v>25</v>
      </c>
      <c r="D713" s="1" t="s">
        <v>43</v>
      </c>
      <c r="E713" s="1" t="s">
        <v>36</v>
      </c>
      <c r="F713" s="1" t="s">
        <v>28</v>
      </c>
      <c r="G713" s="1">
        <v>1</v>
      </c>
      <c r="H713" s="1" t="s">
        <v>29</v>
      </c>
      <c r="I713" s="1" t="s">
        <v>38</v>
      </c>
      <c r="J713" s="1" t="s">
        <v>31</v>
      </c>
      <c r="K713" s="1" t="s">
        <v>24</v>
      </c>
      <c r="L713" s="1">
        <v>29</v>
      </c>
      <c r="M713" s="1">
        <v>10</v>
      </c>
      <c r="N713" s="1" t="s">
        <v>47</v>
      </c>
      <c r="O713" s="1">
        <v>4</v>
      </c>
      <c r="P713" s="1">
        <v>1</v>
      </c>
      <c r="Q713" s="1">
        <v>1</v>
      </c>
      <c r="R713" s="1">
        <v>2404</v>
      </c>
      <c r="S713" s="1">
        <v>3</v>
      </c>
      <c r="T713" s="1">
        <v>3</v>
      </c>
      <c r="U713" s="1">
        <v>0</v>
      </c>
      <c r="V713" s="1">
        <v>0</v>
      </c>
      <c r="W713" s="1">
        <v>0</v>
      </c>
      <c r="X713" s="1">
        <v>0</v>
      </c>
    </row>
    <row r="714" spans="1:24">
      <c r="A714" s="1">
        <v>713</v>
      </c>
      <c r="B714" s="1" t="s">
        <v>33</v>
      </c>
      <c r="C714" s="1" t="s">
        <v>25</v>
      </c>
      <c r="D714" s="1" t="s">
        <v>43</v>
      </c>
      <c r="E714" s="1" t="s">
        <v>36</v>
      </c>
      <c r="F714" s="1" t="s">
        <v>28</v>
      </c>
      <c r="G714" s="1">
        <v>1</v>
      </c>
      <c r="H714" s="1" t="s">
        <v>29</v>
      </c>
      <c r="I714" s="1" t="s">
        <v>38</v>
      </c>
      <c r="J714" s="1" t="s">
        <v>31</v>
      </c>
      <c r="K714" s="1" t="s">
        <v>33</v>
      </c>
      <c r="L714" s="1">
        <v>33</v>
      </c>
      <c r="M714" s="1">
        <v>13</v>
      </c>
      <c r="N714" s="1" t="s">
        <v>40</v>
      </c>
      <c r="O714" s="1">
        <v>2</v>
      </c>
      <c r="P714" s="1">
        <v>1</v>
      </c>
      <c r="Q714" s="1">
        <v>4</v>
      </c>
      <c r="R714" s="1">
        <v>3452</v>
      </c>
      <c r="S714" s="1">
        <v>5</v>
      </c>
      <c r="T714" s="1">
        <v>3</v>
      </c>
      <c r="U714" s="1">
        <v>3</v>
      </c>
      <c r="V714" s="1">
        <v>2</v>
      </c>
      <c r="W714" s="1">
        <v>0</v>
      </c>
      <c r="X714" s="1">
        <v>2</v>
      </c>
    </row>
    <row r="715" spans="1:24">
      <c r="A715" s="1">
        <v>714</v>
      </c>
      <c r="B715" s="1" t="s">
        <v>33</v>
      </c>
      <c r="C715" s="1" t="s">
        <v>25</v>
      </c>
      <c r="D715" s="1" t="s">
        <v>35</v>
      </c>
      <c r="E715" s="1" t="s">
        <v>36</v>
      </c>
      <c r="F715" s="1" t="s">
        <v>45</v>
      </c>
      <c r="G715" s="1">
        <v>1</v>
      </c>
      <c r="H715" s="1" t="s">
        <v>29</v>
      </c>
      <c r="I715" s="1" t="s">
        <v>42</v>
      </c>
      <c r="J715" s="1" t="s">
        <v>48</v>
      </c>
      <c r="K715" s="1" t="s">
        <v>33</v>
      </c>
      <c r="L715" s="1">
        <v>45</v>
      </c>
      <c r="M715" s="1">
        <v>1</v>
      </c>
      <c r="N715" s="1" t="s">
        <v>44</v>
      </c>
      <c r="O715" s="1">
        <v>4</v>
      </c>
      <c r="P715" s="1">
        <v>1</v>
      </c>
      <c r="Q715" s="1">
        <v>4</v>
      </c>
      <c r="R715" s="1">
        <v>2270</v>
      </c>
      <c r="S715" s="1">
        <v>8</v>
      </c>
      <c r="T715" s="1">
        <v>3</v>
      </c>
      <c r="U715" s="1">
        <v>5</v>
      </c>
      <c r="V715" s="1">
        <v>3</v>
      </c>
      <c r="W715" s="1">
        <v>0</v>
      </c>
      <c r="X715" s="1">
        <v>2</v>
      </c>
    </row>
    <row r="716" spans="1:24">
      <c r="A716" s="1">
        <v>715</v>
      </c>
      <c r="B716" s="1" t="s">
        <v>33</v>
      </c>
      <c r="C716" s="1" t="s">
        <v>25</v>
      </c>
      <c r="D716" s="1" t="s">
        <v>35</v>
      </c>
      <c r="E716" s="1" t="s">
        <v>36</v>
      </c>
      <c r="F716" s="1" t="s">
        <v>45</v>
      </c>
      <c r="G716" s="1">
        <v>1</v>
      </c>
      <c r="H716" s="1" t="s">
        <v>37</v>
      </c>
      <c r="I716" s="1" t="s">
        <v>55</v>
      </c>
      <c r="J716" s="1" t="s">
        <v>48</v>
      </c>
      <c r="K716" s="1" t="s">
        <v>33</v>
      </c>
      <c r="L716" s="1">
        <v>50</v>
      </c>
      <c r="M716" s="1">
        <v>1</v>
      </c>
      <c r="N716" s="1" t="s">
        <v>32</v>
      </c>
      <c r="O716" s="1">
        <v>4</v>
      </c>
      <c r="P716" s="1">
        <v>4</v>
      </c>
      <c r="Q716" s="1">
        <v>4</v>
      </c>
      <c r="R716" s="1">
        <v>17399</v>
      </c>
      <c r="S716" s="1">
        <v>32</v>
      </c>
      <c r="T716" s="1">
        <v>2</v>
      </c>
      <c r="U716" s="1">
        <v>5</v>
      </c>
      <c r="V716" s="1">
        <v>4</v>
      </c>
      <c r="W716" s="1">
        <v>1</v>
      </c>
      <c r="X716" s="1">
        <v>3</v>
      </c>
    </row>
    <row r="717" spans="1:24">
      <c r="A717" s="1">
        <v>716</v>
      </c>
      <c r="B717" s="1" t="s">
        <v>33</v>
      </c>
      <c r="C717" s="1" t="s">
        <v>34</v>
      </c>
      <c r="D717" s="1" t="s">
        <v>43</v>
      </c>
      <c r="E717" s="1" t="s">
        <v>36</v>
      </c>
      <c r="F717" s="1" t="s">
        <v>41</v>
      </c>
      <c r="G717" s="1">
        <v>1</v>
      </c>
      <c r="H717" s="1" t="s">
        <v>29</v>
      </c>
      <c r="I717" s="1" t="s">
        <v>50</v>
      </c>
      <c r="J717" s="1" t="s">
        <v>39</v>
      </c>
      <c r="K717" s="1" t="s">
        <v>24</v>
      </c>
      <c r="L717" s="1">
        <v>33</v>
      </c>
      <c r="M717" s="1">
        <v>1</v>
      </c>
      <c r="N717" s="1" t="s">
        <v>44</v>
      </c>
      <c r="O717" s="1">
        <v>3</v>
      </c>
      <c r="P717" s="1">
        <v>2</v>
      </c>
      <c r="Q717" s="1">
        <v>2</v>
      </c>
      <c r="R717" s="1">
        <v>5488</v>
      </c>
      <c r="S717" s="1">
        <v>6</v>
      </c>
      <c r="T717" s="1">
        <v>3</v>
      </c>
      <c r="U717" s="1">
        <v>6</v>
      </c>
      <c r="V717" s="1">
        <v>5</v>
      </c>
      <c r="W717" s="1">
        <v>1</v>
      </c>
      <c r="X717" s="1">
        <v>2</v>
      </c>
    </row>
    <row r="718" spans="1:24">
      <c r="A718" s="1">
        <v>717</v>
      </c>
      <c r="B718" s="1" t="s">
        <v>33</v>
      </c>
      <c r="C718" s="1" t="s">
        <v>34</v>
      </c>
      <c r="D718" s="1" t="s">
        <v>26</v>
      </c>
      <c r="E718" s="1" t="s">
        <v>36</v>
      </c>
      <c r="F718" s="1" t="s">
        <v>45</v>
      </c>
      <c r="G718" s="1">
        <v>1</v>
      </c>
      <c r="H718" s="1" t="s">
        <v>37</v>
      </c>
      <c r="I718" s="1" t="s">
        <v>55</v>
      </c>
      <c r="J718" s="1" t="s">
        <v>48</v>
      </c>
      <c r="K718" s="1" t="s">
        <v>33</v>
      </c>
      <c r="L718" s="1">
        <v>41</v>
      </c>
      <c r="M718" s="1">
        <v>9</v>
      </c>
      <c r="N718" s="1" t="s">
        <v>47</v>
      </c>
      <c r="O718" s="1">
        <v>1</v>
      </c>
      <c r="P718" s="1">
        <v>5</v>
      </c>
      <c r="Q718" s="1">
        <v>3</v>
      </c>
      <c r="R718" s="1">
        <v>19419</v>
      </c>
      <c r="S718" s="1">
        <v>21</v>
      </c>
      <c r="T718" s="1">
        <v>4</v>
      </c>
      <c r="U718" s="1">
        <v>18</v>
      </c>
      <c r="V718" s="1">
        <v>16</v>
      </c>
      <c r="W718" s="1">
        <v>0</v>
      </c>
      <c r="X718" s="1">
        <v>11</v>
      </c>
    </row>
    <row r="719" spans="1:24">
      <c r="A719" s="1">
        <v>718</v>
      </c>
      <c r="B719" s="1" t="s">
        <v>33</v>
      </c>
      <c r="C719" s="1" t="s">
        <v>25</v>
      </c>
      <c r="D719" s="1" t="s">
        <v>43</v>
      </c>
      <c r="E719" s="1" t="s">
        <v>36</v>
      </c>
      <c r="F719" s="1" t="s">
        <v>57</v>
      </c>
      <c r="G719" s="1">
        <v>1</v>
      </c>
      <c r="H719" s="1" t="s">
        <v>29</v>
      </c>
      <c r="I719" s="1" t="s">
        <v>42</v>
      </c>
      <c r="J719" s="1" t="s">
        <v>39</v>
      </c>
      <c r="K719" s="1" t="s">
        <v>33</v>
      </c>
      <c r="L719" s="1">
        <v>27</v>
      </c>
      <c r="M719" s="1">
        <v>16</v>
      </c>
      <c r="N719" s="1" t="s">
        <v>44</v>
      </c>
      <c r="O719" s="1">
        <v>3</v>
      </c>
      <c r="P719" s="1">
        <v>1</v>
      </c>
      <c r="Q719" s="1">
        <v>2</v>
      </c>
      <c r="R719" s="1">
        <v>2811</v>
      </c>
      <c r="S719" s="1">
        <v>4</v>
      </c>
      <c r="T719" s="1">
        <v>3</v>
      </c>
      <c r="U719" s="1">
        <v>2</v>
      </c>
      <c r="V719" s="1">
        <v>2</v>
      </c>
      <c r="W719" s="1">
        <v>2</v>
      </c>
      <c r="X719" s="1">
        <v>2</v>
      </c>
    </row>
    <row r="720" spans="1:24">
      <c r="A720" s="1">
        <v>719</v>
      </c>
      <c r="B720" s="1" t="s">
        <v>33</v>
      </c>
      <c r="C720" s="1" t="s">
        <v>51</v>
      </c>
      <c r="D720" s="1" t="s">
        <v>35</v>
      </c>
      <c r="E720" s="1" t="s">
        <v>36</v>
      </c>
      <c r="F720" s="1" t="s">
        <v>28</v>
      </c>
      <c r="G720" s="1">
        <v>1</v>
      </c>
      <c r="H720" s="1" t="s">
        <v>37</v>
      </c>
      <c r="I720" s="1" t="s">
        <v>42</v>
      </c>
      <c r="J720" s="1" t="s">
        <v>39</v>
      </c>
      <c r="K720" s="1" t="s">
        <v>24</v>
      </c>
      <c r="L720" s="1">
        <v>45</v>
      </c>
      <c r="M720" s="1">
        <v>23</v>
      </c>
      <c r="N720" s="1" t="s">
        <v>32</v>
      </c>
      <c r="O720" s="1">
        <v>4</v>
      </c>
      <c r="P720" s="1">
        <v>2</v>
      </c>
      <c r="Q720" s="1">
        <v>1</v>
      </c>
      <c r="R720" s="1">
        <v>3633</v>
      </c>
      <c r="S720" s="1">
        <v>9</v>
      </c>
      <c r="T720" s="1">
        <v>3</v>
      </c>
      <c r="U720" s="1">
        <v>9</v>
      </c>
      <c r="V720" s="1">
        <v>8</v>
      </c>
      <c r="W720" s="1">
        <v>0</v>
      </c>
      <c r="X720" s="1">
        <v>8</v>
      </c>
    </row>
    <row r="721" spans="1:24">
      <c r="A721" s="1">
        <v>720</v>
      </c>
      <c r="B721" s="1" t="s">
        <v>33</v>
      </c>
      <c r="C721" s="1" t="s">
        <v>25</v>
      </c>
      <c r="D721" s="1" t="s">
        <v>35</v>
      </c>
      <c r="E721" s="1" t="s">
        <v>27</v>
      </c>
      <c r="F721" s="1" t="s">
        <v>28</v>
      </c>
      <c r="G721" s="1">
        <v>1</v>
      </c>
      <c r="H721" s="1" t="s">
        <v>29</v>
      </c>
      <c r="I721" s="1" t="s">
        <v>30</v>
      </c>
      <c r="J721" s="1" t="s">
        <v>31</v>
      </c>
      <c r="K721" s="1" t="s">
        <v>24</v>
      </c>
      <c r="L721" s="1">
        <v>47</v>
      </c>
      <c r="M721" s="1">
        <v>4</v>
      </c>
      <c r="N721" s="1" t="s">
        <v>32</v>
      </c>
      <c r="O721" s="1">
        <v>4</v>
      </c>
      <c r="P721" s="1">
        <v>2</v>
      </c>
      <c r="Q721" s="1">
        <v>4</v>
      </c>
      <c r="R721" s="1">
        <v>4163</v>
      </c>
      <c r="S721" s="1">
        <v>9</v>
      </c>
      <c r="T721" s="1">
        <v>3</v>
      </c>
      <c r="U721" s="1">
        <v>9</v>
      </c>
      <c r="V721" s="1">
        <v>0</v>
      </c>
      <c r="W721" s="1">
        <v>0</v>
      </c>
      <c r="X721" s="1">
        <v>7</v>
      </c>
    </row>
    <row r="722" spans="1:24">
      <c r="A722" s="1">
        <v>721</v>
      </c>
      <c r="B722" s="1" t="s">
        <v>24</v>
      </c>
      <c r="C722" s="1" t="s">
        <v>25</v>
      </c>
      <c r="D722" s="1" t="s">
        <v>43</v>
      </c>
      <c r="E722" s="1" t="s">
        <v>36</v>
      </c>
      <c r="F722" s="1" t="s">
        <v>28</v>
      </c>
      <c r="G722" s="1">
        <v>1</v>
      </c>
      <c r="H722" s="1" t="s">
        <v>29</v>
      </c>
      <c r="I722" s="1" t="s">
        <v>38</v>
      </c>
      <c r="J722" s="1" t="s">
        <v>39</v>
      </c>
      <c r="K722" s="1" t="s">
        <v>24</v>
      </c>
      <c r="L722" s="1">
        <v>30</v>
      </c>
      <c r="M722" s="1">
        <v>22</v>
      </c>
      <c r="N722" s="1" t="s">
        <v>47</v>
      </c>
      <c r="O722" s="1">
        <v>1</v>
      </c>
      <c r="P722" s="1">
        <v>1</v>
      </c>
      <c r="Q722" s="1">
        <v>3</v>
      </c>
      <c r="R722" s="1">
        <v>2132</v>
      </c>
      <c r="S722" s="1">
        <v>7</v>
      </c>
      <c r="T722" s="1">
        <v>3</v>
      </c>
      <c r="U722" s="1">
        <v>5</v>
      </c>
      <c r="V722" s="1">
        <v>2</v>
      </c>
      <c r="W722" s="1">
        <v>0</v>
      </c>
      <c r="X722" s="1">
        <v>1</v>
      </c>
    </row>
    <row r="723" spans="1:24">
      <c r="A723" s="1">
        <v>722</v>
      </c>
      <c r="B723" s="1" t="s">
        <v>33</v>
      </c>
      <c r="C723" s="1" t="s">
        <v>25</v>
      </c>
      <c r="D723" s="1" t="s">
        <v>35</v>
      </c>
      <c r="E723" s="1" t="s">
        <v>36</v>
      </c>
      <c r="F723" s="1" t="s">
        <v>28</v>
      </c>
      <c r="G723" s="1">
        <v>1</v>
      </c>
      <c r="H723" s="1" t="s">
        <v>37</v>
      </c>
      <c r="I723" s="1" t="s">
        <v>49</v>
      </c>
      <c r="J723" s="1" t="s">
        <v>39</v>
      </c>
      <c r="K723" s="1" t="s">
        <v>24</v>
      </c>
      <c r="L723" s="1">
        <v>50</v>
      </c>
      <c r="M723" s="1">
        <v>24</v>
      </c>
      <c r="N723" s="1" t="s">
        <v>47</v>
      </c>
      <c r="O723" s="1">
        <v>4</v>
      </c>
      <c r="P723" s="1">
        <v>4</v>
      </c>
      <c r="Q723" s="1">
        <v>3</v>
      </c>
      <c r="R723" s="1">
        <v>13973</v>
      </c>
      <c r="S723" s="1">
        <v>22</v>
      </c>
      <c r="T723" s="1">
        <v>3</v>
      </c>
      <c r="U723" s="1">
        <v>12</v>
      </c>
      <c r="V723" s="1">
        <v>11</v>
      </c>
      <c r="W723" s="1">
        <v>1</v>
      </c>
      <c r="X723" s="1">
        <v>5</v>
      </c>
    </row>
    <row r="724" spans="1:24">
      <c r="A724" s="1">
        <v>723</v>
      </c>
      <c r="B724" s="1" t="s">
        <v>33</v>
      </c>
      <c r="C724" s="1" t="s">
        <v>34</v>
      </c>
      <c r="D724" s="1" t="s">
        <v>26</v>
      </c>
      <c r="E724" s="1" t="s">
        <v>36</v>
      </c>
      <c r="F724" s="1" t="s">
        <v>45</v>
      </c>
      <c r="G724" s="1">
        <v>1</v>
      </c>
      <c r="H724" s="1" t="s">
        <v>37</v>
      </c>
      <c r="I724" s="1" t="s">
        <v>38</v>
      </c>
      <c r="J724" s="1" t="s">
        <v>39</v>
      </c>
      <c r="K724" s="1" t="s">
        <v>33</v>
      </c>
      <c r="L724" s="1">
        <v>38</v>
      </c>
      <c r="M724" s="1">
        <v>10</v>
      </c>
      <c r="N724" s="1" t="s">
        <v>40</v>
      </c>
      <c r="O724" s="1">
        <v>3</v>
      </c>
      <c r="P724" s="1">
        <v>1</v>
      </c>
      <c r="Q724" s="1">
        <v>3</v>
      </c>
      <c r="R724" s="1">
        <v>2684</v>
      </c>
      <c r="S724" s="1">
        <v>3</v>
      </c>
      <c r="T724" s="1">
        <v>2</v>
      </c>
      <c r="U724" s="1">
        <v>2</v>
      </c>
      <c r="V724" s="1">
        <v>1</v>
      </c>
      <c r="W724" s="1">
        <v>0</v>
      </c>
      <c r="X724" s="1">
        <v>2</v>
      </c>
    </row>
    <row r="725" spans="1:24">
      <c r="A725" s="1">
        <v>724</v>
      </c>
      <c r="B725" s="1" t="s">
        <v>33</v>
      </c>
      <c r="C725" s="1" t="s">
        <v>25</v>
      </c>
      <c r="D725" s="1" t="s">
        <v>35</v>
      </c>
      <c r="E725" s="1" t="s">
        <v>36</v>
      </c>
      <c r="F725" s="1" t="s">
        <v>45</v>
      </c>
      <c r="G725" s="1">
        <v>1</v>
      </c>
      <c r="H725" s="1" t="s">
        <v>37</v>
      </c>
      <c r="I725" s="1" t="s">
        <v>49</v>
      </c>
      <c r="J725" s="1" t="s">
        <v>48</v>
      </c>
      <c r="K725" s="1" t="s">
        <v>33</v>
      </c>
      <c r="L725" s="1">
        <v>46</v>
      </c>
      <c r="M725" s="1">
        <v>7</v>
      </c>
      <c r="N725" s="1" t="s">
        <v>32</v>
      </c>
      <c r="O725" s="1">
        <v>4</v>
      </c>
      <c r="P725" s="1">
        <v>3</v>
      </c>
      <c r="Q725" s="1">
        <v>3</v>
      </c>
      <c r="R725" s="1">
        <v>10845</v>
      </c>
      <c r="S725" s="1">
        <v>13</v>
      </c>
      <c r="T725" s="1">
        <v>3</v>
      </c>
      <c r="U725" s="1">
        <v>8</v>
      </c>
      <c r="V725" s="1">
        <v>7</v>
      </c>
      <c r="W725" s="1">
        <v>0</v>
      </c>
      <c r="X725" s="1">
        <v>7</v>
      </c>
    </row>
    <row r="726" spans="1:24">
      <c r="A726" s="1">
        <v>725</v>
      </c>
      <c r="B726" s="1" t="s">
        <v>33</v>
      </c>
      <c r="C726" s="1" t="s">
        <v>25</v>
      </c>
      <c r="D726" s="1" t="s">
        <v>52</v>
      </c>
      <c r="E726" s="1" t="s">
        <v>36</v>
      </c>
      <c r="F726" s="1" t="s">
        <v>45</v>
      </c>
      <c r="G726" s="1">
        <v>1</v>
      </c>
      <c r="H726" s="1" t="s">
        <v>29</v>
      </c>
      <c r="I726" s="1" t="s">
        <v>49</v>
      </c>
      <c r="J726" s="1" t="s">
        <v>48</v>
      </c>
      <c r="K726" s="1" t="s">
        <v>33</v>
      </c>
      <c r="L726" s="1">
        <v>24</v>
      </c>
      <c r="M726" s="1">
        <v>17</v>
      </c>
      <c r="N726" s="1" t="s">
        <v>40</v>
      </c>
      <c r="O726" s="1">
        <v>4</v>
      </c>
      <c r="P726" s="1">
        <v>2</v>
      </c>
      <c r="Q726" s="1">
        <v>3</v>
      </c>
      <c r="R726" s="1">
        <v>4377</v>
      </c>
      <c r="S726" s="1">
        <v>5</v>
      </c>
      <c r="T726" s="1">
        <v>3</v>
      </c>
      <c r="U726" s="1">
        <v>4</v>
      </c>
      <c r="V726" s="1">
        <v>2</v>
      </c>
      <c r="W726" s="1">
        <v>3</v>
      </c>
      <c r="X726" s="1">
        <v>2</v>
      </c>
    </row>
    <row r="727" spans="1:24">
      <c r="A727" s="1">
        <v>726</v>
      </c>
      <c r="B727" s="1" t="s">
        <v>24</v>
      </c>
      <c r="C727" s="1" t="s">
        <v>25</v>
      </c>
      <c r="D727" s="1" t="s">
        <v>26</v>
      </c>
      <c r="E727" s="1" t="s">
        <v>36</v>
      </c>
      <c r="F727" s="1" t="s">
        <v>41</v>
      </c>
      <c r="G727" s="1">
        <v>1</v>
      </c>
      <c r="H727" s="1" t="s">
        <v>37</v>
      </c>
      <c r="I727" s="1" t="s">
        <v>42</v>
      </c>
      <c r="J727" s="1" t="s">
        <v>48</v>
      </c>
      <c r="K727" s="1" t="s">
        <v>24</v>
      </c>
      <c r="L727" s="1">
        <v>35</v>
      </c>
      <c r="M727" s="1">
        <v>14</v>
      </c>
      <c r="N727" s="1" t="s">
        <v>44</v>
      </c>
      <c r="O727" s="1">
        <v>3</v>
      </c>
      <c r="P727" s="1">
        <v>1</v>
      </c>
      <c r="Q727" s="1">
        <v>2</v>
      </c>
      <c r="R727" s="1">
        <v>3743</v>
      </c>
      <c r="S727" s="1">
        <v>5</v>
      </c>
      <c r="T727" s="1">
        <v>1</v>
      </c>
      <c r="U727" s="1">
        <v>4</v>
      </c>
      <c r="V727" s="1">
        <v>2</v>
      </c>
      <c r="W727" s="1">
        <v>0</v>
      </c>
      <c r="X727" s="1">
        <v>2</v>
      </c>
    </row>
    <row r="728" spans="1:24">
      <c r="A728" s="1">
        <v>727</v>
      </c>
      <c r="B728" s="1" t="s">
        <v>33</v>
      </c>
      <c r="C728" s="1" t="s">
        <v>34</v>
      </c>
      <c r="D728" s="1" t="s">
        <v>43</v>
      </c>
      <c r="E728" s="1" t="s">
        <v>36</v>
      </c>
      <c r="F728" s="1" t="s">
        <v>28</v>
      </c>
      <c r="G728" s="1">
        <v>1</v>
      </c>
      <c r="H728" s="1" t="s">
        <v>29</v>
      </c>
      <c r="I728" s="1" t="s">
        <v>49</v>
      </c>
      <c r="J728" s="1" t="s">
        <v>39</v>
      </c>
      <c r="K728" s="1" t="s">
        <v>33</v>
      </c>
      <c r="L728" s="1">
        <v>31</v>
      </c>
      <c r="M728" s="1">
        <v>1</v>
      </c>
      <c r="N728" s="1" t="s">
        <v>40</v>
      </c>
      <c r="O728" s="1">
        <v>3</v>
      </c>
      <c r="P728" s="1">
        <v>2</v>
      </c>
      <c r="Q728" s="1">
        <v>1</v>
      </c>
      <c r="R728" s="1">
        <v>4148</v>
      </c>
      <c r="S728" s="1">
        <v>4</v>
      </c>
      <c r="T728" s="1">
        <v>3</v>
      </c>
      <c r="U728" s="1">
        <v>4</v>
      </c>
      <c r="V728" s="1">
        <v>3</v>
      </c>
      <c r="W728" s="1">
        <v>0</v>
      </c>
      <c r="X728" s="1">
        <v>3</v>
      </c>
    </row>
    <row r="729" spans="1:24">
      <c r="A729" s="1">
        <v>728</v>
      </c>
      <c r="B729" s="1" t="s">
        <v>33</v>
      </c>
      <c r="C729" s="1" t="s">
        <v>51</v>
      </c>
      <c r="D729" s="1" t="s">
        <v>52</v>
      </c>
      <c r="E729" s="1" t="s">
        <v>36</v>
      </c>
      <c r="F729" s="1" t="s">
        <v>28</v>
      </c>
      <c r="G729" s="1">
        <v>1</v>
      </c>
      <c r="H729" s="1" t="s">
        <v>37</v>
      </c>
      <c r="I729" s="1" t="s">
        <v>38</v>
      </c>
      <c r="J729" s="1" t="s">
        <v>31</v>
      </c>
      <c r="K729" s="1" t="s">
        <v>33</v>
      </c>
      <c r="L729" s="1">
        <v>18</v>
      </c>
      <c r="M729" s="1">
        <v>5</v>
      </c>
      <c r="N729" s="1" t="s">
        <v>32</v>
      </c>
      <c r="O729" s="1">
        <v>2</v>
      </c>
      <c r="P729" s="1">
        <v>1</v>
      </c>
      <c r="Q729" s="1">
        <v>4</v>
      </c>
      <c r="R729" s="1">
        <v>1051</v>
      </c>
      <c r="S729" s="1">
        <v>0</v>
      </c>
      <c r="T729" s="1">
        <v>3</v>
      </c>
      <c r="U729" s="1">
        <v>0</v>
      </c>
      <c r="V729" s="1">
        <v>0</v>
      </c>
      <c r="W729" s="1">
        <v>0</v>
      </c>
      <c r="X729" s="1">
        <v>0</v>
      </c>
    </row>
    <row r="730" spans="1:24">
      <c r="A730" s="1">
        <v>729</v>
      </c>
      <c r="B730" s="1" t="s">
        <v>33</v>
      </c>
      <c r="C730" s="1" t="s">
        <v>25</v>
      </c>
      <c r="D730" s="1" t="s">
        <v>35</v>
      </c>
      <c r="E730" s="1" t="s">
        <v>36</v>
      </c>
      <c r="F730" s="1" t="s">
        <v>57</v>
      </c>
      <c r="G730" s="1">
        <v>1</v>
      </c>
      <c r="H730" s="1" t="s">
        <v>29</v>
      </c>
      <c r="I730" s="1" t="s">
        <v>49</v>
      </c>
      <c r="J730" s="1" t="s">
        <v>39</v>
      </c>
      <c r="K730" s="1" t="s">
        <v>33</v>
      </c>
      <c r="L730" s="1">
        <v>54</v>
      </c>
      <c r="M730" s="1">
        <v>17</v>
      </c>
      <c r="N730" s="1" t="s">
        <v>47</v>
      </c>
      <c r="O730" s="1">
        <v>3</v>
      </c>
      <c r="P730" s="1">
        <v>3</v>
      </c>
      <c r="Q730" s="1">
        <v>3</v>
      </c>
      <c r="R730" s="1">
        <v>10739</v>
      </c>
      <c r="S730" s="1">
        <v>22</v>
      </c>
      <c r="T730" s="1">
        <v>3</v>
      </c>
      <c r="U730" s="1">
        <v>10</v>
      </c>
      <c r="V730" s="1">
        <v>7</v>
      </c>
      <c r="W730" s="1">
        <v>0</v>
      </c>
      <c r="X730" s="1">
        <v>8</v>
      </c>
    </row>
    <row r="731" spans="1:24">
      <c r="A731" s="1">
        <v>730</v>
      </c>
      <c r="B731" s="1" t="s">
        <v>33</v>
      </c>
      <c r="C731" s="1" t="s">
        <v>25</v>
      </c>
      <c r="D731" s="1" t="s">
        <v>26</v>
      </c>
      <c r="E731" s="1" t="s">
        <v>36</v>
      </c>
      <c r="F731" s="1" t="s">
        <v>45</v>
      </c>
      <c r="G731" s="1">
        <v>1</v>
      </c>
      <c r="H731" s="1" t="s">
        <v>29</v>
      </c>
      <c r="I731" s="1" t="s">
        <v>50</v>
      </c>
      <c r="J731" s="1" t="s">
        <v>48</v>
      </c>
      <c r="K731" s="1" t="s">
        <v>24</v>
      </c>
      <c r="L731" s="1">
        <v>35</v>
      </c>
      <c r="M731" s="1">
        <v>25</v>
      </c>
      <c r="N731" s="1" t="s">
        <v>44</v>
      </c>
      <c r="O731" s="1">
        <v>3</v>
      </c>
      <c r="P731" s="1">
        <v>3</v>
      </c>
      <c r="Q731" s="1">
        <v>3</v>
      </c>
      <c r="R731" s="1">
        <v>10388</v>
      </c>
      <c r="S731" s="1">
        <v>16</v>
      </c>
      <c r="T731" s="1">
        <v>2</v>
      </c>
      <c r="U731" s="1">
        <v>16</v>
      </c>
      <c r="V731" s="1">
        <v>10</v>
      </c>
      <c r="W731" s="1">
        <v>10</v>
      </c>
      <c r="X731" s="1">
        <v>1</v>
      </c>
    </row>
    <row r="732" spans="1:24">
      <c r="A732" s="1">
        <v>731</v>
      </c>
      <c r="B732" s="1" t="s">
        <v>33</v>
      </c>
      <c r="C732" s="1" t="s">
        <v>25</v>
      </c>
      <c r="D732" s="1" t="s">
        <v>43</v>
      </c>
      <c r="E732" s="1" t="s">
        <v>36</v>
      </c>
      <c r="F732" s="1" t="s">
        <v>28</v>
      </c>
      <c r="G732" s="1">
        <v>1</v>
      </c>
      <c r="H732" s="1" t="s">
        <v>29</v>
      </c>
      <c r="I732" s="1" t="s">
        <v>55</v>
      </c>
      <c r="J732" s="1" t="s">
        <v>39</v>
      </c>
      <c r="K732" s="1" t="s">
        <v>24</v>
      </c>
      <c r="L732" s="1">
        <v>30</v>
      </c>
      <c r="M732" s="1">
        <v>8</v>
      </c>
      <c r="N732" s="1" t="s">
        <v>32</v>
      </c>
      <c r="O732" s="1">
        <v>2</v>
      </c>
      <c r="P732" s="1">
        <v>3</v>
      </c>
      <c r="Q732" s="1">
        <v>1</v>
      </c>
      <c r="R732" s="1">
        <v>11416</v>
      </c>
      <c r="S732" s="1">
        <v>9</v>
      </c>
      <c r="T732" s="1">
        <v>2</v>
      </c>
      <c r="U732" s="1">
        <v>8</v>
      </c>
      <c r="V732" s="1">
        <v>7</v>
      </c>
      <c r="W732" s="1">
        <v>1</v>
      </c>
      <c r="X732" s="1">
        <v>7</v>
      </c>
    </row>
    <row r="733" spans="1:24">
      <c r="A733" s="1">
        <v>732</v>
      </c>
      <c r="B733" s="1" t="s">
        <v>24</v>
      </c>
      <c r="C733" s="1" t="s">
        <v>25</v>
      </c>
      <c r="D733" s="1" t="s">
        <v>52</v>
      </c>
      <c r="E733" s="1" t="s">
        <v>36</v>
      </c>
      <c r="F733" s="1" t="s">
        <v>45</v>
      </c>
      <c r="G733" s="1">
        <v>1</v>
      </c>
      <c r="H733" s="1" t="s">
        <v>29</v>
      </c>
      <c r="I733" s="1" t="s">
        <v>38</v>
      </c>
      <c r="J733" s="1" t="s">
        <v>31</v>
      </c>
      <c r="K733" s="1" t="s">
        <v>24</v>
      </c>
      <c r="L733" s="1">
        <v>20</v>
      </c>
      <c r="M733" s="1">
        <v>11</v>
      </c>
      <c r="N733" s="1" t="s">
        <v>47</v>
      </c>
      <c r="O733" s="1">
        <v>4</v>
      </c>
      <c r="P733" s="1">
        <v>1</v>
      </c>
      <c r="Q733" s="1">
        <v>1</v>
      </c>
      <c r="R733" s="1">
        <v>2600</v>
      </c>
      <c r="S733" s="1">
        <v>1</v>
      </c>
      <c r="T733" s="1">
        <v>3</v>
      </c>
      <c r="U733" s="1">
        <v>1</v>
      </c>
      <c r="V733" s="1">
        <v>0</v>
      </c>
      <c r="W733" s="1">
        <v>0</v>
      </c>
      <c r="X733" s="1">
        <v>0</v>
      </c>
    </row>
    <row r="734" spans="1:24">
      <c r="A734" s="1">
        <v>733</v>
      </c>
      <c r="B734" s="1" t="s">
        <v>24</v>
      </c>
      <c r="C734" s="1" t="s">
        <v>34</v>
      </c>
      <c r="D734" s="1" t="s">
        <v>43</v>
      </c>
      <c r="E734" s="1" t="s">
        <v>36</v>
      </c>
      <c r="F734" s="1" t="s">
        <v>45</v>
      </c>
      <c r="G734" s="1">
        <v>1</v>
      </c>
      <c r="H734" s="1" t="s">
        <v>29</v>
      </c>
      <c r="I734" s="1" t="s">
        <v>42</v>
      </c>
      <c r="J734" s="1" t="s">
        <v>31</v>
      </c>
      <c r="K734" s="1" t="s">
        <v>33</v>
      </c>
      <c r="L734" s="1">
        <v>30</v>
      </c>
      <c r="M734" s="1">
        <v>5</v>
      </c>
      <c r="N734" s="1" t="s">
        <v>47</v>
      </c>
      <c r="O734" s="1">
        <v>2</v>
      </c>
      <c r="P734" s="1">
        <v>1</v>
      </c>
      <c r="Q734" s="1">
        <v>2</v>
      </c>
      <c r="R734" s="1">
        <v>2422</v>
      </c>
      <c r="S734" s="1">
        <v>4</v>
      </c>
      <c r="T734" s="1">
        <v>3</v>
      </c>
      <c r="U734" s="1">
        <v>3</v>
      </c>
      <c r="V734" s="1">
        <v>2</v>
      </c>
      <c r="W734" s="1">
        <v>1</v>
      </c>
      <c r="X734" s="1">
        <v>2</v>
      </c>
    </row>
    <row r="735" spans="1:24">
      <c r="A735" s="1">
        <v>734</v>
      </c>
      <c r="B735" s="1" t="s">
        <v>33</v>
      </c>
      <c r="C735" s="1" t="s">
        <v>25</v>
      </c>
      <c r="D735" s="1" t="s">
        <v>43</v>
      </c>
      <c r="E735" s="1" t="s">
        <v>36</v>
      </c>
      <c r="F735" s="1" t="s">
        <v>45</v>
      </c>
      <c r="G735" s="1">
        <v>1</v>
      </c>
      <c r="H735" s="1" t="s">
        <v>37</v>
      </c>
      <c r="I735" s="1" t="s">
        <v>49</v>
      </c>
      <c r="J735" s="1" t="s">
        <v>39</v>
      </c>
      <c r="K735" s="1" t="s">
        <v>33</v>
      </c>
      <c r="L735" s="1">
        <v>26</v>
      </c>
      <c r="M735" s="1">
        <v>2</v>
      </c>
      <c r="N735" s="1" t="s">
        <v>32</v>
      </c>
      <c r="O735" s="1">
        <v>4</v>
      </c>
      <c r="P735" s="1">
        <v>2</v>
      </c>
      <c r="Q735" s="1">
        <v>4</v>
      </c>
      <c r="R735" s="1">
        <v>5472</v>
      </c>
      <c r="S735" s="1">
        <v>8</v>
      </c>
      <c r="T735" s="1">
        <v>3</v>
      </c>
      <c r="U735" s="1">
        <v>8</v>
      </c>
      <c r="V735" s="1">
        <v>7</v>
      </c>
      <c r="W735" s="1">
        <v>1</v>
      </c>
      <c r="X735" s="1">
        <v>3</v>
      </c>
    </row>
    <row r="736" spans="1:24">
      <c r="A736" s="1">
        <v>735</v>
      </c>
      <c r="B736" s="1" t="s">
        <v>33</v>
      </c>
      <c r="C736" s="1" t="s">
        <v>25</v>
      </c>
      <c r="D736" s="1" t="s">
        <v>52</v>
      </c>
      <c r="E736" s="1" t="s">
        <v>36</v>
      </c>
      <c r="F736" s="1" t="s">
        <v>28</v>
      </c>
      <c r="G736" s="1">
        <v>1</v>
      </c>
      <c r="H736" s="1" t="s">
        <v>37</v>
      </c>
      <c r="I736" s="1" t="s">
        <v>42</v>
      </c>
      <c r="J736" s="1" t="s">
        <v>39</v>
      </c>
      <c r="K736" s="1" t="s">
        <v>33</v>
      </c>
      <c r="L736" s="1">
        <v>22</v>
      </c>
      <c r="M736" s="1">
        <v>8</v>
      </c>
      <c r="N736" s="1" t="s">
        <v>40</v>
      </c>
      <c r="O736" s="1">
        <v>2</v>
      </c>
      <c r="P736" s="1">
        <v>1</v>
      </c>
      <c r="Q736" s="1">
        <v>1</v>
      </c>
      <c r="R736" s="1">
        <v>2451</v>
      </c>
      <c r="S736" s="1">
        <v>4</v>
      </c>
      <c r="T736" s="1">
        <v>2</v>
      </c>
      <c r="U736" s="1">
        <v>4</v>
      </c>
      <c r="V736" s="1">
        <v>3</v>
      </c>
      <c r="W736" s="1">
        <v>1</v>
      </c>
      <c r="X736" s="1">
        <v>1</v>
      </c>
    </row>
    <row r="737" spans="1:24">
      <c r="A737" s="1">
        <v>736</v>
      </c>
      <c r="B737" s="1" t="s">
        <v>33</v>
      </c>
      <c r="C737" s="1" t="s">
        <v>25</v>
      </c>
      <c r="D737" s="1" t="s">
        <v>35</v>
      </c>
      <c r="E737" s="1" t="s">
        <v>36</v>
      </c>
      <c r="F737" s="1" t="s">
        <v>28</v>
      </c>
      <c r="G737" s="1">
        <v>1</v>
      </c>
      <c r="H737" s="1" t="s">
        <v>37</v>
      </c>
      <c r="I737" s="1" t="s">
        <v>50</v>
      </c>
      <c r="J737" s="1" t="s">
        <v>31</v>
      </c>
      <c r="K737" s="1" t="s">
        <v>33</v>
      </c>
      <c r="L737" s="1">
        <v>48</v>
      </c>
      <c r="M737" s="1">
        <v>6</v>
      </c>
      <c r="N737" s="1" t="s">
        <v>47</v>
      </c>
      <c r="O737" s="1">
        <v>1</v>
      </c>
      <c r="P737" s="1">
        <v>2</v>
      </c>
      <c r="Q737" s="1">
        <v>3</v>
      </c>
      <c r="R737" s="1">
        <v>4240</v>
      </c>
      <c r="S737" s="1">
        <v>19</v>
      </c>
      <c r="T737" s="1">
        <v>3</v>
      </c>
      <c r="U737" s="1">
        <v>2</v>
      </c>
      <c r="V737" s="1">
        <v>2</v>
      </c>
      <c r="W737" s="1">
        <v>2</v>
      </c>
      <c r="X737" s="1">
        <v>2</v>
      </c>
    </row>
    <row r="738" spans="1:24">
      <c r="A738" s="1">
        <v>737</v>
      </c>
      <c r="B738" s="1" t="s">
        <v>33</v>
      </c>
      <c r="C738" s="1" t="s">
        <v>25</v>
      </c>
      <c r="D738" s="1" t="s">
        <v>35</v>
      </c>
      <c r="E738" s="1" t="s">
        <v>36</v>
      </c>
      <c r="F738" s="1" t="s">
        <v>28</v>
      </c>
      <c r="G738" s="1">
        <v>1</v>
      </c>
      <c r="H738" s="1" t="s">
        <v>37</v>
      </c>
      <c r="I738" s="1" t="s">
        <v>50</v>
      </c>
      <c r="J738" s="1" t="s">
        <v>31</v>
      </c>
      <c r="K738" s="1" t="s">
        <v>33</v>
      </c>
      <c r="L738" s="1">
        <v>48</v>
      </c>
      <c r="M738" s="1">
        <v>4</v>
      </c>
      <c r="N738" s="1" t="s">
        <v>44</v>
      </c>
      <c r="O738" s="1">
        <v>3</v>
      </c>
      <c r="P738" s="1">
        <v>3</v>
      </c>
      <c r="Q738" s="1">
        <v>3</v>
      </c>
      <c r="R738" s="1">
        <v>10999</v>
      </c>
      <c r="S738" s="1">
        <v>27</v>
      </c>
      <c r="T738" s="1">
        <v>3</v>
      </c>
      <c r="U738" s="1">
        <v>15</v>
      </c>
      <c r="V738" s="1">
        <v>11</v>
      </c>
      <c r="W738" s="1">
        <v>4</v>
      </c>
      <c r="X738" s="1">
        <v>8</v>
      </c>
    </row>
    <row r="739" spans="1:24">
      <c r="A739" s="1">
        <v>738</v>
      </c>
      <c r="B739" s="1" t="s">
        <v>33</v>
      </c>
      <c r="C739" s="1" t="s">
        <v>25</v>
      </c>
      <c r="D739" s="1" t="s">
        <v>26</v>
      </c>
      <c r="E739" s="1" t="s">
        <v>36</v>
      </c>
      <c r="F739" s="1" t="s">
        <v>45</v>
      </c>
      <c r="G739" s="1">
        <v>1</v>
      </c>
      <c r="H739" s="1" t="s">
        <v>29</v>
      </c>
      <c r="I739" s="1" t="s">
        <v>49</v>
      </c>
      <c r="J739" s="1" t="s">
        <v>31</v>
      </c>
      <c r="K739" s="1" t="s">
        <v>33</v>
      </c>
      <c r="L739" s="1">
        <v>41</v>
      </c>
      <c r="M739" s="1">
        <v>7</v>
      </c>
      <c r="N739" s="1" t="s">
        <v>32</v>
      </c>
      <c r="O739" s="1">
        <v>4</v>
      </c>
      <c r="P739" s="1">
        <v>2</v>
      </c>
      <c r="Q739" s="1">
        <v>3</v>
      </c>
      <c r="R739" s="1">
        <v>5003</v>
      </c>
      <c r="S739" s="1">
        <v>8</v>
      </c>
      <c r="T739" s="1">
        <v>3</v>
      </c>
      <c r="U739" s="1">
        <v>2</v>
      </c>
      <c r="V739" s="1">
        <v>2</v>
      </c>
      <c r="W739" s="1">
        <v>2</v>
      </c>
      <c r="X739" s="1">
        <v>1</v>
      </c>
    </row>
    <row r="740" spans="1:24">
      <c r="A740" s="1">
        <v>739</v>
      </c>
      <c r="B740" s="1" t="s">
        <v>33</v>
      </c>
      <c r="C740" s="1" t="s">
        <v>25</v>
      </c>
      <c r="D740" s="1" t="s">
        <v>26</v>
      </c>
      <c r="E740" s="1" t="s">
        <v>36</v>
      </c>
      <c r="F740" s="1" t="s">
        <v>28</v>
      </c>
      <c r="G740" s="1">
        <v>1</v>
      </c>
      <c r="H740" s="1" t="s">
        <v>29</v>
      </c>
      <c r="I740" s="1" t="s">
        <v>49</v>
      </c>
      <c r="J740" s="1" t="s">
        <v>39</v>
      </c>
      <c r="K740" s="1" t="s">
        <v>33</v>
      </c>
      <c r="L740" s="1">
        <v>39</v>
      </c>
      <c r="M740" s="1">
        <v>1</v>
      </c>
      <c r="N740" s="1" t="s">
        <v>40</v>
      </c>
      <c r="O740" s="1">
        <v>4</v>
      </c>
      <c r="P740" s="1">
        <v>4</v>
      </c>
      <c r="Q740" s="1">
        <v>4</v>
      </c>
      <c r="R740" s="1">
        <v>12742</v>
      </c>
      <c r="S740" s="1">
        <v>21</v>
      </c>
      <c r="T740" s="1">
        <v>3</v>
      </c>
      <c r="U740" s="1">
        <v>21</v>
      </c>
      <c r="V740" s="1">
        <v>6</v>
      </c>
      <c r="W740" s="1">
        <v>11</v>
      </c>
      <c r="X740" s="1">
        <v>8</v>
      </c>
    </row>
    <row r="741" spans="1:24">
      <c r="A741" s="1">
        <v>740</v>
      </c>
      <c r="B741" s="1" t="s">
        <v>33</v>
      </c>
      <c r="C741" s="1" t="s">
        <v>25</v>
      </c>
      <c r="D741" s="1" t="s">
        <v>43</v>
      </c>
      <c r="E741" s="1" t="s">
        <v>36</v>
      </c>
      <c r="F741" s="1" t="s">
        <v>28</v>
      </c>
      <c r="G741" s="1">
        <v>1</v>
      </c>
      <c r="H741" s="1" t="s">
        <v>29</v>
      </c>
      <c r="I741" s="1" t="s">
        <v>49</v>
      </c>
      <c r="J741" s="1" t="s">
        <v>39</v>
      </c>
      <c r="K741" s="1" t="s">
        <v>33</v>
      </c>
      <c r="L741" s="1">
        <v>27</v>
      </c>
      <c r="M741" s="1">
        <v>2</v>
      </c>
      <c r="N741" s="1" t="s">
        <v>44</v>
      </c>
      <c r="O741" s="1">
        <v>1</v>
      </c>
      <c r="P741" s="1">
        <v>2</v>
      </c>
      <c r="Q741" s="1">
        <v>4</v>
      </c>
      <c r="R741" s="1">
        <v>4227</v>
      </c>
      <c r="S741" s="1">
        <v>4</v>
      </c>
      <c r="T741" s="1">
        <v>3</v>
      </c>
      <c r="U741" s="1">
        <v>3</v>
      </c>
      <c r="V741" s="1">
        <v>2</v>
      </c>
      <c r="W741" s="1">
        <v>2</v>
      </c>
      <c r="X741" s="1">
        <v>2</v>
      </c>
    </row>
    <row r="742" spans="1:24">
      <c r="A742" s="1">
        <v>741</v>
      </c>
      <c r="B742" s="1" t="s">
        <v>33</v>
      </c>
      <c r="C742" s="1" t="s">
        <v>25</v>
      </c>
      <c r="D742" s="1" t="s">
        <v>26</v>
      </c>
      <c r="E742" s="1" t="s">
        <v>36</v>
      </c>
      <c r="F742" s="1" t="s">
        <v>41</v>
      </c>
      <c r="G742" s="1">
        <v>1</v>
      </c>
      <c r="H742" s="1" t="s">
        <v>37</v>
      </c>
      <c r="I742" s="1" t="s">
        <v>42</v>
      </c>
      <c r="J742" s="1" t="s">
        <v>48</v>
      </c>
      <c r="K742" s="1" t="s">
        <v>33</v>
      </c>
      <c r="L742" s="1">
        <v>35</v>
      </c>
      <c r="M742" s="1">
        <v>10</v>
      </c>
      <c r="N742" s="1" t="s">
        <v>47</v>
      </c>
      <c r="O742" s="1">
        <v>2</v>
      </c>
      <c r="P742" s="1">
        <v>1</v>
      </c>
      <c r="Q742" s="1">
        <v>4</v>
      </c>
      <c r="R742" s="1">
        <v>3917</v>
      </c>
      <c r="S742" s="1">
        <v>3</v>
      </c>
      <c r="T742" s="1">
        <v>2</v>
      </c>
      <c r="U742" s="1">
        <v>3</v>
      </c>
      <c r="V742" s="1">
        <v>2</v>
      </c>
      <c r="W742" s="1">
        <v>1</v>
      </c>
      <c r="X742" s="1">
        <v>2</v>
      </c>
    </row>
    <row r="743" spans="1:24">
      <c r="A743" s="1">
        <v>742</v>
      </c>
      <c r="B743" s="1" t="s">
        <v>33</v>
      </c>
      <c r="C743" s="1" t="s">
        <v>25</v>
      </c>
      <c r="D743" s="1" t="s">
        <v>26</v>
      </c>
      <c r="E743" s="1" t="s">
        <v>27</v>
      </c>
      <c r="F743" s="1" t="s">
        <v>56</v>
      </c>
      <c r="G743" s="1">
        <v>1</v>
      </c>
      <c r="H743" s="1" t="s">
        <v>37</v>
      </c>
      <c r="I743" s="1" t="s">
        <v>53</v>
      </c>
      <c r="J743" s="1" t="s">
        <v>39</v>
      </c>
      <c r="K743" s="1" t="s">
        <v>33</v>
      </c>
      <c r="L743" s="1">
        <v>42</v>
      </c>
      <c r="M743" s="1">
        <v>5</v>
      </c>
      <c r="N743" s="1" t="s">
        <v>32</v>
      </c>
      <c r="O743" s="1">
        <v>4</v>
      </c>
      <c r="P743" s="1">
        <v>5</v>
      </c>
      <c r="Q743" s="1">
        <v>3</v>
      </c>
      <c r="R743" s="1">
        <v>18303</v>
      </c>
      <c r="S743" s="1">
        <v>21</v>
      </c>
      <c r="T743" s="1">
        <v>4</v>
      </c>
      <c r="U743" s="1">
        <v>1</v>
      </c>
      <c r="V743" s="1">
        <v>0</v>
      </c>
      <c r="W743" s="1">
        <v>0</v>
      </c>
      <c r="X743" s="1">
        <v>0</v>
      </c>
    </row>
    <row r="744" spans="1:24">
      <c r="A744" s="1">
        <v>743</v>
      </c>
      <c r="B744" s="1" t="s">
        <v>33</v>
      </c>
      <c r="C744" s="1" t="s">
        <v>25</v>
      </c>
      <c r="D744" s="1" t="s">
        <v>35</v>
      </c>
      <c r="E744" s="1" t="s">
        <v>36</v>
      </c>
      <c r="F744" s="1" t="s">
        <v>28</v>
      </c>
      <c r="G744" s="1">
        <v>1</v>
      </c>
      <c r="H744" s="1" t="s">
        <v>37</v>
      </c>
      <c r="I744" s="1" t="s">
        <v>42</v>
      </c>
      <c r="J744" s="1" t="s">
        <v>39</v>
      </c>
      <c r="K744" s="1" t="s">
        <v>33</v>
      </c>
      <c r="L744" s="1">
        <v>50</v>
      </c>
      <c r="M744" s="1">
        <v>9</v>
      </c>
      <c r="N744" s="1" t="s">
        <v>47</v>
      </c>
      <c r="O744" s="1">
        <v>1</v>
      </c>
      <c r="P744" s="1">
        <v>1</v>
      </c>
      <c r="Q744" s="1">
        <v>4</v>
      </c>
      <c r="R744" s="1">
        <v>2380</v>
      </c>
      <c r="S744" s="1">
        <v>8</v>
      </c>
      <c r="T744" s="1">
        <v>3</v>
      </c>
      <c r="U744" s="1">
        <v>1</v>
      </c>
      <c r="V744" s="1">
        <v>0</v>
      </c>
      <c r="W744" s="1">
        <v>0</v>
      </c>
      <c r="X744" s="1">
        <v>0</v>
      </c>
    </row>
    <row r="745" spans="1:24">
      <c r="A745" s="1">
        <v>744</v>
      </c>
      <c r="B745" s="1" t="s">
        <v>33</v>
      </c>
      <c r="C745" s="1" t="s">
        <v>25</v>
      </c>
      <c r="D745" s="1" t="s">
        <v>46</v>
      </c>
      <c r="E745" s="1" t="s">
        <v>36</v>
      </c>
      <c r="F745" s="1" t="s">
        <v>28</v>
      </c>
      <c r="G745" s="1">
        <v>1</v>
      </c>
      <c r="H745" s="1" t="s">
        <v>29</v>
      </c>
      <c r="I745" s="1" t="s">
        <v>49</v>
      </c>
      <c r="J745" s="1" t="s">
        <v>31</v>
      </c>
      <c r="K745" s="1" t="s">
        <v>24</v>
      </c>
      <c r="L745" s="1">
        <v>59</v>
      </c>
      <c r="M745" s="1">
        <v>2</v>
      </c>
      <c r="N745" s="1" t="s">
        <v>47</v>
      </c>
      <c r="O745" s="1">
        <v>3</v>
      </c>
      <c r="P745" s="1">
        <v>4</v>
      </c>
      <c r="Q745" s="1">
        <v>4</v>
      </c>
      <c r="R745" s="1">
        <v>13726</v>
      </c>
      <c r="S745" s="1">
        <v>30</v>
      </c>
      <c r="T745" s="1">
        <v>3</v>
      </c>
      <c r="U745" s="1">
        <v>5</v>
      </c>
      <c r="V745" s="1">
        <v>3</v>
      </c>
      <c r="W745" s="1">
        <v>4</v>
      </c>
      <c r="X745" s="1">
        <v>3</v>
      </c>
    </row>
    <row r="746" spans="1:24">
      <c r="A746" s="1">
        <v>745</v>
      </c>
      <c r="B746" s="1" t="s">
        <v>24</v>
      </c>
      <c r="C746" s="1" t="s">
        <v>25</v>
      </c>
      <c r="D746" s="1" t="s">
        <v>26</v>
      </c>
      <c r="E746" s="1" t="s">
        <v>36</v>
      </c>
      <c r="F746" s="1" t="s">
        <v>45</v>
      </c>
      <c r="G746" s="1">
        <v>1</v>
      </c>
      <c r="H746" s="1" t="s">
        <v>29</v>
      </c>
      <c r="I746" s="1" t="s">
        <v>50</v>
      </c>
      <c r="J746" s="1" t="s">
        <v>39</v>
      </c>
      <c r="K746" s="1" t="s">
        <v>33</v>
      </c>
      <c r="L746" s="1">
        <v>37</v>
      </c>
      <c r="M746" s="1">
        <v>11</v>
      </c>
      <c r="N746" s="1" t="s">
        <v>32</v>
      </c>
      <c r="O746" s="1">
        <v>1</v>
      </c>
      <c r="P746" s="1">
        <v>2</v>
      </c>
      <c r="Q746" s="1">
        <v>2</v>
      </c>
      <c r="R746" s="1">
        <v>4777</v>
      </c>
      <c r="S746" s="1">
        <v>15</v>
      </c>
      <c r="T746" s="1">
        <v>1</v>
      </c>
      <c r="U746" s="1">
        <v>1</v>
      </c>
      <c r="V746" s="1">
        <v>0</v>
      </c>
      <c r="W746" s="1">
        <v>0</v>
      </c>
      <c r="X746" s="1">
        <v>0</v>
      </c>
    </row>
    <row r="747" spans="1:24">
      <c r="A747" s="1">
        <v>746</v>
      </c>
      <c r="B747" s="1" t="s">
        <v>33</v>
      </c>
      <c r="C747" s="1" t="s">
        <v>34</v>
      </c>
      <c r="D747" s="1" t="s">
        <v>46</v>
      </c>
      <c r="E747" s="1" t="s">
        <v>36</v>
      </c>
      <c r="F747" s="1" t="s">
        <v>45</v>
      </c>
      <c r="G747" s="1">
        <v>1</v>
      </c>
      <c r="H747" s="1" t="s">
        <v>37</v>
      </c>
      <c r="I747" s="1" t="s">
        <v>50</v>
      </c>
      <c r="J747" s="1" t="s">
        <v>39</v>
      </c>
      <c r="K747" s="1" t="s">
        <v>24</v>
      </c>
      <c r="L747" s="1">
        <v>55</v>
      </c>
      <c r="M747" s="1">
        <v>18</v>
      </c>
      <c r="N747" s="1" t="s">
        <v>44</v>
      </c>
      <c r="O747" s="1">
        <v>3</v>
      </c>
      <c r="P747" s="1">
        <v>2</v>
      </c>
      <c r="Q747" s="1">
        <v>2</v>
      </c>
      <c r="R747" s="1">
        <v>6385</v>
      </c>
      <c r="S747" s="1">
        <v>17</v>
      </c>
      <c r="T747" s="1">
        <v>3</v>
      </c>
      <c r="U747" s="1">
        <v>8</v>
      </c>
      <c r="V747" s="1">
        <v>7</v>
      </c>
      <c r="W747" s="1">
        <v>6</v>
      </c>
      <c r="X747" s="1">
        <v>7</v>
      </c>
    </row>
    <row r="748" spans="1:24">
      <c r="A748" s="1">
        <v>747</v>
      </c>
      <c r="B748" s="1" t="s">
        <v>33</v>
      </c>
      <c r="C748" s="1" t="s">
        <v>51</v>
      </c>
      <c r="D748" s="1" t="s">
        <v>26</v>
      </c>
      <c r="E748" s="1" t="s">
        <v>36</v>
      </c>
      <c r="F748" s="1" t="s">
        <v>28</v>
      </c>
      <c r="G748" s="1">
        <v>1</v>
      </c>
      <c r="H748" s="1" t="s">
        <v>29</v>
      </c>
      <c r="I748" s="1" t="s">
        <v>55</v>
      </c>
      <c r="J748" s="1" t="s">
        <v>48</v>
      </c>
      <c r="K748" s="1" t="s">
        <v>33</v>
      </c>
      <c r="L748" s="1">
        <v>41</v>
      </c>
      <c r="M748" s="1">
        <v>7</v>
      </c>
      <c r="N748" s="1" t="s">
        <v>40</v>
      </c>
      <c r="O748" s="1">
        <v>2</v>
      </c>
      <c r="P748" s="1">
        <v>5</v>
      </c>
      <c r="Q748" s="1">
        <v>3</v>
      </c>
      <c r="R748" s="1">
        <v>19973</v>
      </c>
      <c r="S748" s="1">
        <v>21</v>
      </c>
      <c r="T748" s="1">
        <v>3</v>
      </c>
      <c r="U748" s="1">
        <v>21</v>
      </c>
      <c r="V748" s="1">
        <v>16</v>
      </c>
      <c r="W748" s="1">
        <v>5</v>
      </c>
      <c r="X748" s="1">
        <v>10</v>
      </c>
    </row>
    <row r="749" spans="1:24">
      <c r="A749" s="1">
        <v>748</v>
      </c>
      <c r="B749" s="1" t="s">
        <v>33</v>
      </c>
      <c r="C749" s="1" t="s">
        <v>25</v>
      </c>
      <c r="D749" s="1" t="s">
        <v>26</v>
      </c>
      <c r="E749" s="1" t="s">
        <v>27</v>
      </c>
      <c r="F749" s="1" t="s">
        <v>28</v>
      </c>
      <c r="G749" s="1">
        <v>1</v>
      </c>
      <c r="H749" s="1" t="s">
        <v>37</v>
      </c>
      <c r="I749" s="1" t="s">
        <v>30</v>
      </c>
      <c r="J749" s="1" t="s">
        <v>31</v>
      </c>
      <c r="K749" s="1" t="s">
        <v>24</v>
      </c>
      <c r="L749" s="1">
        <v>38</v>
      </c>
      <c r="M749" s="1">
        <v>3</v>
      </c>
      <c r="N749" s="1" t="s">
        <v>44</v>
      </c>
      <c r="O749" s="1">
        <v>2</v>
      </c>
      <c r="P749" s="1">
        <v>2</v>
      </c>
      <c r="Q749" s="1">
        <v>4</v>
      </c>
      <c r="R749" s="1">
        <v>6861</v>
      </c>
      <c r="S749" s="1">
        <v>19</v>
      </c>
      <c r="T749" s="1">
        <v>3</v>
      </c>
      <c r="U749" s="1">
        <v>1</v>
      </c>
      <c r="V749" s="1">
        <v>0</v>
      </c>
      <c r="W749" s="1">
        <v>0</v>
      </c>
      <c r="X749" s="1">
        <v>0</v>
      </c>
    </row>
    <row r="750" spans="1:24">
      <c r="A750" s="1">
        <v>749</v>
      </c>
      <c r="B750" s="1" t="s">
        <v>24</v>
      </c>
      <c r="C750" s="1" t="s">
        <v>51</v>
      </c>
      <c r="D750" s="1" t="s">
        <v>43</v>
      </c>
      <c r="E750" s="1" t="s">
        <v>27</v>
      </c>
      <c r="F750" s="1" t="s">
        <v>45</v>
      </c>
      <c r="G750" s="1">
        <v>1</v>
      </c>
      <c r="H750" s="1" t="s">
        <v>37</v>
      </c>
      <c r="I750" s="1" t="s">
        <v>30</v>
      </c>
      <c r="J750" s="1" t="s">
        <v>31</v>
      </c>
      <c r="K750" s="1" t="s">
        <v>33</v>
      </c>
      <c r="L750" s="1">
        <v>26</v>
      </c>
      <c r="M750" s="1">
        <v>29</v>
      </c>
      <c r="N750" s="1" t="s">
        <v>32</v>
      </c>
      <c r="O750" s="1">
        <v>2</v>
      </c>
      <c r="P750" s="1">
        <v>2</v>
      </c>
      <c r="Q750" s="1">
        <v>1</v>
      </c>
      <c r="R750" s="1">
        <v>4969</v>
      </c>
      <c r="S750" s="1">
        <v>7</v>
      </c>
      <c r="T750" s="1">
        <v>3</v>
      </c>
      <c r="U750" s="1">
        <v>2</v>
      </c>
      <c r="V750" s="1">
        <v>2</v>
      </c>
      <c r="W750" s="1">
        <v>2</v>
      </c>
      <c r="X750" s="1">
        <v>2</v>
      </c>
    </row>
    <row r="751" spans="1:24">
      <c r="A751" s="1">
        <v>750</v>
      </c>
      <c r="B751" s="1" t="s">
        <v>24</v>
      </c>
      <c r="C751" s="1" t="s">
        <v>25</v>
      </c>
      <c r="D751" s="1" t="s">
        <v>35</v>
      </c>
      <c r="E751" s="1" t="s">
        <v>27</v>
      </c>
      <c r="F751" s="1" t="s">
        <v>56</v>
      </c>
      <c r="G751" s="1">
        <v>1</v>
      </c>
      <c r="H751" s="1" t="s">
        <v>29</v>
      </c>
      <c r="I751" s="1" t="s">
        <v>53</v>
      </c>
      <c r="J751" s="1" t="s">
        <v>39</v>
      </c>
      <c r="K751" s="1" t="s">
        <v>33</v>
      </c>
      <c r="L751" s="1">
        <v>52</v>
      </c>
      <c r="M751" s="1">
        <v>2</v>
      </c>
      <c r="N751" s="1" t="s">
        <v>40</v>
      </c>
      <c r="O751" s="1">
        <v>1</v>
      </c>
      <c r="P751" s="1">
        <v>5</v>
      </c>
      <c r="Q751" s="1">
        <v>4</v>
      </c>
      <c r="R751" s="1">
        <v>19845</v>
      </c>
      <c r="S751" s="1">
        <v>33</v>
      </c>
      <c r="T751" s="1">
        <v>3</v>
      </c>
      <c r="U751" s="1">
        <v>32</v>
      </c>
      <c r="V751" s="1">
        <v>14</v>
      </c>
      <c r="W751" s="1">
        <v>6</v>
      </c>
      <c r="X751" s="1">
        <v>9</v>
      </c>
    </row>
    <row r="752" spans="1:24">
      <c r="A752" s="1">
        <v>751</v>
      </c>
      <c r="B752" s="1" t="s">
        <v>33</v>
      </c>
      <c r="C752" s="1" t="s">
        <v>25</v>
      </c>
      <c r="D752" s="1" t="s">
        <v>26</v>
      </c>
      <c r="E752" s="1" t="s">
        <v>27</v>
      </c>
      <c r="F752" s="1" t="s">
        <v>45</v>
      </c>
      <c r="G752" s="1">
        <v>1</v>
      </c>
      <c r="H752" s="1" t="s">
        <v>29</v>
      </c>
      <c r="I752" s="1" t="s">
        <v>30</v>
      </c>
      <c r="J752" s="1" t="s">
        <v>39</v>
      </c>
      <c r="K752" s="1" t="s">
        <v>24</v>
      </c>
      <c r="L752" s="1">
        <v>44</v>
      </c>
      <c r="M752" s="1">
        <v>28</v>
      </c>
      <c r="N752" s="1" t="s">
        <v>47</v>
      </c>
      <c r="O752" s="1">
        <v>4</v>
      </c>
      <c r="P752" s="1">
        <v>4</v>
      </c>
      <c r="Q752" s="1">
        <v>4</v>
      </c>
      <c r="R752" s="1">
        <v>13320</v>
      </c>
      <c r="S752" s="1">
        <v>23</v>
      </c>
      <c r="T752" s="1">
        <v>3</v>
      </c>
      <c r="U752" s="1">
        <v>12</v>
      </c>
      <c r="V752" s="1">
        <v>11</v>
      </c>
      <c r="W752" s="1">
        <v>11</v>
      </c>
      <c r="X752" s="1">
        <v>11</v>
      </c>
    </row>
    <row r="753" spans="1:24">
      <c r="A753" s="1">
        <v>752</v>
      </c>
      <c r="B753" s="1" t="s">
        <v>33</v>
      </c>
      <c r="C753" s="1" t="s">
        <v>51</v>
      </c>
      <c r="D753" s="1" t="s">
        <v>35</v>
      </c>
      <c r="E753" s="1" t="s">
        <v>27</v>
      </c>
      <c r="F753" s="1" t="s">
        <v>28</v>
      </c>
      <c r="G753" s="1">
        <v>1</v>
      </c>
      <c r="H753" s="1" t="s">
        <v>29</v>
      </c>
      <c r="I753" s="1" t="s">
        <v>30</v>
      </c>
      <c r="J753" s="1" t="s">
        <v>39</v>
      </c>
      <c r="K753" s="1" t="s">
        <v>33</v>
      </c>
      <c r="L753" s="1">
        <v>50</v>
      </c>
      <c r="M753" s="1">
        <v>1</v>
      </c>
      <c r="N753" s="1" t="s">
        <v>47</v>
      </c>
      <c r="O753" s="1">
        <v>4</v>
      </c>
      <c r="P753" s="1">
        <v>2</v>
      </c>
      <c r="Q753" s="1">
        <v>3</v>
      </c>
      <c r="R753" s="1">
        <v>6347</v>
      </c>
      <c r="S753" s="1">
        <v>19</v>
      </c>
      <c r="T753" s="1">
        <v>3</v>
      </c>
      <c r="U753" s="1">
        <v>18</v>
      </c>
      <c r="V753" s="1">
        <v>7</v>
      </c>
      <c r="W753" s="1">
        <v>0</v>
      </c>
      <c r="X753" s="1">
        <v>13</v>
      </c>
    </row>
    <row r="754" spans="1:24">
      <c r="A754" s="1">
        <v>753</v>
      </c>
      <c r="B754" s="1" t="s">
        <v>24</v>
      </c>
      <c r="C754" s="1" t="s">
        <v>25</v>
      </c>
      <c r="D754" s="1" t="s">
        <v>26</v>
      </c>
      <c r="E754" s="1" t="s">
        <v>36</v>
      </c>
      <c r="F754" s="1" t="s">
        <v>28</v>
      </c>
      <c r="G754" s="1">
        <v>1</v>
      </c>
      <c r="H754" s="1" t="s">
        <v>29</v>
      </c>
      <c r="I754" s="1" t="s">
        <v>42</v>
      </c>
      <c r="J754" s="1" t="s">
        <v>31</v>
      </c>
      <c r="K754" s="1" t="s">
        <v>33</v>
      </c>
      <c r="L754" s="1">
        <v>36</v>
      </c>
      <c r="M754" s="1">
        <v>16</v>
      </c>
      <c r="N754" s="1" t="s">
        <v>44</v>
      </c>
      <c r="O754" s="1">
        <v>3</v>
      </c>
      <c r="P754" s="1">
        <v>1</v>
      </c>
      <c r="Q754" s="1">
        <v>1</v>
      </c>
      <c r="R754" s="1">
        <v>2743</v>
      </c>
      <c r="S754" s="1">
        <v>18</v>
      </c>
      <c r="T754" s="1">
        <v>3</v>
      </c>
      <c r="U754" s="1">
        <v>17</v>
      </c>
      <c r="V754" s="1">
        <v>13</v>
      </c>
      <c r="W754" s="1">
        <v>15</v>
      </c>
      <c r="X754" s="1">
        <v>14</v>
      </c>
    </row>
    <row r="755" spans="1:24">
      <c r="A755" s="1">
        <v>754</v>
      </c>
      <c r="B755" s="1" t="s">
        <v>33</v>
      </c>
      <c r="C755" s="1" t="s">
        <v>34</v>
      </c>
      <c r="D755" s="1" t="s">
        <v>26</v>
      </c>
      <c r="E755" s="1" t="s">
        <v>36</v>
      </c>
      <c r="F755" s="1" t="s">
        <v>45</v>
      </c>
      <c r="G755" s="1">
        <v>1</v>
      </c>
      <c r="H755" s="1" t="s">
        <v>29</v>
      </c>
      <c r="I755" s="1" t="s">
        <v>49</v>
      </c>
      <c r="J755" s="1" t="s">
        <v>31</v>
      </c>
      <c r="K755" s="1" t="s">
        <v>24</v>
      </c>
      <c r="L755" s="1">
        <v>39</v>
      </c>
      <c r="M755" s="1">
        <v>22</v>
      </c>
      <c r="N755" s="1" t="s">
        <v>47</v>
      </c>
      <c r="O755" s="1">
        <v>4</v>
      </c>
      <c r="P755" s="1">
        <v>3</v>
      </c>
      <c r="Q755" s="1">
        <v>1</v>
      </c>
      <c r="R755" s="1">
        <v>10880</v>
      </c>
      <c r="S755" s="1">
        <v>21</v>
      </c>
      <c r="T755" s="1">
        <v>3</v>
      </c>
      <c r="U755" s="1">
        <v>21</v>
      </c>
      <c r="V755" s="1">
        <v>6</v>
      </c>
      <c r="W755" s="1">
        <v>2</v>
      </c>
      <c r="X755" s="1">
        <v>8</v>
      </c>
    </row>
    <row r="756" spans="1:24">
      <c r="A756" s="1">
        <v>755</v>
      </c>
      <c r="B756" s="1" t="s">
        <v>33</v>
      </c>
      <c r="C756" s="1" t="s">
        <v>51</v>
      </c>
      <c r="D756" s="1" t="s">
        <v>43</v>
      </c>
      <c r="E756" s="1" t="s">
        <v>27</v>
      </c>
      <c r="F756" s="1" t="s">
        <v>28</v>
      </c>
      <c r="G756" s="1">
        <v>1</v>
      </c>
      <c r="H756" s="1" t="s">
        <v>29</v>
      </c>
      <c r="I756" s="1" t="s">
        <v>54</v>
      </c>
      <c r="J756" s="1" t="s">
        <v>31</v>
      </c>
      <c r="K756" s="1" t="s">
        <v>33</v>
      </c>
      <c r="L756" s="1">
        <v>33</v>
      </c>
      <c r="M756" s="1">
        <v>8</v>
      </c>
      <c r="N756" s="1" t="s">
        <v>40</v>
      </c>
      <c r="O756" s="1">
        <v>2</v>
      </c>
      <c r="P756" s="1">
        <v>1</v>
      </c>
      <c r="Q756" s="1">
        <v>4</v>
      </c>
      <c r="R756" s="1">
        <v>2342</v>
      </c>
      <c r="S756" s="1">
        <v>3</v>
      </c>
      <c r="T756" s="1">
        <v>2</v>
      </c>
      <c r="U756" s="1">
        <v>2</v>
      </c>
      <c r="V756" s="1">
        <v>2</v>
      </c>
      <c r="W756" s="1">
        <v>2</v>
      </c>
      <c r="X756" s="1">
        <v>2</v>
      </c>
    </row>
    <row r="757" spans="1:24">
      <c r="A757" s="1">
        <v>756</v>
      </c>
      <c r="B757" s="1" t="s">
        <v>33</v>
      </c>
      <c r="C757" s="1" t="s">
        <v>25</v>
      </c>
      <c r="D757" s="1" t="s">
        <v>35</v>
      </c>
      <c r="E757" s="1" t="s">
        <v>27</v>
      </c>
      <c r="F757" s="1" t="s">
        <v>28</v>
      </c>
      <c r="G757" s="1">
        <v>1</v>
      </c>
      <c r="H757" s="1" t="s">
        <v>29</v>
      </c>
      <c r="I757" s="1" t="s">
        <v>53</v>
      </c>
      <c r="J757" s="1" t="s">
        <v>39</v>
      </c>
      <c r="K757" s="1" t="s">
        <v>33</v>
      </c>
      <c r="L757" s="1">
        <v>45</v>
      </c>
      <c r="M757" s="1">
        <v>11</v>
      </c>
      <c r="N757" s="1" t="s">
        <v>32</v>
      </c>
      <c r="O757" s="1">
        <v>4</v>
      </c>
      <c r="P757" s="1">
        <v>4</v>
      </c>
      <c r="Q757" s="1">
        <v>4</v>
      </c>
      <c r="R757" s="1">
        <v>17650</v>
      </c>
      <c r="S757" s="1">
        <v>26</v>
      </c>
      <c r="T757" s="1">
        <v>4</v>
      </c>
      <c r="U757" s="1">
        <v>9</v>
      </c>
      <c r="V757" s="1">
        <v>3</v>
      </c>
      <c r="W757" s="1">
        <v>1</v>
      </c>
      <c r="X757" s="1">
        <v>1</v>
      </c>
    </row>
    <row r="758" spans="1:24">
      <c r="A758" s="1">
        <v>757</v>
      </c>
      <c r="B758" s="1" t="s">
        <v>33</v>
      </c>
      <c r="C758" s="1" t="s">
        <v>51</v>
      </c>
      <c r="D758" s="1" t="s">
        <v>43</v>
      </c>
      <c r="E758" s="1" t="s">
        <v>36</v>
      </c>
      <c r="F758" s="1" t="s">
        <v>45</v>
      </c>
      <c r="G758" s="1">
        <v>1</v>
      </c>
      <c r="H758" s="1" t="s">
        <v>29</v>
      </c>
      <c r="I758" s="1" t="s">
        <v>42</v>
      </c>
      <c r="J758" s="1" t="s">
        <v>31</v>
      </c>
      <c r="K758" s="1" t="s">
        <v>33</v>
      </c>
      <c r="L758" s="1">
        <v>32</v>
      </c>
      <c r="M758" s="1">
        <v>29</v>
      </c>
      <c r="N758" s="1" t="s">
        <v>44</v>
      </c>
      <c r="O758" s="1">
        <v>4</v>
      </c>
      <c r="P758" s="1">
        <v>1</v>
      </c>
      <c r="Q758" s="1">
        <v>3</v>
      </c>
      <c r="R758" s="1">
        <v>4025</v>
      </c>
      <c r="S758" s="1">
        <v>10</v>
      </c>
      <c r="T758" s="1">
        <v>3</v>
      </c>
      <c r="U758" s="1">
        <v>8</v>
      </c>
      <c r="V758" s="1">
        <v>7</v>
      </c>
      <c r="W758" s="1">
        <v>7</v>
      </c>
      <c r="X758" s="1">
        <v>7</v>
      </c>
    </row>
    <row r="759" spans="1:24">
      <c r="A759" s="1">
        <v>758</v>
      </c>
      <c r="B759" s="1" t="s">
        <v>33</v>
      </c>
      <c r="C759" s="1" t="s">
        <v>25</v>
      </c>
      <c r="D759" s="1" t="s">
        <v>43</v>
      </c>
      <c r="E759" s="1" t="s">
        <v>27</v>
      </c>
      <c r="F759" s="1" t="s">
        <v>56</v>
      </c>
      <c r="G759" s="1">
        <v>1</v>
      </c>
      <c r="H759" s="1" t="s">
        <v>37</v>
      </c>
      <c r="I759" s="1" t="s">
        <v>30</v>
      </c>
      <c r="J759" s="1" t="s">
        <v>48</v>
      </c>
      <c r="K759" s="1" t="s">
        <v>33</v>
      </c>
      <c r="L759" s="1">
        <v>34</v>
      </c>
      <c r="M759" s="1">
        <v>1</v>
      </c>
      <c r="N759" s="1" t="s">
        <v>44</v>
      </c>
      <c r="O759" s="1">
        <v>2</v>
      </c>
      <c r="P759" s="1">
        <v>2</v>
      </c>
      <c r="Q759" s="1">
        <v>4</v>
      </c>
      <c r="R759" s="1">
        <v>9725</v>
      </c>
      <c r="S759" s="1">
        <v>16</v>
      </c>
      <c r="T759" s="1">
        <v>2</v>
      </c>
      <c r="U759" s="1">
        <v>15</v>
      </c>
      <c r="V759" s="1">
        <v>1</v>
      </c>
      <c r="W759" s="1">
        <v>0</v>
      </c>
      <c r="X759" s="1">
        <v>9</v>
      </c>
    </row>
    <row r="760" spans="1:24">
      <c r="A760" s="1">
        <v>759</v>
      </c>
      <c r="B760" s="1" t="s">
        <v>33</v>
      </c>
      <c r="C760" s="1" t="s">
        <v>25</v>
      </c>
      <c r="D760" s="1" t="s">
        <v>46</v>
      </c>
      <c r="E760" s="1" t="s">
        <v>27</v>
      </c>
      <c r="F760" s="1" t="s">
        <v>57</v>
      </c>
      <c r="G760" s="1">
        <v>1</v>
      </c>
      <c r="H760" s="1" t="s">
        <v>37</v>
      </c>
      <c r="I760" s="1" t="s">
        <v>53</v>
      </c>
      <c r="J760" s="1" t="s">
        <v>39</v>
      </c>
      <c r="K760" s="1" t="s">
        <v>24</v>
      </c>
      <c r="L760" s="1">
        <v>59</v>
      </c>
      <c r="M760" s="1">
        <v>1</v>
      </c>
      <c r="N760" s="1" t="s">
        <v>32</v>
      </c>
      <c r="O760" s="1">
        <v>2</v>
      </c>
      <c r="P760" s="1">
        <v>3</v>
      </c>
      <c r="Q760" s="1">
        <v>4</v>
      </c>
      <c r="R760" s="1">
        <v>11904</v>
      </c>
      <c r="S760" s="1">
        <v>14</v>
      </c>
      <c r="T760" s="1">
        <v>1</v>
      </c>
      <c r="U760" s="1">
        <v>6</v>
      </c>
      <c r="V760" s="1">
        <v>4</v>
      </c>
      <c r="W760" s="1">
        <v>0</v>
      </c>
      <c r="X760" s="1">
        <v>4</v>
      </c>
    </row>
    <row r="761" spans="1:24">
      <c r="A761" s="1">
        <v>760</v>
      </c>
      <c r="B761" s="1" t="s">
        <v>33</v>
      </c>
      <c r="C761" s="1" t="s">
        <v>25</v>
      </c>
      <c r="D761" s="1" t="s">
        <v>35</v>
      </c>
      <c r="E761" s="1" t="s">
        <v>59</v>
      </c>
      <c r="F761" s="1" t="s">
        <v>45</v>
      </c>
      <c r="G761" s="1">
        <v>1</v>
      </c>
      <c r="H761" s="1" t="s">
        <v>37</v>
      </c>
      <c r="I761" s="1" t="s">
        <v>60</v>
      </c>
      <c r="J761" s="1" t="s">
        <v>31</v>
      </c>
      <c r="K761" s="1" t="s">
        <v>33</v>
      </c>
      <c r="L761" s="1">
        <v>45</v>
      </c>
      <c r="M761" s="1">
        <v>24</v>
      </c>
      <c r="N761" s="1" t="s">
        <v>44</v>
      </c>
      <c r="O761" s="1">
        <v>2</v>
      </c>
      <c r="P761" s="1">
        <v>1</v>
      </c>
      <c r="Q761" s="1">
        <v>2</v>
      </c>
      <c r="R761" s="1">
        <v>2177</v>
      </c>
      <c r="S761" s="1">
        <v>6</v>
      </c>
      <c r="T761" s="1">
        <v>3</v>
      </c>
      <c r="U761" s="1">
        <v>6</v>
      </c>
      <c r="V761" s="1">
        <v>3</v>
      </c>
      <c r="W761" s="1">
        <v>0</v>
      </c>
      <c r="X761" s="1">
        <v>4</v>
      </c>
    </row>
    <row r="762" spans="1:24">
      <c r="A762" s="1">
        <v>761</v>
      </c>
      <c r="B762" s="1" t="s">
        <v>33</v>
      </c>
      <c r="C762" s="1" t="s">
        <v>34</v>
      </c>
      <c r="D762" s="1" t="s">
        <v>35</v>
      </c>
      <c r="E762" s="1" t="s">
        <v>27</v>
      </c>
      <c r="F762" s="1" t="s">
        <v>56</v>
      </c>
      <c r="G762" s="1">
        <v>1</v>
      </c>
      <c r="H762" s="1" t="s">
        <v>29</v>
      </c>
      <c r="I762" s="1" t="s">
        <v>30</v>
      </c>
      <c r="J762" s="1" t="s">
        <v>39</v>
      </c>
      <c r="K762" s="1" t="s">
        <v>33</v>
      </c>
      <c r="L762" s="1">
        <v>53</v>
      </c>
      <c r="M762" s="1">
        <v>2</v>
      </c>
      <c r="N762" s="1" t="s">
        <v>47</v>
      </c>
      <c r="O762" s="1">
        <v>3</v>
      </c>
      <c r="P762" s="1">
        <v>3</v>
      </c>
      <c r="Q762" s="1">
        <v>2</v>
      </c>
      <c r="R762" s="1">
        <v>7525</v>
      </c>
      <c r="S762" s="1">
        <v>30</v>
      </c>
      <c r="T762" s="1">
        <v>3</v>
      </c>
      <c r="U762" s="1">
        <v>15</v>
      </c>
      <c r="V762" s="1">
        <v>7</v>
      </c>
      <c r="W762" s="1">
        <v>6</v>
      </c>
      <c r="X762" s="1">
        <v>12</v>
      </c>
    </row>
    <row r="763" spans="1:24">
      <c r="A763" s="1">
        <v>762</v>
      </c>
      <c r="B763" s="1" t="s">
        <v>24</v>
      </c>
      <c r="C763" s="1" t="s">
        <v>25</v>
      </c>
      <c r="D763" s="1" t="s">
        <v>26</v>
      </c>
      <c r="E763" s="1" t="s">
        <v>36</v>
      </c>
      <c r="F763" s="1" t="s">
        <v>41</v>
      </c>
      <c r="G763" s="1">
        <v>1</v>
      </c>
      <c r="H763" s="1" t="s">
        <v>37</v>
      </c>
      <c r="I763" s="1" t="s">
        <v>42</v>
      </c>
      <c r="J763" s="1" t="s">
        <v>48</v>
      </c>
      <c r="K763" s="1" t="s">
        <v>33</v>
      </c>
      <c r="L763" s="1">
        <v>36</v>
      </c>
      <c r="M763" s="1">
        <v>15</v>
      </c>
      <c r="N763" s="1" t="s">
        <v>47</v>
      </c>
      <c r="O763" s="1">
        <v>1</v>
      </c>
      <c r="P763" s="1">
        <v>2</v>
      </c>
      <c r="Q763" s="1">
        <v>3</v>
      </c>
      <c r="R763" s="1">
        <v>4834</v>
      </c>
      <c r="S763" s="1">
        <v>9</v>
      </c>
      <c r="T763" s="1">
        <v>2</v>
      </c>
      <c r="U763" s="1">
        <v>1</v>
      </c>
      <c r="V763" s="1">
        <v>0</v>
      </c>
      <c r="W763" s="1">
        <v>0</v>
      </c>
      <c r="X763" s="1">
        <v>0</v>
      </c>
    </row>
    <row r="764" spans="1:24">
      <c r="A764" s="1">
        <v>763</v>
      </c>
      <c r="B764" s="1" t="s">
        <v>24</v>
      </c>
      <c r="C764" s="1" t="s">
        <v>34</v>
      </c>
      <c r="D764" s="1" t="s">
        <v>43</v>
      </c>
      <c r="E764" s="1" t="s">
        <v>36</v>
      </c>
      <c r="F764" s="1" t="s">
        <v>28</v>
      </c>
      <c r="G764" s="1">
        <v>1</v>
      </c>
      <c r="H764" s="1" t="s">
        <v>37</v>
      </c>
      <c r="I764" s="1" t="s">
        <v>38</v>
      </c>
      <c r="J764" s="1" t="s">
        <v>39</v>
      </c>
      <c r="K764" s="1" t="s">
        <v>24</v>
      </c>
      <c r="L764" s="1">
        <v>26</v>
      </c>
      <c r="M764" s="1">
        <v>2</v>
      </c>
      <c r="N764" s="1" t="s">
        <v>47</v>
      </c>
      <c r="O764" s="1">
        <v>1</v>
      </c>
      <c r="P764" s="1">
        <v>1</v>
      </c>
      <c r="Q764" s="1">
        <v>1</v>
      </c>
      <c r="R764" s="1">
        <v>2042</v>
      </c>
      <c r="S764" s="1">
        <v>6</v>
      </c>
      <c r="T764" s="1">
        <v>3</v>
      </c>
      <c r="U764" s="1">
        <v>3</v>
      </c>
      <c r="V764" s="1">
        <v>2</v>
      </c>
      <c r="W764" s="1">
        <v>1</v>
      </c>
      <c r="X764" s="1">
        <v>2</v>
      </c>
    </row>
    <row r="765" spans="1:24">
      <c r="A765" s="1">
        <v>764</v>
      </c>
      <c r="B765" s="1" t="s">
        <v>33</v>
      </c>
      <c r="C765" s="1" t="s">
        <v>25</v>
      </c>
      <c r="D765" s="1" t="s">
        <v>43</v>
      </c>
      <c r="E765" s="1" t="s">
        <v>27</v>
      </c>
      <c r="F765" s="1" t="s">
        <v>28</v>
      </c>
      <c r="G765" s="1">
        <v>1</v>
      </c>
      <c r="H765" s="1" t="s">
        <v>29</v>
      </c>
      <c r="I765" s="1" t="s">
        <v>54</v>
      </c>
      <c r="J765" s="1" t="s">
        <v>39</v>
      </c>
      <c r="K765" s="1" t="s">
        <v>24</v>
      </c>
      <c r="L765" s="1">
        <v>34</v>
      </c>
      <c r="M765" s="1">
        <v>10</v>
      </c>
      <c r="N765" s="1" t="s">
        <v>44</v>
      </c>
      <c r="O765" s="1">
        <v>3</v>
      </c>
      <c r="P765" s="1">
        <v>1</v>
      </c>
      <c r="Q765" s="1">
        <v>3</v>
      </c>
      <c r="R765" s="1">
        <v>2220</v>
      </c>
      <c r="S765" s="1">
        <v>1</v>
      </c>
      <c r="T765" s="1">
        <v>3</v>
      </c>
      <c r="U765" s="1">
        <v>1</v>
      </c>
      <c r="V765" s="1">
        <v>1</v>
      </c>
      <c r="W765" s="1">
        <v>0</v>
      </c>
      <c r="X765" s="1">
        <v>0</v>
      </c>
    </row>
    <row r="766" spans="1:24">
      <c r="A766" s="1">
        <v>765</v>
      </c>
      <c r="B766" s="1" t="s">
        <v>33</v>
      </c>
      <c r="C766" s="1" t="s">
        <v>25</v>
      </c>
      <c r="D766" s="1" t="s">
        <v>43</v>
      </c>
      <c r="E766" s="1" t="s">
        <v>27</v>
      </c>
      <c r="F766" s="1" t="s">
        <v>45</v>
      </c>
      <c r="G766" s="1">
        <v>1</v>
      </c>
      <c r="H766" s="1" t="s">
        <v>37</v>
      </c>
      <c r="I766" s="1" t="s">
        <v>54</v>
      </c>
      <c r="J766" s="1" t="s">
        <v>39</v>
      </c>
      <c r="K766" s="1" t="s">
        <v>33</v>
      </c>
      <c r="L766" s="1">
        <v>28</v>
      </c>
      <c r="M766" s="1">
        <v>10</v>
      </c>
      <c r="N766" s="1" t="s">
        <v>40</v>
      </c>
      <c r="O766" s="1">
        <v>4</v>
      </c>
      <c r="P766" s="1">
        <v>1</v>
      </c>
      <c r="Q766" s="1">
        <v>2</v>
      </c>
      <c r="R766" s="1">
        <v>1052</v>
      </c>
      <c r="S766" s="1">
        <v>1</v>
      </c>
      <c r="T766" s="1">
        <v>3</v>
      </c>
      <c r="U766" s="1">
        <v>1</v>
      </c>
      <c r="V766" s="1">
        <v>0</v>
      </c>
      <c r="W766" s="1">
        <v>0</v>
      </c>
      <c r="X766" s="1">
        <v>0</v>
      </c>
    </row>
    <row r="767" spans="1:24">
      <c r="A767" s="1">
        <v>766</v>
      </c>
      <c r="B767" s="1" t="s">
        <v>33</v>
      </c>
      <c r="C767" s="1" t="s">
        <v>34</v>
      </c>
      <c r="D767" s="1" t="s">
        <v>26</v>
      </c>
      <c r="E767" s="1" t="s">
        <v>36</v>
      </c>
      <c r="F767" s="1" t="s">
        <v>41</v>
      </c>
      <c r="G767" s="1">
        <v>1</v>
      </c>
      <c r="H767" s="1" t="s">
        <v>37</v>
      </c>
      <c r="I767" s="1" t="s">
        <v>38</v>
      </c>
      <c r="J767" s="1" t="s">
        <v>39</v>
      </c>
      <c r="K767" s="1" t="s">
        <v>33</v>
      </c>
      <c r="L767" s="1">
        <v>38</v>
      </c>
      <c r="M767" s="1">
        <v>3</v>
      </c>
      <c r="N767" s="1" t="s">
        <v>44</v>
      </c>
      <c r="O767" s="1">
        <v>3</v>
      </c>
      <c r="P767" s="1">
        <v>1</v>
      </c>
      <c r="Q767" s="1">
        <v>3</v>
      </c>
      <c r="R767" s="1">
        <v>2821</v>
      </c>
      <c r="S767" s="1">
        <v>8</v>
      </c>
      <c r="T767" s="1">
        <v>3</v>
      </c>
      <c r="U767" s="1">
        <v>2</v>
      </c>
      <c r="V767" s="1">
        <v>2</v>
      </c>
      <c r="W767" s="1">
        <v>2</v>
      </c>
      <c r="X767" s="1">
        <v>2</v>
      </c>
    </row>
    <row r="768" spans="1:24">
      <c r="A768" s="1">
        <v>767</v>
      </c>
      <c r="B768" s="1" t="s">
        <v>33</v>
      </c>
      <c r="C768" s="1" t="s">
        <v>25</v>
      </c>
      <c r="D768" s="1" t="s">
        <v>35</v>
      </c>
      <c r="E768" s="1" t="s">
        <v>36</v>
      </c>
      <c r="F768" s="1" t="s">
        <v>45</v>
      </c>
      <c r="G768" s="1">
        <v>1</v>
      </c>
      <c r="H768" s="1" t="s">
        <v>37</v>
      </c>
      <c r="I768" s="1" t="s">
        <v>55</v>
      </c>
      <c r="J768" s="1" t="s">
        <v>39</v>
      </c>
      <c r="K768" s="1" t="s">
        <v>24</v>
      </c>
      <c r="L768" s="1">
        <v>50</v>
      </c>
      <c r="M768" s="1">
        <v>2</v>
      </c>
      <c r="N768" s="1" t="s">
        <v>44</v>
      </c>
      <c r="O768" s="1">
        <v>2</v>
      </c>
      <c r="P768" s="1">
        <v>5</v>
      </c>
      <c r="Q768" s="1">
        <v>3</v>
      </c>
      <c r="R768" s="1">
        <v>19237</v>
      </c>
      <c r="S768" s="1">
        <v>29</v>
      </c>
      <c r="T768" s="1">
        <v>2</v>
      </c>
      <c r="U768" s="1">
        <v>8</v>
      </c>
      <c r="V768" s="1">
        <v>1</v>
      </c>
      <c r="W768" s="1">
        <v>7</v>
      </c>
      <c r="X768" s="1">
        <v>7</v>
      </c>
    </row>
    <row r="769" spans="1:24">
      <c r="A769" s="1">
        <v>768</v>
      </c>
      <c r="B769" s="1" t="s">
        <v>33</v>
      </c>
      <c r="C769" s="1" t="s">
        <v>25</v>
      </c>
      <c r="D769" s="1" t="s">
        <v>26</v>
      </c>
      <c r="E769" s="1" t="s">
        <v>36</v>
      </c>
      <c r="F769" s="1" t="s">
        <v>41</v>
      </c>
      <c r="G769" s="1">
        <v>1</v>
      </c>
      <c r="H769" s="1" t="s">
        <v>29</v>
      </c>
      <c r="I769" s="1" t="s">
        <v>50</v>
      </c>
      <c r="J769" s="1" t="s">
        <v>31</v>
      </c>
      <c r="K769" s="1" t="s">
        <v>33</v>
      </c>
      <c r="L769" s="1">
        <v>37</v>
      </c>
      <c r="M769" s="1">
        <v>3</v>
      </c>
      <c r="N769" s="1" t="s">
        <v>47</v>
      </c>
      <c r="O769" s="1">
        <v>4</v>
      </c>
      <c r="P769" s="1">
        <v>2</v>
      </c>
      <c r="Q769" s="1">
        <v>2</v>
      </c>
      <c r="R769" s="1">
        <v>4107</v>
      </c>
      <c r="S769" s="1">
        <v>8</v>
      </c>
      <c r="T769" s="1">
        <v>2</v>
      </c>
      <c r="U769" s="1">
        <v>4</v>
      </c>
      <c r="V769" s="1">
        <v>3</v>
      </c>
      <c r="W769" s="1">
        <v>0</v>
      </c>
      <c r="X769" s="1">
        <v>1</v>
      </c>
    </row>
    <row r="770" spans="1:24">
      <c r="A770" s="1">
        <v>769</v>
      </c>
      <c r="B770" s="1" t="s">
        <v>33</v>
      </c>
      <c r="C770" s="1" t="s">
        <v>25</v>
      </c>
      <c r="D770" s="1" t="s">
        <v>26</v>
      </c>
      <c r="E770" s="1" t="s">
        <v>27</v>
      </c>
      <c r="F770" s="1" t="s">
        <v>56</v>
      </c>
      <c r="G770" s="1">
        <v>1</v>
      </c>
      <c r="H770" s="1" t="s">
        <v>37</v>
      </c>
      <c r="I770" s="1" t="s">
        <v>30</v>
      </c>
      <c r="J770" s="1" t="s">
        <v>39</v>
      </c>
      <c r="K770" s="1" t="s">
        <v>33</v>
      </c>
      <c r="L770" s="1">
        <v>40</v>
      </c>
      <c r="M770" s="1">
        <v>26</v>
      </c>
      <c r="N770" s="1" t="s">
        <v>47</v>
      </c>
      <c r="O770" s="1">
        <v>3</v>
      </c>
      <c r="P770" s="1">
        <v>2</v>
      </c>
      <c r="Q770" s="1">
        <v>1</v>
      </c>
      <c r="R770" s="1">
        <v>8396</v>
      </c>
      <c r="S770" s="1">
        <v>8</v>
      </c>
      <c r="T770" s="1">
        <v>2</v>
      </c>
      <c r="U770" s="1">
        <v>7</v>
      </c>
      <c r="V770" s="1">
        <v>7</v>
      </c>
      <c r="W770" s="1">
        <v>7</v>
      </c>
      <c r="X770" s="1">
        <v>5</v>
      </c>
    </row>
    <row r="771" spans="1:24">
      <c r="A771" s="1">
        <v>770</v>
      </c>
      <c r="B771" s="1" t="s">
        <v>33</v>
      </c>
      <c r="C771" s="1" t="s">
        <v>34</v>
      </c>
      <c r="D771" s="1" t="s">
        <v>43</v>
      </c>
      <c r="E771" s="1" t="s">
        <v>36</v>
      </c>
      <c r="F771" s="1" t="s">
        <v>45</v>
      </c>
      <c r="G771" s="1">
        <v>1</v>
      </c>
      <c r="H771" s="1" t="s">
        <v>29</v>
      </c>
      <c r="I771" s="1" t="s">
        <v>38</v>
      </c>
      <c r="J771" s="1" t="s">
        <v>48</v>
      </c>
      <c r="K771" s="1" t="s">
        <v>33</v>
      </c>
      <c r="L771" s="1">
        <v>26</v>
      </c>
      <c r="M771" s="1">
        <v>1</v>
      </c>
      <c r="N771" s="1" t="s">
        <v>40</v>
      </c>
      <c r="O771" s="1">
        <v>1</v>
      </c>
      <c r="P771" s="1">
        <v>1</v>
      </c>
      <c r="Q771" s="1">
        <v>3</v>
      </c>
      <c r="R771" s="1">
        <v>2007</v>
      </c>
      <c r="S771" s="1">
        <v>5</v>
      </c>
      <c r="T771" s="1">
        <v>3</v>
      </c>
      <c r="U771" s="1">
        <v>5</v>
      </c>
      <c r="V771" s="1">
        <v>3</v>
      </c>
      <c r="W771" s="1">
        <v>1</v>
      </c>
      <c r="X771" s="1">
        <v>3</v>
      </c>
    </row>
    <row r="772" spans="1:24">
      <c r="A772" s="1">
        <v>771</v>
      </c>
      <c r="B772" s="1" t="s">
        <v>33</v>
      </c>
      <c r="C772" s="1" t="s">
        <v>25</v>
      </c>
      <c r="D772" s="1" t="s">
        <v>35</v>
      </c>
      <c r="E772" s="1" t="s">
        <v>36</v>
      </c>
      <c r="F772" s="1" t="s">
        <v>45</v>
      </c>
      <c r="G772" s="1">
        <v>1</v>
      </c>
      <c r="H772" s="1" t="s">
        <v>37</v>
      </c>
      <c r="I772" s="1" t="s">
        <v>55</v>
      </c>
      <c r="J772" s="1" t="s">
        <v>48</v>
      </c>
      <c r="K772" s="1" t="s">
        <v>33</v>
      </c>
      <c r="L772" s="1">
        <v>46</v>
      </c>
      <c r="M772" s="1">
        <v>1</v>
      </c>
      <c r="N772" s="1" t="s">
        <v>44</v>
      </c>
      <c r="O772" s="1">
        <v>4</v>
      </c>
      <c r="P772" s="1">
        <v>5</v>
      </c>
      <c r="Q772" s="1">
        <v>4</v>
      </c>
      <c r="R772" s="1">
        <v>19627</v>
      </c>
      <c r="S772" s="1">
        <v>23</v>
      </c>
      <c r="T772" s="1">
        <v>3</v>
      </c>
      <c r="U772" s="1">
        <v>2</v>
      </c>
      <c r="V772" s="1">
        <v>2</v>
      </c>
      <c r="W772" s="1">
        <v>2</v>
      </c>
      <c r="X772" s="1">
        <v>2</v>
      </c>
    </row>
    <row r="773" spans="1:24">
      <c r="A773" s="1">
        <v>772</v>
      </c>
      <c r="B773" s="1" t="s">
        <v>33</v>
      </c>
      <c r="C773" s="1" t="s">
        <v>25</v>
      </c>
      <c r="D773" s="1" t="s">
        <v>35</v>
      </c>
      <c r="E773" s="1" t="s">
        <v>27</v>
      </c>
      <c r="F773" s="1" t="s">
        <v>28</v>
      </c>
      <c r="G773" s="1">
        <v>1</v>
      </c>
      <c r="H773" s="1" t="s">
        <v>29</v>
      </c>
      <c r="I773" s="1" t="s">
        <v>30</v>
      </c>
      <c r="J773" s="1" t="s">
        <v>39</v>
      </c>
      <c r="K773" s="1" t="s">
        <v>33</v>
      </c>
      <c r="L773" s="1">
        <v>54</v>
      </c>
      <c r="M773" s="1">
        <v>2</v>
      </c>
      <c r="N773" s="1" t="s">
        <v>44</v>
      </c>
      <c r="O773" s="1">
        <v>3</v>
      </c>
      <c r="P773" s="1">
        <v>3</v>
      </c>
      <c r="Q773" s="1">
        <v>3</v>
      </c>
      <c r="R773" s="1">
        <v>10686</v>
      </c>
      <c r="S773" s="1">
        <v>13</v>
      </c>
      <c r="T773" s="1">
        <v>3</v>
      </c>
      <c r="U773" s="1">
        <v>9</v>
      </c>
      <c r="V773" s="1">
        <v>4</v>
      </c>
      <c r="W773" s="1">
        <v>7</v>
      </c>
      <c r="X773" s="1">
        <v>0</v>
      </c>
    </row>
    <row r="774" spans="1:24">
      <c r="A774" s="1">
        <v>773</v>
      </c>
      <c r="B774" s="1" t="s">
        <v>33</v>
      </c>
      <c r="C774" s="1" t="s">
        <v>34</v>
      </c>
      <c r="D774" s="1" t="s">
        <v>46</v>
      </c>
      <c r="E774" s="1" t="s">
        <v>36</v>
      </c>
      <c r="F774" s="1" t="s">
        <v>45</v>
      </c>
      <c r="G774" s="1">
        <v>1</v>
      </c>
      <c r="H774" s="1" t="s">
        <v>29</v>
      </c>
      <c r="I774" s="1" t="s">
        <v>38</v>
      </c>
      <c r="J774" s="1" t="s">
        <v>39</v>
      </c>
      <c r="K774" s="1" t="s">
        <v>33</v>
      </c>
      <c r="L774" s="1">
        <v>56</v>
      </c>
      <c r="M774" s="1">
        <v>9</v>
      </c>
      <c r="N774" s="1" t="s">
        <v>47</v>
      </c>
      <c r="O774" s="1">
        <v>1</v>
      </c>
      <c r="P774" s="1">
        <v>1</v>
      </c>
      <c r="Q774" s="1">
        <v>3</v>
      </c>
      <c r="R774" s="1">
        <v>2942</v>
      </c>
      <c r="S774" s="1">
        <v>18</v>
      </c>
      <c r="T774" s="1">
        <v>3</v>
      </c>
      <c r="U774" s="1">
        <v>5</v>
      </c>
      <c r="V774" s="1">
        <v>4</v>
      </c>
      <c r="W774" s="1">
        <v>0</v>
      </c>
      <c r="X774" s="1">
        <v>3</v>
      </c>
    </row>
    <row r="775" spans="1:24">
      <c r="A775" s="1">
        <v>774</v>
      </c>
      <c r="B775" s="1" t="s">
        <v>33</v>
      </c>
      <c r="C775" s="1" t="s">
        <v>25</v>
      </c>
      <c r="D775" s="1" t="s">
        <v>26</v>
      </c>
      <c r="E775" s="1" t="s">
        <v>36</v>
      </c>
      <c r="F775" s="1" t="s">
        <v>45</v>
      </c>
      <c r="G775" s="1">
        <v>1</v>
      </c>
      <c r="H775" s="1" t="s">
        <v>29</v>
      </c>
      <c r="I775" s="1" t="s">
        <v>49</v>
      </c>
      <c r="J775" s="1" t="s">
        <v>31</v>
      </c>
      <c r="K775" s="1" t="s">
        <v>33</v>
      </c>
      <c r="L775" s="1">
        <v>36</v>
      </c>
      <c r="M775" s="1">
        <v>12</v>
      </c>
      <c r="N775" s="1" t="s">
        <v>58</v>
      </c>
      <c r="O775" s="1">
        <v>4</v>
      </c>
      <c r="P775" s="1">
        <v>3</v>
      </c>
      <c r="Q775" s="1">
        <v>4</v>
      </c>
      <c r="R775" s="1">
        <v>8858</v>
      </c>
      <c r="S775" s="1">
        <v>15</v>
      </c>
      <c r="T775" s="1">
        <v>2</v>
      </c>
      <c r="U775" s="1">
        <v>14</v>
      </c>
      <c r="V775" s="1">
        <v>8</v>
      </c>
      <c r="W775" s="1">
        <v>7</v>
      </c>
      <c r="X775" s="1">
        <v>8</v>
      </c>
    </row>
    <row r="776" spans="1:24">
      <c r="A776" s="1">
        <v>775</v>
      </c>
      <c r="B776" s="1" t="s">
        <v>33</v>
      </c>
      <c r="C776" s="1" t="s">
        <v>51</v>
      </c>
      <c r="D776" s="1" t="s">
        <v>46</v>
      </c>
      <c r="E776" s="1" t="s">
        <v>36</v>
      </c>
      <c r="F776" s="1" t="s">
        <v>45</v>
      </c>
      <c r="G776" s="1">
        <v>1</v>
      </c>
      <c r="H776" s="1" t="s">
        <v>37</v>
      </c>
      <c r="I776" s="1" t="s">
        <v>53</v>
      </c>
      <c r="J776" s="1" t="s">
        <v>31</v>
      </c>
      <c r="K776" s="1" t="s">
        <v>33</v>
      </c>
      <c r="L776" s="1">
        <v>55</v>
      </c>
      <c r="M776" s="1">
        <v>2</v>
      </c>
      <c r="N776" s="1" t="s">
        <v>40</v>
      </c>
      <c r="O776" s="1">
        <v>3</v>
      </c>
      <c r="P776" s="1">
        <v>4</v>
      </c>
      <c r="Q776" s="1">
        <v>1</v>
      </c>
      <c r="R776" s="1">
        <v>16756</v>
      </c>
      <c r="S776" s="1">
        <v>31</v>
      </c>
      <c r="T776" s="1">
        <v>4</v>
      </c>
      <c r="U776" s="1">
        <v>9</v>
      </c>
      <c r="V776" s="1">
        <v>7</v>
      </c>
      <c r="W776" s="1">
        <v>6</v>
      </c>
      <c r="X776" s="1">
        <v>2</v>
      </c>
    </row>
    <row r="777" spans="1:24">
      <c r="A777" s="1">
        <v>776</v>
      </c>
      <c r="B777" s="1" t="s">
        <v>33</v>
      </c>
      <c r="C777" s="1" t="s">
        <v>25</v>
      </c>
      <c r="D777" s="1" t="s">
        <v>26</v>
      </c>
      <c r="E777" s="1" t="s">
        <v>27</v>
      </c>
      <c r="F777" s="1" t="s">
        <v>45</v>
      </c>
      <c r="G777" s="1">
        <v>1</v>
      </c>
      <c r="H777" s="1" t="s">
        <v>37</v>
      </c>
      <c r="I777" s="1" t="s">
        <v>30</v>
      </c>
      <c r="J777" s="1" t="s">
        <v>48</v>
      </c>
      <c r="K777" s="1" t="s">
        <v>33</v>
      </c>
      <c r="L777" s="1">
        <v>43</v>
      </c>
      <c r="M777" s="1">
        <v>25</v>
      </c>
      <c r="N777" s="1" t="s">
        <v>47</v>
      </c>
      <c r="O777" s="1">
        <v>3</v>
      </c>
      <c r="P777" s="1">
        <v>3</v>
      </c>
      <c r="Q777" s="1">
        <v>4</v>
      </c>
      <c r="R777" s="1">
        <v>10798</v>
      </c>
      <c r="S777" s="1">
        <v>18</v>
      </c>
      <c r="T777" s="1">
        <v>3</v>
      </c>
      <c r="U777" s="1">
        <v>1</v>
      </c>
      <c r="V777" s="1">
        <v>0</v>
      </c>
      <c r="W777" s="1">
        <v>0</v>
      </c>
      <c r="X777" s="1">
        <v>0</v>
      </c>
    </row>
    <row r="778" spans="1:24">
      <c r="A778" s="1">
        <v>777</v>
      </c>
      <c r="B778" s="1" t="s">
        <v>24</v>
      </c>
      <c r="C778" s="1" t="s">
        <v>34</v>
      </c>
      <c r="D778" s="1" t="s">
        <v>52</v>
      </c>
      <c r="E778" s="1" t="s">
        <v>27</v>
      </c>
      <c r="F778" s="1" t="s">
        <v>56</v>
      </c>
      <c r="G778" s="1">
        <v>1</v>
      </c>
      <c r="H778" s="1" t="s">
        <v>29</v>
      </c>
      <c r="I778" s="1" t="s">
        <v>54</v>
      </c>
      <c r="J778" s="1" t="s">
        <v>31</v>
      </c>
      <c r="K778" s="1" t="s">
        <v>24</v>
      </c>
      <c r="L778" s="1">
        <v>20</v>
      </c>
      <c r="M778" s="1">
        <v>9</v>
      </c>
      <c r="N778" s="1" t="s">
        <v>47</v>
      </c>
      <c r="O778" s="1">
        <v>4</v>
      </c>
      <c r="P778" s="1">
        <v>1</v>
      </c>
      <c r="Q778" s="1">
        <v>4</v>
      </c>
      <c r="R778" s="1">
        <v>2323</v>
      </c>
      <c r="S778" s="1">
        <v>2</v>
      </c>
      <c r="T778" s="1">
        <v>3</v>
      </c>
      <c r="U778" s="1">
        <v>2</v>
      </c>
      <c r="V778" s="1">
        <v>2</v>
      </c>
      <c r="W778" s="1">
        <v>0</v>
      </c>
      <c r="X778" s="1">
        <v>2</v>
      </c>
    </row>
    <row r="779" spans="1:24">
      <c r="A779" s="1">
        <v>778</v>
      </c>
      <c r="B779" s="1" t="s">
        <v>24</v>
      </c>
      <c r="C779" s="1" t="s">
        <v>25</v>
      </c>
      <c r="D779" s="1" t="s">
        <v>52</v>
      </c>
      <c r="E779" s="1" t="s">
        <v>36</v>
      </c>
      <c r="F779" s="1" t="s">
        <v>28</v>
      </c>
      <c r="G779" s="1">
        <v>1</v>
      </c>
      <c r="H779" s="1" t="s">
        <v>29</v>
      </c>
      <c r="I779" s="1" t="s">
        <v>42</v>
      </c>
      <c r="J779" s="1" t="s">
        <v>31</v>
      </c>
      <c r="K779" s="1" t="s">
        <v>33</v>
      </c>
      <c r="L779" s="1">
        <v>21</v>
      </c>
      <c r="M779" s="1">
        <v>10</v>
      </c>
      <c r="N779" s="1" t="s">
        <v>47</v>
      </c>
      <c r="O779" s="1">
        <v>3</v>
      </c>
      <c r="P779" s="1">
        <v>1</v>
      </c>
      <c r="Q779" s="1">
        <v>1</v>
      </c>
      <c r="R779" s="1">
        <v>1416</v>
      </c>
      <c r="S779" s="1">
        <v>1</v>
      </c>
      <c r="T779" s="1">
        <v>2</v>
      </c>
      <c r="U779" s="1">
        <v>1</v>
      </c>
      <c r="V779" s="1">
        <v>0</v>
      </c>
      <c r="W779" s="1">
        <v>1</v>
      </c>
      <c r="X779" s="1">
        <v>0</v>
      </c>
    </row>
    <row r="780" spans="1:24">
      <c r="A780" s="1">
        <v>779</v>
      </c>
      <c r="B780" s="1" t="s">
        <v>33</v>
      </c>
      <c r="C780" s="1" t="s">
        <v>25</v>
      </c>
      <c r="D780" s="1" t="s">
        <v>35</v>
      </c>
      <c r="E780" s="1" t="s">
        <v>36</v>
      </c>
      <c r="F780" s="1" t="s">
        <v>28</v>
      </c>
      <c r="G780" s="1">
        <v>1</v>
      </c>
      <c r="H780" s="1" t="s">
        <v>29</v>
      </c>
      <c r="I780" s="1" t="s">
        <v>38</v>
      </c>
      <c r="J780" s="1" t="s">
        <v>48</v>
      </c>
      <c r="K780" s="1" t="s">
        <v>24</v>
      </c>
      <c r="L780" s="1">
        <v>46</v>
      </c>
      <c r="M780" s="1">
        <v>8</v>
      </c>
      <c r="N780" s="1" t="s">
        <v>44</v>
      </c>
      <c r="O780" s="1">
        <v>4</v>
      </c>
      <c r="P780" s="1">
        <v>2</v>
      </c>
      <c r="Q780" s="1">
        <v>1</v>
      </c>
      <c r="R780" s="1">
        <v>4615</v>
      </c>
      <c r="S780" s="1">
        <v>19</v>
      </c>
      <c r="T780" s="1">
        <v>3</v>
      </c>
      <c r="U780" s="1">
        <v>16</v>
      </c>
      <c r="V780" s="1">
        <v>13</v>
      </c>
      <c r="W780" s="1">
        <v>1</v>
      </c>
      <c r="X780" s="1">
        <v>7</v>
      </c>
    </row>
    <row r="781" spans="1:24">
      <c r="A781" s="1">
        <v>780</v>
      </c>
      <c r="B781" s="1" t="s">
        <v>24</v>
      </c>
      <c r="C781" s="1" t="s">
        <v>25</v>
      </c>
      <c r="D781" s="1" t="s">
        <v>35</v>
      </c>
      <c r="E781" s="1" t="s">
        <v>36</v>
      </c>
      <c r="F781" s="1" t="s">
        <v>28</v>
      </c>
      <c r="G781" s="1">
        <v>1</v>
      </c>
      <c r="H781" s="1" t="s">
        <v>37</v>
      </c>
      <c r="I781" s="1" t="s">
        <v>38</v>
      </c>
      <c r="J781" s="1" t="s">
        <v>39</v>
      </c>
      <c r="K781" s="1" t="s">
        <v>24</v>
      </c>
      <c r="L781" s="1">
        <v>51</v>
      </c>
      <c r="M781" s="1">
        <v>4</v>
      </c>
      <c r="N781" s="1" t="s">
        <v>44</v>
      </c>
      <c r="O781" s="1">
        <v>1</v>
      </c>
      <c r="P781" s="1">
        <v>1</v>
      </c>
      <c r="Q781" s="1">
        <v>3</v>
      </c>
      <c r="R781" s="1">
        <v>2461</v>
      </c>
      <c r="S781" s="1">
        <v>18</v>
      </c>
      <c r="T781" s="1">
        <v>4</v>
      </c>
      <c r="U781" s="1">
        <v>10</v>
      </c>
      <c r="V781" s="1">
        <v>0</v>
      </c>
      <c r="W781" s="1">
        <v>2</v>
      </c>
      <c r="X781" s="1">
        <v>7</v>
      </c>
    </row>
    <row r="782" spans="1:24">
      <c r="A782" s="1">
        <v>781</v>
      </c>
      <c r="B782" s="1" t="s">
        <v>24</v>
      </c>
      <c r="C782" s="1" t="s">
        <v>51</v>
      </c>
      <c r="D782" s="1" t="s">
        <v>43</v>
      </c>
      <c r="E782" s="1" t="s">
        <v>36</v>
      </c>
      <c r="F782" s="1" t="s">
        <v>57</v>
      </c>
      <c r="G782" s="1">
        <v>1</v>
      </c>
      <c r="H782" s="1" t="s">
        <v>37</v>
      </c>
      <c r="I782" s="1" t="s">
        <v>50</v>
      </c>
      <c r="J782" s="1" t="s">
        <v>31</v>
      </c>
      <c r="K782" s="1" t="s">
        <v>33</v>
      </c>
      <c r="L782" s="1">
        <v>28</v>
      </c>
      <c r="M782" s="1">
        <v>24</v>
      </c>
      <c r="N782" s="1" t="s">
        <v>32</v>
      </c>
      <c r="O782" s="1">
        <v>2</v>
      </c>
      <c r="P782" s="1">
        <v>3</v>
      </c>
      <c r="Q782" s="1">
        <v>1</v>
      </c>
      <c r="R782" s="1">
        <v>8722</v>
      </c>
      <c r="S782" s="1">
        <v>10</v>
      </c>
      <c r="T782" s="1">
        <v>2</v>
      </c>
      <c r="U782" s="1">
        <v>10</v>
      </c>
      <c r="V782" s="1">
        <v>7</v>
      </c>
      <c r="W782" s="1">
        <v>1</v>
      </c>
      <c r="X782" s="1">
        <v>9</v>
      </c>
    </row>
    <row r="783" spans="1:24">
      <c r="A783" s="1">
        <v>782</v>
      </c>
      <c r="B783" s="1" t="s">
        <v>33</v>
      </c>
      <c r="C783" s="1" t="s">
        <v>25</v>
      </c>
      <c r="D783" s="1" t="s">
        <v>43</v>
      </c>
      <c r="E783" s="1" t="s">
        <v>36</v>
      </c>
      <c r="F783" s="1" t="s">
        <v>45</v>
      </c>
      <c r="G783" s="1">
        <v>1</v>
      </c>
      <c r="H783" s="1" t="s">
        <v>37</v>
      </c>
      <c r="I783" s="1" t="s">
        <v>42</v>
      </c>
      <c r="J783" s="1" t="s">
        <v>39</v>
      </c>
      <c r="K783" s="1" t="s">
        <v>33</v>
      </c>
      <c r="L783" s="1">
        <v>26</v>
      </c>
      <c r="M783" s="1">
        <v>1</v>
      </c>
      <c r="N783" s="1" t="s">
        <v>32</v>
      </c>
      <c r="O783" s="1">
        <v>1</v>
      </c>
      <c r="P783" s="1">
        <v>1</v>
      </c>
      <c r="Q783" s="1">
        <v>1</v>
      </c>
      <c r="R783" s="1">
        <v>3955</v>
      </c>
      <c r="S783" s="1">
        <v>6</v>
      </c>
      <c r="T783" s="1">
        <v>3</v>
      </c>
      <c r="U783" s="1">
        <v>5</v>
      </c>
      <c r="V783" s="1">
        <v>3</v>
      </c>
      <c r="W783" s="1">
        <v>1</v>
      </c>
      <c r="X783" s="1">
        <v>3</v>
      </c>
    </row>
    <row r="784" spans="1:24">
      <c r="A784" s="1">
        <v>783</v>
      </c>
      <c r="B784" s="1" t="s">
        <v>33</v>
      </c>
      <c r="C784" s="1" t="s">
        <v>25</v>
      </c>
      <c r="D784" s="1" t="s">
        <v>43</v>
      </c>
      <c r="E784" s="1" t="s">
        <v>36</v>
      </c>
      <c r="F784" s="1" t="s">
        <v>41</v>
      </c>
      <c r="G784" s="1">
        <v>1</v>
      </c>
      <c r="H784" s="1" t="s">
        <v>37</v>
      </c>
      <c r="I784" s="1" t="s">
        <v>49</v>
      </c>
      <c r="J784" s="1" t="s">
        <v>39</v>
      </c>
      <c r="K784" s="1" t="s">
        <v>33</v>
      </c>
      <c r="L784" s="1">
        <v>30</v>
      </c>
      <c r="M784" s="1">
        <v>20</v>
      </c>
      <c r="N784" s="1" t="s">
        <v>47</v>
      </c>
      <c r="O784" s="1">
        <v>3</v>
      </c>
      <c r="P784" s="1">
        <v>2</v>
      </c>
      <c r="Q784" s="1">
        <v>1</v>
      </c>
      <c r="R784" s="1">
        <v>9957</v>
      </c>
      <c r="S784" s="1">
        <v>7</v>
      </c>
      <c r="T784" s="1">
        <v>2</v>
      </c>
      <c r="U784" s="1">
        <v>6</v>
      </c>
      <c r="V784" s="1">
        <v>2</v>
      </c>
      <c r="W784" s="1">
        <v>0</v>
      </c>
      <c r="X784" s="1">
        <v>2</v>
      </c>
    </row>
    <row r="785" spans="1:24">
      <c r="A785" s="1">
        <v>784</v>
      </c>
      <c r="B785" s="1" t="s">
        <v>33</v>
      </c>
      <c r="C785" s="1" t="s">
        <v>25</v>
      </c>
      <c r="D785" s="1" t="s">
        <v>26</v>
      </c>
      <c r="E785" s="1" t="s">
        <v>36</v>
      </c>
      <c r="F785" s="1" t="s">
        <v>57</v>
      </c>
      <c r="G785" s="1">
        <v>1</v>
      </c>
      <c r="H785" s="1" t="s">
        <v>29</v>
      </c>
      <c r="I785" s="1" t="s">
        <v>38</v>
      </c>
      <c r="J785" s="1" t="s">
        <v>39</v>
      </c>
      <c r="K785" s="1" t="s">
        <v>33</v>
      </c>
      <c r="L785" s="1">
        <v>41</v>
      </c>
      <c r="M785" s="1">
        <v>7</v>
      </c>
      <c r="N785" s="1" t="s">
        <v>32</v>
      </c>
      <c r="O785" s="1">
        <v>2</v>
      </c>
      <c r="P785" s="1">
        <v>1</v>
      </c>
      <c r="Q785" s="1">
        <v>3</v>
      </c>
      <c r="R785" s="1">
        <v>3376</v>
      </c>
      <c r="S785" s="1">
        <v>10</v>
      </c>
      <c r="T785" s="1">
        <v>3</v>
      </c>
      <c r="U785" s="1">
        <v>10</v>
      </c>
      <c r="V785" s="1">
        <v>6</v>
      </c>
      <c r="W785" s="1">
        <v>0</v>
      </c>
      <c r="X785" s="1">
        <v>8</v>
      </c>
    </row>
    <row r="786" spans="1:24">
      <c r="A786" s="1">
        <v>785</v>
      </c>
      <c r="B786" s="1" t="s">
        <v>33</v>
      </c>
      <c r="C786" s="1" t="s">
        <v>25</v>
      </c>
      <c r="D786" s="1" t="s">
        <v>26</v>
      </c>
      <c r="E786" s="1" t="s">
        <v>36</v>
      </c>
      <c r="F786" s="1" t="s">
        <v>28</v>
      </c>
      <c r="G786" s="1">
        <v>1</v>
      </c>
      <c r="H786" s="1" t="s">
        <v>29</v>
      </c>
      <c r="I786" s="1" t="s">
        <v>50</v>
      </c>
      <c r="J786" s="1" t="s">
        <v>39</v>
      </c>
      <c r="K786" s="1" t="s">
        <v>33</v>
      </c>
      <c r="L786" s="1">
        <v>38</v>
      </c>
      <c r="M786" s="1">
        <v>17</v>
      </c>
      <c r="N786" s="1" t="s">
        <v>40</v>
      </c>
      <c r="O786" s="1">
        <v>3</v>
      </c>
      <c r="P786" s="1">
        <v>3</v>
      </c>
      <c r="Q786" s="1">
        <v>3</v>
      </c>
      <c r="R786" s="1">
        <v>8823</v>
      </c>
      <c r="S786" s="1">
        <v>20</v>
      </c>
      <c r="T786" s="1">
        <v>2</v>
      </c>
      <c r="U786" s="1">
        <v>19</v>
      </c>
      <c r="V786" s="1">
        <v>9</v>
      </c>
      <c r="W786" s="1">
        <v>1</v>
      </c>
      <c r="X786" s="1">
        <v>9</v>
      </c>
    </row>
    <row r="787" spans="1:24">
      <c r="A787" s="1">
        <v>786</v>
      </c>
      <c r="B787" s="1" t="s">
        <v>33</v>
      </c>
      <c r="C787" s="1" t="s">
        <v>25</v>
      </c>
      <c r="D787" s="1" t="s">
        <v>26</v>
      </c>
      <c r="E787" s="1" t="s">
        <v>36</v>
      </c>
      <c r="F787" s="1" t="s">
        <v>57</v>
      </c>
      <c r="G787" s="1">
        <v>1</v>
      </c>
      <c r="H787" s="1" t="s">
        <v>37</v>
      </c>
      <c r="I787" s="1" t="s">
        <v>50</v>
      </c>
      <c r="J787" s="1" t="s">
        <v>39</v>
      </c>
      <c r="K787" s="1" t="s">
        <v>33</v>
      </c>
      <c r="L787" s="1">
        <v>40</v>
      </c>
      <c r="M787" s="1">
        <v>20</v>
      </c>
      <c r="N787" s="1" t="s">
        <v>44</v>
      </c>
      <c r="O787" s="1">
        <v>1</v>
      </c>
      <c r="P787" s="1">
        <v>3</v>
      </c>
      <c r="Q787" s="1">
        <v>4</v>
      </c>
      <c r="R787" s="1">
        <v>10322</v>
      </c>
      <c r="S787" s="1">
        <v>14</v>
      </c>
      <c r="T787" s="1">
        <v>3</v>
      </c>
      <c r="U787" s="1">
        <v>11</v>
      </c>
      <c r="V787" s="1">
        <v>10</v>
      </c>
      <c r="W787" s="1">
        <v>11</v>
      </c>
      <c r="X787" s="1">
        <v>1</v>
      </c>
    </row>
    <row r="788" spans="1:24">
      <c r="A788" s="1">
        <v>787</v>
      </c>
      <c r="B788" s="1" t="s">
        <v>33</v>
      </c>
      <c r="C788" s="1" t="s">
        <v>51</v>
      </c>
      <c r="D788" s="1" t="s">
        <v>43</v>
      </c>
      <c r="E788" s="1" t="s">
        <v>36</v>
      </c>
      <c r="F788" s="1" t="s">
        <v>28</v>
      </c>
      <c r="G788" s="1">
        <v>1</v>
      </c>
      <c r="H788" s="1" t="s">
        <v>37</v>
      </c>
      <c r="I788" s="1" t="s">
        <v>42</v>
      </c>
      <c r="J788" s="1" t="s">
        <v>39</v>
      </c>
      <c r="K788" s="1" t="s">
        <v>33</v>
      </c>
      <c r="L788" s="1">
        <v>27</v>
      </c>
      <c r="M788" s="1">
        <v>8</v>
      </c>
      <c r="N788" s="1" t="s">
        <v>58</v>
      </c>
      <c r="O788" s="1">
        <v>1</v>
      </c>
      <c r="P788" s="1">
        <v>1</v>
      </c>
      <c r="Q788" s="1">
        <v>3</v>
      </c>
      <c r="R788" s="1">
        <v>4621</v>
      </c>
      <c r="S788" s="1">
        <v>3</v>
      </c>
      <c r="T788" s="1">
        <v>3</v>
      </c>
      <c r="U788" s="1">
        <v>3</v>
      </c>
      <c r="V788" s="1">
        <v>2</v>
      </c>
      <c r="W788" s="1">
        <v>1</v>
      </c>
      <c r="X788" s="1">
        <v>2</v>
      </c>
    </row>
    <row r="789" spans="1:24">
      <c r="A789" s="1">
        <v>788</v>
      </c>
      <c r="B789" s="1" t="s">
        <v>33</v>
      </c>
      <c r="C789" s="1" t="s">
        <v>34</v>
      </c>
      <c r="D789" s="1" t="s">
        <v>46</v>
      </c>
      <c r="E789" s="1" t="s">
        <v>36</v>
      </c>
      <c r="F789" s="1" t="s">
        <v>28</v>
      </c>
      <c r="G789" s="1">
        <v>1</v>
      </c>
      <c r="H789" s="1" t="s">
        <v>37</v>
      </c>
      <c r="I789" s="1" t="s">
        <v>49</v>
      </c>
      <c r="J789" s="1" t="s">
        <v>39</v>
      </c>
      <c r="K789" s="1" t="s">
        <v>33</v>
      </c>
      <c r="L789" s="1">
        <v>55</v>
      </c>
      <c r="M789" s="1">
        <v>2</v>
      </c>
      <c r="N789" s="1" t="s">
        <v>40</v>
      </c>
      <c r="O789" s="1">
        <v>4</v>
      </c>
      <c r="P789" s="1">
        <v>3</v>
      </c>
      <c r="Q789" s="1">
        <v>2</v>
      </c>
      <c r="R789" s="1">
        <v>10976</v>
      </c>
      <c r="S789" s="1">
        <v>23</v>
      </c>
      <c r="T789" s="1">
        <v>3</v>
      </c>
      <c r="U789" s="1">
        <v>3</v>
      </c>
      <c r="V789" s="1">
        <v>2</v>
      </c>
      <c r="W789" s="1">
        <v>1</v>
      </c>
      <c r="X789" s="1">
        <v>2</v>
      </c>
    </row>
    <row r="790" spans="1:24">
      <c r="A790" s="1">
        <v>789</v>
      </c>
      <c r="B790" s="1" t="s">
        <v>33</v>
      </c>
      <c r="C790" s="1" t="s">
        <v>25</v>
      </c>
      <c r="D790" s="1" t="s">
        <v>43</v>
      </c>
      <c r="E790" s="1" t="s">
        <v>36</v>
      </c>
      <c r="F790" s="1" t="s">
        <v>41</v>
      </c>
      <c r="G790" s="1">
        <v>1</v>
      </c>
      <c r="H790" s="1" t="s">
        <v>29</v>
      </c>
      <c r="I790" s="1" t="s">
        <v>38</v>
      </c>
      <c r="J790" s="1" t="s">
        <v>31</v>
      </c>
      <c r="K790" s="1" t="s">
        <v>33</v>
      </c>
      <c r="L790" s="1">
        <v>28</v>
      </c>
      <c r="M790" s="1">
        <v>10</v>
      </c>
      <c r="N790" s="1" t="s">
        <v>47</v>
      </c>
      <c r="O790" s="1">
        <v>3</v>
      </c>
      <c r="P790" s="1">
        <v>2</v>
      </c>
      <c r="Q790" s="1">
        <v>3</v>
      </c>
      <c r="R790" s="1">
        <v>3660</v>
      </c>
      <c r="S790" s="1">
        <v>10</v>
      </c>
      <c r="T790" s="1">
        <v>4</v>
      </c>
      <c r="U790" s="1">
        <v>8</v>
      </c>
      <c r="V790" s="1">
        <v>7</v>
      </c>
      <c r="W790" s="1">
        <v>1</v>
      </c>
      <c r="X790" s="1">
        <v>7</v>
      </c>
    </row>
    <row r="791" spans="1:24">
      <c r="A791" s="1">
        <v>790</v>
      </c>
      <c r="B791" s="1" t="s">
        <v>24</v>
      </c>
      <c r="C791" s="1" t="s">
        <v>25</v>
      </c>
      <c r="D791" s="1" t="s">
        <v>26</v>
      </c>
      <c r="E791" s="1" t="s">
        <v>59</v>
      </c>
      <c r="F791" s="1" t="s">
        <v>45</v>
      </c>
      <c r="G791" s="1">
        <v>1</v>
      </c>
      <c r="H791" s="1" t="s">
        <v>37</v>
      </c>
      <c r="I791" s="1" t="s">
        <v>60</v>
      </c>
      <c r="J791" s="1" t="s">
        <v>39</v>
      </c>
      <c r="K791" s="1" t="s">
        <v>33</v>
      </c>
      <c r="L791" s="1">
        <v>44</v>
      </c>
      <c r="M791" s="1">
        <v>1</v>
      </c>
      <c r="N791" s="1" t="s">
        <v>32</v>
      </c>
      <c r="O791" s="1">
        <v>2</v>
      </c>
      <c r="P791" s="1">
        <v>3</v>
      </c>
      <c r="Q791" s="1">
        <v>1</v>
      </c>
      <c r="R791" s="1">
        <v>10482</v>
      </c>
      <c r="S791" s="1">
        <v>24</v>
      </c>
      <c r="T791" s="1">
        <v>3</v>
      </c>
      <c r="U791" s="1">
        <v>20</v>
      </c>
      <c r="V791" s="1">
        <v>6</v>
      </c>
      <c r="W791" s="1">
        <v>3</v>
      </c>
      <c r="X791" s="1">
        <v>6</v>
      </c>
    </row>
    <row r="792" spans="1:24">
      <c r="A792" s="1">
        <v>791</v>
      </c>
      <c r="B792" s="1" t="s">
        <v>33</v>
      </c>
      <c r="C792" s="1" t="s">
        <v>25</v>
      </c>
      <c r="D792" s="1" t="s">
        <v>43</v>
      </c>
      <c r="E792" s="1" t="s">
        <v>36</v>
      </c>
      <c r="F792" s="1" t="s">
        <v>28</v>
      </c>
      <c r="G792" s="1">
        <v>1</v>
      </c>
      <c r="H792" s="1" t="s">
        <v>37</v>
      </c>
      <c r="I792" s="1" t="s">
        <v>50</v>
      </c>
      <c r="J792" s="1" t="s">
        <v>48</v>
      </c>
      <c r="K792" s="1" t="s">
        <v>33</v>
      </c>
      <c r="L792" s="1">
        <v>33</v>
      </c>
      <c r="M792" s="1">
        <v>5</v>
      </c>
      <c r="N792" s="1" t="s">
        <v>47</v>
      </c>
      <c r="O792" s="1">
        <v>4</v>
      </c>
      <c r="P792" s="1">
        <v>3</v>
      </c>
      <c r="Q792" s="1">
        <v>4</v>
      </c>
      <c r="R792" s="1">
        <v>7119</v>
      </c>
      <c r="S792" s="1">
        <v>9</v>
      </c>
      <c r="T792" s="1">
        <v>3</v>
      </c>
      <c r="U792" s="1">
        <v>3</v>
      </c>
      <c r="V792" s="1">
        <v>2</v>
      </c>
      <c r="W792" s="1">
        <v>1</v>
      </c>
      <c r="X792" s="1">
        <v>2</v>
      </c>
    </row>
    <row r="793" spans="1:24">
      <c r="A793" s="1">
        <v>792</v>
      </c>
      <c r="B793" s="1" t="s">
        <v>24</v>
      </c>
      <c r="C793" s="1" t="s">
        <v>25</v>
      </c>
      <c r="D793" s="1" t="s">
        <v>26</v>
      </c>
      <c r="E793" s="1" t="s">
        <v>27</v>
      </c>
      <c r="F793" s="1" t="s">
        <v>57</v>
      </c>
      <c r="G793" s="1">
        <v>1</v>
      </c>
      <c r="H793" s="1" t="s">
        <v>37</v>
      </c>
      <c r="I793" s="1" t="s">
        <v>30</v>
      </c>
      <c r="J793" s="1" t="s">
        <v>31</v>
      </c>
      <c r="K793" s="1" t="s">
        <v>24</v>
      </c>
      <c r="L793" s="1">
        <v>35</v>
      </c>
      <c r="M793" s="1">
        <v>4</v>
      </c>
      <c r="N793" s="1" t="s">
        <v>47</v>
      </c>
      <c r="O793" s="1">
        <v>4</v>
      </c>
      <c r="P793" s="1">
        <v>3</v>
      </c>
      <c r="Q793" s="1">
        <v>1</v>
      </c>
      <c r="R793" s="1">
        <v>9582</v>
      </c>
      <c r="S793" s="1">
        <v>9</v>
      </c>
      <c r="T793" s="1">
        <v>3</v>
      </c>
      <c r="U793" s="1">
        <v>8</v>
      </c>
      <c r="V793" s="1">
        <v>7</v>
      </c>
      <c r="W793" s="1">
        <v>4</v>
      </c>
      <c r="X793" s="1">
        <v>7</v>
      </c>
    </row>
    <row r="794" spans="1:24">
      <c r="A794" s="1">
        <v>793</v>
      </c>
      <c r="B794" s="1" t="s">
        <v>24</v>
      </c>
      <c r="C794" s="1" t="s">
        <v>34</v>
      </c>
      <c r="D794" s="1" t="s">
        <v>43</v>
      </c>
      <c r="E794" s="1" t="s">
        <v>36</v>
      </c>
      <c r="F794" s="1" t="s">
        <v>45</v>
      </c>
      <c r="G794" s="1">
        <v>1</v>
      </c>
      <c r="H794" s="1" t="s">
        <v>29</v>
      </c>
      <c r="I794" s="1" t="s">
        <v>38</v>
      </c>
      <c r="J794" s="1" t="s">
        <v>31</v>
      </c>
      <c r="K794" s="1" t="s">
        <v>33</v>
      </c>
      <c r="L794" s="1">
        <v>33</v>
      </c>
      <c r="M794" s="1">
        <v>29</v>
      </c>
      <c r="N794" s="1" t="s">
        <v>44</v>
      </c>
      <c r="O794" s="1">
        <v>1</v>
      </c>
      <c r="P794" s="1">
        <v>2</v>
      </c>
      <c r="Q794" s="1">
        <v>3</v>
      </c>
      <c r="R794" s="1">
        <v>4508</v>
      </c>
      <c r="S794" s="1">
        <v>14</v>
      </c>
      <c r="T794" s="1">
        <v>3</v>
      </c>
      <c r="U794" s="1">
        <v>13</v>
      </c>
      <c r="V794" s="1">
        <v>7</v>
      </c>
      <c r="W794" s="1">
        <v>3</v>
      </c>
      <c r="X794" s="1">
        <v>8</v>
      </c>
    </row>
    <row r="795" spans="1:24">
      <c r="A795" s="1">
        <v>794</v>
      </c>
      <c r="B795" s="1" t="s">
        <v>33</v>
      </c>
      <c r="C795" s="1" t="s">
        <v>25</v>
      </c>
      <c r="D795" s="1" t="s">
        <v>43</v>
      </c>
      <c r="E795" s="1" t="s">
        <v>36</v>
      </c>
      <c r="F795" s="1" t="s">
        <v>28</v>
      </c>
      <c r="G795" s="1">
        <v>1</v>
      </c>
      <c r="H795" s="1" t="s">
        <v>37</v>
      </c>
      <c r="I795" s="1" t="s">
        <v>42</v>
      </c>
      <c r="J795" s="1" t="s">
        <v>48</v>
      </c>
      <c r="K795" s="1" t="s">
        <v>33</v>
      </c>
      <c r="L795" s="1">
        <v>28</v>
      </c>
      <c r="M795" s="1">
        <v>15</v>
      </c>
      <c r="N795" s="1" t="s">
        <v>32</v>
      </c>
      <c r="O795" s="1">
        <v>1</v>
      </c>
      <c r="P795" s="1">
        <v>1</v>
      </c>
      <c r="Q795" s="1">
        <v>3</v>
      </c>
      <c r="R795" s="1">
        <v>2207</v>
      </c>
      <c r="S795" s="1">
        <v>4</v>
      </c>
      <c r="T795" s="1">
        <v>2</v>
      </c>
      <c r="U795" s="1">
        <v>4</v>
      </c>
      <c r="V795" s="1">
        <v>2</v>
      </c>
      <c r="W795" s="1">
        <v>2</v>
      </c>
      <c r="X795" s="1">
        <v>2</v>
      </c>
    </row>
    <row r="796" spans="1:24">
      <c r="A796" s="1">
        <v>795</v>
      </c>
      <c r="B796" s="1" t="s">
        <v>33</v>
      </c>
      <c r="C796" s="1" t="s">
        <v>34</v>
      </c>
      <c r="D796" s="1" t="s">
        <v>43</v>
      </c>
      <c r="E796" s="1" t="s">
        <v>36</v>
      </c>
      <c r="F796" s="1" t="s">
        <v>28</v>
      </c>
      <c r="G796" s="1">
        <v>1</v>
      </c>
      <c r="H796" s="1" t="s">
        <v>37</v>
      </c>
      <c r="I796" s="1" t="s">
        <v>50</v>
      </c>
      <c r="J796" s="1" t="s">
        <v>31</v>
      </c>
      <c r="K796" s="1" t="s">
        <v>33</v>
      </c>
      <c r="L796" s="1">
        <v>34</v>
      </c>
      <c r="M796" s="1">
        <v>3</v>
      </c>
      <c r="N796" s="1" t="s">
        <v>40</v>
      </c>
      <c r="O796" s="1">
        <v>1</v>
      </c>
      <c r="P796" s="1">
        <v>2</v>
      </c>
      <c r="Q796" s="1">
        <v>4</v>
      </c>
      <c r="R796" s="1">
        <v>7756</v>
      </c>
      <c r="S796" s="1">
        <v>7</v>
      </c>
      <c r="T796" s="1">
        <v>2</v>
      </c>
      <c r="U796" s="1">
        <v>6</v>
      </c>
      <c r="V796" s="1">
        <v>2</v>
      </c>
      <c r="W796" s="1">
        <v>0</v>
      </c>
      <c r="X796" s="1">
        <v>4</v>
      </c>
    </row>
    <row r="797" spans="1:24">
      <c r="A797" s="1">
        <v>796</v>
      </c>
      <c r="B797" s="1" t="s">
        <v>33</v>
      </c>
      <c r="C797" s="1" t="s">
        <v>25</v>
      </c>
      <c r="D797" s="1" t="s">
        <v>26</v>
      </c>
      <c r="E797" s="1" t="s">
        <v>27</v>
      </c>
      <c r="F797" s="1" t="s">
        <v>28</v>
      </c>
      <c r="G797" s="1">
        <v>1</v>
      </c>
      <c r="H797" s="1" t="s">
        <v>29</v>
      </c>
      <c r="I797" s="1" t="s">
        <v>30</v>
      </c>
      <c r="J797" s="1" t="s">
        <v>48</v>
      </c>
      <c r="K797" s="1" t="s">
        <v>24</v>
      </c>
      <c r="L797" s="1">
        <v>37</v>
      </c>
      <c r="M797" s="1">
        <v>10</v>
      </c>
      <c r="N797" s="1" t="s">
        <v>44</v>
      </c>
      <c r="O797" s="1">
        <v>4</v>
      </c>
      <c r="P797" s="1">
        <v>2</v>
      </c>
      <c r="Q797" s="1">
        <v>4</v>
      </c>
      <c r="R797" s="1">
        <v>6694</v>
      </c>
      <c r="S797" s="1">
        <v>8</v>
      </c>
      <c r="T797" s="1">
        <v>3</v>
      </c>
      <c r="U797" s="1">
        <v>1</v>
      </c>
      <c r="V797" s="1">
        <v>0</v>
      </c>
      <c r="W797" s="1">
        <v>0</v>
      </c>
      <c r="X797" s="1">
        <v>0</v>
      </c>
    </row>
    <row r="798" spans="1:24">
      <c r="A798" s="1">
        <v>797</v>
      </c>
      <c r="B798" s="1" t="s">
        <v>24</v>
      </c>
      <c r="C798" s="1" t="s">
        <v>25</v>
      </c>
      <c r="D798" s="1" t="s">
        <v>43</v>
      </c>
      <c r="E798" s="1" t="s">
        <v>36</v>
      </c>
      <c r="F798" s="1" t="s">
        <v>57</v>
      </c>
      <c r="G798" s="1">
        <v>1</v>
      </c>
      <c r="H798" s="1" t="s">
        <v>37</v>
      </c>
      <c r="I798" s="1" t="s">
        <v>42</v>
      </c>
      <c r="J798" s="1" t="s">
        <v>39</v>
      </c>
      <c r="K798" s="1" t="s">
        <v>24</v>
      </c>
      <c r="L798" s="1">
        <v>25</v>
      </c>
      <c r="M798" s="1">
        <v>4</v>
      </c>
      <c r="N798" s="1" t="s">
        <v>40</v>
      </c>
      <c r="O798" s="1">
        <v>4</v>
      </c>
      <c r="P798" s="1">
        <v>1</v>
      </c>
      <c r="Q798" s="1">
        <v>4</v>
      </c>
      <c r="R798" s="1">
        <v>3691</v>
      </c>
      <c r="S798" s="1">
        <v>7</v>
      </c>
      <c r="T798" s="1">
        <v>4</v>
      </c>
      <c r="U798" s="1">
        <v>7</v>
      </c>
      <c r="V798" s="1">
        <v>7</v>
      </c>
      <c r="W798" s="1">
        <v>5</v>
      </c>
      <c r="X798" s="1">
        <v>6</v>
      </c>
    </row>
    <row r="799" spans="1:24">
      <c r="A799" s="1">
        <v>798</v>
      </c>
      <c r="B799" s="1" t="s">
        <v>24</v>
      </c>
      <c r="C799" s="1" t="s">
        <v>25</v>
      </c>
      <c r="D799" s="1" t="s">
        <v>43</v>
      </c>
      <c r="E799" s="1" t="s">
        <v>36</v>
      </c>
      <c r="F799" s="1" t="s">
        <v>45</v>
      </c>
      <c r="G799" s="1">
        <v>1</v>
      </c>
      <c r="H799" s="1" t="s">
        <v>37</v>
      </c>
      <c r="I799" s="1" t="s">
        <v>42</v>
      </c>
      <c r="J799" s="1" t="s">
        <v>48</v>
      </c>
      <c r="K799" s="1" t="s">
        <v>33</v>
      </c>
      <c r="L799" s="1">
        <v>26</v>
      </c>
      <c r="M799" s="1">
        <v>21</v>
      </c>
      <c r="N799" s="1" t="s">
        <v>47</v>
      </c>
      <c r="O799" s="1">
        <v>1</v>
      </c>
      <c r="P799" s="1">
        <v>1</v>
      </c>
      <c r="Q799" s="1">
        <v>3</v>
      </c>
      <c r="R799" s="1">
        <v>2377</v>
      </c>
      <c r="S799" s="1">
        <v>1</v>
      </c>
      <c r="T799" s="1">
        <v>2</v>
      </c>
      <c r="U799" s="1">
        <v>1</v>
      </c>
      <c r="V799" s="1">
        <v>1</v>
      </c>
      <c r="W799" s="1">
        <v>0</v>
      </c>
      <c r="X799" s="1">
        <v>0</v>
      </c>
    </row>
    <row r="800" spans="1:24">
      <c r="A800" s="1">
        <v>799</v>
      </c>
      <c r="B800" s="1" t="s">
        <v>24</v>
      </c>
      <c r="C800" s="1" t="s">
        <v>25</v>
      </c>
      <c r="D800" s="1" t="s">
        <v>43</v>
      </c>
      <c r="E800" s="1" t="s">
        <v>36</v>
      </c>
      <c r="F800" s="1" t="s">
        <v>45</v>
      </c>
      <c r="G800" s="1">
        <v>1</v>
      </c>
      <c r="H800" s="1" t="s">
        <v>37</v>
      </c>
      <c r="I800" s="1" t="s">
        <v>38</v>
      </c>
      <c r="J800" s="1" t="s">
        <v>31</v>
      </c>
      <c r="K800" s="1" t="s">
        <v>24</v>
      </c>
      <c r="L800" s="1">
        <v>33</v>
      </c>
      <c r="M800" s="1">
        <v>25</v>
      </c>
      <c r="N800" s="1" t="s">
        <v>47</v>
      </c>
      <c r="O800" s="1">
        <v>1</v>
      </c>
      <c r="P800" s="1">
        <v>1</v>
      </c>
      <c r="Q800" s="1">
        <v>2</v>
      </c>
      <c r="R800" s="1">
        <v>2313</v>
      </c>
      <c r="S800" s="1">
        <v>5</v>
      </c>
      <c r="T800" s="1">
        <v>3</v>
      </c>
      <c r="U800" s="1">
        <v>2</v>
      </c>
      <c r="V800" s="1">
        <v>2</v>
      </c>
      <c r="W800" s="1">
        <v>2</v>
      </c>
      <c r="X800" s="1">
        <v>2</v>
      </c>
    </row>
    <row r="801" spans="1:24">
      <c r="A801" s="1">
        <v>800</v>
      </c>
      <c r="B801" s="1" t="s">
        <v>33</v>
      </c>
      <c r="C801" s="1" t="s">
        <v>25</v>
      </c>
      <c r="D801" s="1" t="s">
        <v>26</v>
      </c>
      <c r="E801" s="1" t="s">
        <v>36</v>
      </c>
      <c r="F801" s="1" t="s">
        <v>45</v>
      </c>
      <c r="G801" s="1">
        <v>1</v>
      </c>
      <c r="H801" s="1" t="s">
        <v>37</v>
      </c>
      <c r="I801" s="1" t="s">
        <v>53</v>
      </c>
      <c r="J801" s="1" t="s">
        <v>39</v>
      </c>
      <c r="K801" s="1" t="s">
        <v>33</v>
      </c>
      <c r="L801" s="1">
        <v>42</v>
      </c>
      <c r="M801" s="1">
        <v>2</v>
      </c>
      <c r="N801" s="1" t="s">
        <v>32</v>
      </c>
      <c r="O801" s="1">
        <v>4</v>
      </c>
      <c r="P801" s="1">
        <v>4</v>
      </c>
      <c r="Q801" s="1">
        <v>1</v>
      </c>
      <c r="R801" s="1">
        <v>17665</v>
      </c>
      <c r="S801" s="1">
        <v>23</v>
      </c>
      <c r="T801" s="1">
        <v>3</v>
      </c>
      <c r="U801" s="1">
        <v>22</v>
      </c>
      <c r="V801" s="1">
        <v>6</v>
      </c>
      <c r="W801" s="1">
        <v>13</v>
      </c>
      <c r="X801" s="1">
        <v>7</v>
      </c>
    </row>
    <row r="802" spans="1:24">
      <c r="A802" s="1">
        <v>801</v>
      </c>
      <c r="B802" s="1" t="s">
        <v>24</v>
      </c>
      <c r="C802" s="1" t="s">
        <v>34</v>
      </c>
      <c r="D802" s="1" t="s">
        <v>43</v>
      </c>
      <c r="E802" s="1" t="s">
        <v>36</v>
      </c>
      <c r="F802" s="1" t="s">
        <v>45</v>
      </c>
      <c r="G802" s="1">
        <v>1</v>
      </c>
      <c r="H802" s="1" t="s">
        <v>37</v>
      </c>
      <c r="I802" s="1" t="s">
        <v>42</v>
      </c>
      <c r="J802" s="1" t="s">
        <v>48</v>
      </c>
      <c r="K802" s="1" t="s">
        <v>33</v>
      </c>
      <c r="L802" s="1">
        <v>28</v>
      </c>
      <c r="M802" s="1">
        <v>1</v>
      </c>
      <c r="N802" s="1" t="s">
        <v>47</v>
      </c>
      <c r="O802" s="1">
        <v>1</v>
      </c>
      <c r="P802" s="1">
        <v>1</v>
      </c>
      <c r="Q802" s="1">
        <v>2</v>
      </c>
      <c r="R802" s="1">
        <v>2596</v>
      </c>
      <c r="S802" s="1">
        <v>1</v>
      </c>
      <c r="T802" s="1">
        <v>3</v>
      </c>
      <c r="U802" s="1">
        <v>1</v>
      </c>
      <c r="V802" s="1">
        <v>0</v>
      </c>
      <c r="W802" s="1">
        <v>0</v>
      </c>
      <c r="X802" s="1">
        <v>0</v>
      </c>
    </row>
    <row r="803" spans="1:24">
      <c r="A803" s="1">
        <v>802</v>
      </c>
      <c r="B803" s="1" t="s">
        <v>24</v>
      </c>
      <c r="C803" s="1" t="s">
        <v>34</v>
      </c>
      <c r="D803" s="1" t="s">
        <v>35</v>
      </c>
      <c r="E803" s="1" t="s">
        <v>27</v>
      </c>
      <c r="F803" s="1" t="s">
        <v>41</v>
      </c>
      <c r="G803" s="1">
        <v>1</v>
      </c>
      <c r="H803" s="1" t="s">
        <v>37</v>
      </c>
      <c r="I803" s="1" t="s">
        <v>30</v>
      </c>
      <c r="J803" s="1" t="s">
        <v>31</v>
      </c>
      <c r="K803" s="1" t="s">
        <v>24</v>
      </c>
      <c r="L803" s="1">
        <v>50</v>
      </c>
      <c r="M803" s="1">
        <v>1</v>
      </c>
      <c r="N803" s="1" t="s">
        <v>44</v>
      </c>
      <c r="O803" s="1">
        <v>4</v>
      </c>
      <c r="P803" s="1">
        <v>2</v>
      </c>
      <c r="Q803" s="1">
        <v>3</v>
      </c>
      <c r="R803" s="1">
        <v>4728</v>
      </c>
      <c r="S803" s="1">
        <v>5</v>
      </c>
      <c r="T803" s="1">
        <v>3</v>
      </c>
      <c r="U803" s="1">
        <v>0</v>
      </c>
      <c r="V803" s="1">
        <v>0</v>
      </c>
      <c r="W803" s="1">
        <v>0</v>
      </c>
      <c r="X803" s="1">
        <v>0</v>
      </c>
    </row>
    <row r="804" spans="1:24">
      <c r="A804" s="1">
        <v>803</v>
      </c>
      <c r="B804" s="1" t="s">
        <v>33</v>
      </c>
      <c r="C804" s="1" t="s">
        <v>34</v>
      </c>
      <c r="D804" s="1" t="s">
        <v>43</v>
      </c>
      <c r="E804" s="1" t="s">
        <v>27</v>
      </c>
      <c r="F804" s="1" t="s">
        <v>28</v>
      </c>
      <c r="G804" s="1">
        <v>1</v>
      </c>
      <c r="H804" s="1" t="s">
        <v>29</v>
      </c>
      <c r="I804" s="1" t="s">
        <v>30</v>
      </c>
      <c r="J804" s="1" t="s">
        <v>39</v>
      </c>
      <c r="K804" s="1" t="s">
        <v>33</v>
      </c>
      <c r="L804" s="1">
        <v>33</v>
      </c>
      <c r="M804" s="1">
        <v>7</v>
      </c>
      <c r="N804" s="1" t="s">
        <v>47</v>
      </c>
      <c r="O804" s="1">
        <v>4</v>
      </c>
      <c r="P804" s="1">
        <v>2</v>
      </c>
      <c r="Q804" s="1">
        <v>2</v>
      </c>
      <c r="R804" s="1">
        <v>4302</v>
      </c>
      <c r="S804" s="1">
        <v>4</v>
      </c>
      <c r="T804" s="1">
        <v>3</v>
      </c>
      <c r="U804" s="1">
        <v>3</v>
      </c>
      <c r="V804" s="1">
        <v>2</v>
      </c>
      <c r="W804" s="1">
        <v>0</v>
      </c>
      <c r="X804" s="1">
        <v>2</v>
      </c>
    </row>
    <row r="805" spans="1:24">
      <c r="A805" s="1">
        <v>804</v>
      </c>
      <c r="B805" s="1" t="s">
        <v>33</v>
      </c>
      <c r="C805" s="1" t="s">
        <v>51</v>
      </c>
      <c r="D805" s="1" t="s">
        <v>43</v>
      </c>
      <c r="E805" s="1" t="s">
        <v>36</v>
      </c>
      <c r="F805" s="1" t="s">
        <v>28</v>
      </c>
      <c r="G805" s="1">
        <v>1</v>
      </c>
      <c r="H805" s="1" t="s">
        <v>37</v>
      </c>
      <c r="I805" s="1" t="s">
        <v>38</v>
      </c>
      <c r="J805" s="1" t="s">
        <v>39</v>
      </c>
      <c r="K805" s="1" t="s">
        <v>33</v>
      </c>
      <c r="L805" s="1">
        <v>34</v>
      </c>
      <c r="M805" s="1">
        <v>3</v>
      </c>
      <c r="N805" s="1" t="s">
        <v>44</v>
      </c>
      <c r="O805" s="1">
        <v>3</v>
      </c>
      <c r="P805" s="1">
        <v>1</v>
      </c>
      <c r="Q805" s="1">
        <v>4</v>
      </c>
      <c r="R805" s="1">
        <v>2979</v>
      </c>
      <c r="S805" s="1">
        <v>6</v>
      </c>
      <c r="T805" s="1">
        <v>3</v>
      </c>
      <c r="U805" s="1">
        <v>0</v>
      </c>
      <c r="V805" s="1">
        <v>0</v>
      </c>
      <c r="W805" s="1">
        <v>0</v>
      </c>
      <c r="X805" s="1">
        <v>0</v>
      </c>
    </row>
    <row r="806" spans="1:24">
      <c r="A806" s="1">
        <v>805</v>
      </c>
      <c r="B806" s="1" t="s">
        <v>33</v>
      </c>
      <c r="C806" s="1" t="s">
        <v>51</v>
      </c>
      <c r="D806" s="1" t="s">
        <v>35</v>
      </c>
      <c r="E806" s="1" t="s">
        <v>36</v>
      </c>
      <c r="F806" s="1" t="s">
        <v>45</v>
      </c>
      <c r="G806" s="1">
        <v>1</v>
      </c>
      <c r="H806" s="1" t="s">
        <v>37</v>
      </c>
      <c r="I806" s="1" t="s">
        <v>53</v>
      </c>
      <c r="J806" s="1" t="s">
        <v>31</v>
      </c>
      <c r="K806" s="1" t="s">
        <v>33</v>
      </c>
      <c r="L806" s="1">
        <v>48</v>
      </c>
      <c r="M806" s="1">
        <v>1</v>
      </c>
      <c r="N806" s="1" t="s">
        <v>44</v>
      </c>
      <c r="O806" s="1">
        <v>1</v>
      </c>
      <c r="P806" s="1">
        <v>4</v>
      </c>
      <c r="Q806" s="1">
        <v>4</v>
      </c>
      <c r="R806" s="1">
        <v>16885</v>
      </c>
      <c r="S806" s="1">
        <v>27</v>
      </c>
      <c r="T806" s="1">
        <v>2</v>
      </c>
      <c r="U806" s="1">
        <v>5</v>
      </c>
      <c r="V806" s="1">
        <v>4</v>
      </c>
      <c r="W806" s="1">
        <v>2</v>
      </c>
      <c r="X806" s="1">
        <v>1</v>
      </c>
    </row>
    <row r="807" spans="1:24">
      <c r="A807" s="1">
        <v>806</v>
      </c>
      <c r="B807" s="1" t="s">
        <v>33</v>
      </c>
      <c r="C807" s="1" t="s">
        <v>51</v>
      </c>
      <c r="D807" s="1" t="s">
        <v>35</v>
      </c>
      <c r="E807" s="1" t="s">
        <v>27</v>
      </c>
      <c r="F807" s="1" t="s">
        <v>28</v>
      </c>
      <c r="G807" s="1">
        <v>1</v>
      </c>
      <c r="H807" s="1" t="s">
        <v>29</v>
      </c>
      <c r="I807" s="1" t="s">
        <v>30</v>
      </c>
      <c r="J807" s="1" t="s">
        <v>39</v>
      </c>
      <c r="K807" s="1" t="s">
        <v>33</v>
      </c>
      <c r="L807" s="1">
        <v>45</v>
      </c>
      <c r="M807" s="1">
        <v>9</v>
      </c>
      <c r="N807" s="1" t="s">
        <v>44</v>
      </c>
      <c r="O807" s="1">
        <v>2</v>
      </c>
      <c r="P807" s="1">
        <v>2</v>
      </c>
      <c r="Q807" s="1">
        <v>3</v>
      </c>
      <c r="R807" s="1">
        <v>5593</v>
      </c>
      <c r="S807" s="1">
        <v>15</v>
      </c>
      <c r="T807" s="1">
        <v>3</v>
      </c>
      <c r="U807" s="1">
        <v>15</v>
      </c>
      <c r="V807" s="1">
        <v>10</v>
      </c>
      <c r="W807" s="1">
        <v>4</v>
      </c>
      <c r="X807" s="1">
        <v>12</v>
      </c>
    </row>
    <row r="808" spans="1:24">
      <c r="A808" s="1">
        <v>807</v>
      </c>
      <c r="B808" s="1" t="s">
        <v>33</v>
      </c>
      <c r="C808" s="1" t="s">
        <v>25</v>
      </c>
      <c r="D808" s="1" t="s">
        <v>35</v>
      </c>
      <c r="E808" s="1" t="s">
        <v>36</v>
      </c>
      <c r="F808" s="1" t="s">
        <v>28</v>
      </c>
      <c r="G808" s="1">
        <v>1</v>
      </c>
      <c r="H808" s="1" t="s">
        <v>37</v>
      </c>
      <c r="I808" s="1" t="s">
        <v>50</v>
      </c>
      <c r="J808" s="1" t="s">
        <v>31</v>
      </c>
      <c r="K808" s="1" t="s">
        <v>33</v>
      </c>
      <c r="L808" s="1">
        <v>52</v>
      </c>
      <c r="M808" s="1">
        <v>7</v>
      </c>
      <c r="N808" s="1" t="s">
        <v>44</v>
      </c>
      <c r="O808" s="1">
        <v>2</v>
      </c>
      <c r="P808" s="1">
        <v>3</v>
      </c>
      <c r="Q808" s="1">
        <v>2</v>
      </c>
      <c r="R808" s="1">
        <v>10445</v>
      </c>
      <c r="S808" s="1">
        <v>18</v>
      </c>
      <c r="T808" s="1">
        <v>3</v>
      </c>
      <c r="U808" s="1">
        <v>8</v>
      </c>
      <c r="V808" s="1">
        <v>6</v>
      </c>
      <c r="W808" s="1">
        <v>4</v>
      </c>
      <c r="X808" s="1">
        <v>0</v>
      </c>
    </row>
    <row r="809" spans="1:24">
      <c r="A809" s="1">
        <v>808</v>
      </c>
      <c r="B809" s="1" t="s">
        <v>33</v>
      </c>
      <c r="C809" s="1" t="s">
        <v>25</v>
      </c>
      <c r="D809" s="1" t="s">
        <v>26</v>
      </c>
      <c r="E809" s="1" t="s">
        <v>27</v>
      </c>
      <c r="F809" s="1" t="s">
        <v>56</v>
      </c>
      <c r="G809" s="1">
        <v>1</v>
      </c>
      <c r="H809" s="1" t="s">
        <v>37</v>
      </c>
      <c r="I809" s="1" t="s">
        <v>30</v>
      </c>
      <c r="J809" s="1" t="s">
        <v>48</v>
      </c>
      <c r="K809" s="1" t="s">
        <v>24</v>
      </c>
      <c r="L809" s="1">
        <v>38</v>
      </c>
      <c r="M809" s="1">
        <v>10</v>
      </c>
      <c r="N809" s="1" t="s">
        <v>44</v>
      </c>
      <c r="O809" s="1">
        <v>3</v>
      </c>
      <c r="P809" s="1">
        <v>3</v>
      </c>
      <c r="Q809" s="1">
        <v>3</v>
      </c>
      <c r="R809" s="1">
        <v>8740</v>
      </c>
      <c r="S809" s="1">
        <v>9</v>
      </c>
      <c r="T809" s="1">
        <v>3</v>
      </c>
      <c r="U809" s="1">
        <v>8</v>
      </c>
      <c r="V809" s="1">
        <v>7</v>
      </c>
      <c r="W809" s="1">
        <v>2</v>
      </c>
      <c r="X809" s="1">
        <v>7</v>
      </c>
    </row>
    <row r="810" spans="1:24">
      <c r="A810" s="1">
        <v>809</v>
      </c>
      <c r="B810" s="1" t="s">
        <v>33</v>
      </c>
      <c r="C810" s="1" t="s">
        <v>25</v>
      </c>
      <c r="D810" s="1" t="s">
        <v>43</v>
      </c>
      <c r="E810" s="1" t="s">
        <v>36</v>
      </c>
      <c r="F810" s="1" t="s">
        <v>28</v>
      </c>
      <c r="G810" s="1">
        <v>1</v>
      </c>
      <c r="H810" s="1" t="s">
        <v>29</v>
      </c>
      <c r="I810" s="1" t="s">
        <v>38</v>
      </c>
      <c r="J810" s="1" t="s">
        <v>48</v>
      </c>
      <c r="K810" s="1" t="s">
        <v>33</v>
      </c>
      <c r="L810" s="1">
        <v>29</v>
      </c>
      <c r="M810" s="1">
        <v>28</v>
      </c>
      <c r="N810" s="1" t="s">
        <v>44</v>
      </c>
      <c r="O810" s="1">
        <v>3</v>
      </c>
      <c r="P810" s="1">
        <v>1</v>
      </c>
      <c r="Q810" s="1">
        <v>4</v>
      </c>
      <c r="R810" s="1">
        <v>2514</v>
      </c>
      <c r="S810" s="1">
        <v>11</v>
      </c>
      <c r="T810" s="1">
        <v>3</v>
      </c>
      <c r="U810" s="1">
        <v>7</v>
      </c>
      <c r="V810" s="1">
        <v>5</v>
      </c>
      <c r="W810" s="1">
        <v>1</v>
      </c>
      <c r="X810" s="1">
        <v>7</v>
      </c>
    </row>
    <row r="811" spans="1:24">
      <c r="A811" s="1">
        <v>810</v>
      </c>
      <c r="B811" s="1" t="s">
        <v>33</v>
      </c>
      <c r="C811" s="1" t="s">
        <v>25</v>
      </c>
      <c r="D811" s="1" t="s">
        <v>43</v>
      </c>
      <c r="E811" s="1" t="s">
        <v>36</v>
      </c>
      <c r="F811" s="1" t="s">
        <v>45</v>
      </c>
      <c r="G811" s="1">
        <v>1</v>
      </c>
      <c r="H811" s="1" t="s">
        <v>29</v>
      </c>
      <c r="I811" s="1" t="s">
        <v>49</v>
      </c>
      <c r="J811" s="1" t="s">
        <v>48</v>
      </c>
      <c r="K811" s="1" t="s">
        <v>33</v>
      </c>
      <c r="L811" s="1">
        <v>28</v>
      </c>
      <c r="M811" s="1">
        <v>3</v>
      </c>
      <c r="N811" s="1" t="s">
        <v>47</v>
      </c>
      <c r="O811" s="1">
        <v>4</v>
      </c>
      <c r="P811" s="1">
        <v>3</v>
      </c>
      <c r="Q811" s="1">
        <v>2</v>
      </c>
      <c r="R811" s="1">
        <v>7655</v>
      </c>
      <c r="S811" s="1">
        <v>10</v>
      </c>
      <c r="T811" s="1">
        <v>2</v>
      </c>
      <c r="U811" s="1">
        <v>9</v>
      </c>
      <c r="V811" s="1">
        <v>7</v>
      </c>
      <c r="W811" s="1">
        <v>1</v>
      </c>
      <c r="X811" s="1">
        <v>7</v>
      </c>
    </row>
    <row r="812" spans="1:24">
      <c r="A812" s="1">
        <v>811</v>
      </c>
      <c r="B812" s="1" t="s">
        <v>33</v>
      </c>
      <c r="C812" s="1" t="s">
        <v>25</v>
      </c>
      <c r="D812" s="1" t="s">
        <v>35</v>
      </c>
      <c r="E812" s="1" t="s">
        <v>27</v>
      </c>
      <c r="F812" s="1" t="s">
        <v>56</v>
      </c>
      <c r="G812" s="1">
        <v>1</v>
      </c>
      <c r="H812" s="1" t="s">
        <v>37</v>
      </c>
      <c r="I812" s="1" t="s">
        <v>53</v>
      </c>
      <c r="J812" s="1" t="s">
        <v>39</v>
      </c>
      <c r="K812" s="1" t="s">
        <v>33</v>
      </c>
      <c r="L812" s="1">
        <v>46</v>
      </c>
      <c r="M812" s="1">
        <v>3</v>
      </c>
      <c r="N812" s="1" t="s">
        <v>40</v>
      </c>
      <c r="O812" s="1">
        <v>1</v>
      </c>
      <c r="P812" s="1">
        <v>4</v>
      </c>
      <c r="Q812" s="1">
        <v>3</v>
      </c>
      <c r="R812" s="1">
        <v>17465</v>
      </c>
      <c r="S812" s="1">
        <v>23</v>
      </c>
      <c r="T812" s="1">
        <v>3</v>
      </c>
      <c r="U812" s="1">
        <v>12</v>
      </c>
      <c r="V812" s="1">
        <v>9</v>
      </c>
      <c r="W812" s="1">
        <v>4</v>
      </c>
      <c r="X812" s="1">
        <v>9</v>
      </c>
    </row>
    <row r="813" spans="1:24">
      <c r="A813" s="1">
        <v>812</v>
      </c>
      <c r="B813" s="1" t="s">
        <v>33</v>
      </c>
      <c r="C813" s="1" t="s">
        <v>25</v>
      </c>
      <c r="D813" s="1" t="s">
        <v>26</v>
      </c>
      <c r="E813" s="1" t="s">
        <v>27</v>
      </c>
      <c r="F813" s="1" t="s">
        <v>56</v>
      </c>
      <c r="G813" s="1">
        <v>1</v>
      </c>
      <c r="H813" s="1" t="s">
        <v>37</v>
      </c>
      <c r="I813" s="1" t="s">
        <v>30</v>
      </c>
      <c r="J813" s="1" t="s">
        <v>31</v>
      </c>
      <c r="K813" s="1" t="s">
        <v>33</v>
      </c>
      <c r="L813" s="1">
        <v>38</v>
      </c>
      <c r="M813" s="1">
        <v>2</v>
      </c>
      <c r="N813" s="1" t="s">
        <v>32</v>
      </c>
      <c r="O813" s="1">
        <v>4</v>
      </c>
      <c r="P813" s="1">
        <v>3</v>
      </c>
      <c r="Q813" s="1">
        <v>2</v>
      </c>
      <c r="R813" s="1">
        <v>7351</v>
      </c>
      <c r="S813" s="1">
        <v>10</v>
      </c>
      <c r="T813" s="1">
        <v>3</v>
      </c>
      <c r="U813" s="1">
        <v>1</v>
      </c>
      <c r="V813" s="1">
        <v>0</v>
      </c>
      <c r="W813" s="1">
        <v>0</v>
      </c>
      <c r="X813" s="1">
        <v>0</v>
      </c>
    </row>
    <row r="814" spans="1:24">
      <c r="A814" s="1">
        <v>813</v>
      </c>
      <c r="B814" s="1" t="s">
        <v>33</v>
      </c>
      <c r="C814" s="1" t="s">
        <v>34</v>
      </c>
      <c r="D814" s="1" t="s">
        <v>26</v>
      </c>
      <c r="E814" s="1" t="s">
        <v>36</v>
      </c>
      <c r="F814" s="1" t="s">
        <v>28</v>
      </c>
      <c r="G814" s="1">
        <v>1</v>
      </c>
      <c r="H814" s="1" t="s">
        <v>29</v>
      </c>
      <c r="I814" s="1" t="s">
        <v>49</v>
      </c>
      <c r="J814" s="1" t="s">
        <v>39</v>
      </c>
      <c r="K814" s="1" t="s">
        <v>33</v>
      </c>
      <c r="L814" s="1">
        <v>43</v>
      </c>
      <c r="M814" s="1">
        <v>27</v>
      </c>
      <c r="N814" s="1" t="s">
        <v>47</v>
      </c>
      <c r="O814" s="1">
        <v>3</v>
      </c>
      <c r="P814" s="1">
        <v>3</v>
      </c>
      <c r="Q814" s="1">
        <v>1</v>
      </c>
      <c r="R814" s="1">
        <v>10820</v>
      </c>
      <c r="S814" s="1">
        <v>18</v>
      </c>
      <c r="T814" s="1">
        <v>3</v>
      </c>
      <c r="U814" s="1">
        <v>8</v>
      </c>
      <c r="V814" s="1">
        <v>7</v>
      </c>
      <c r="W814" s="1">
        <v>0</v>
      </c>
      <c r="X814" s="1">
        <v>1</v>
      </c>
    </row>
    <row r="815" spans="1:24">
      <c r="A815" s="1">
        <v>814</v>
      </c>
      <c r="B815" s="1" t="s">
        <v>24</v>
      </c>
      <c r="C815" s="1" t="s">
        <v>34</v>
      </c>
      <c r="D815" s="1" t="s">
        <v>26</v>
      </c>
      <c r="E815" s="1" t="s">
        <v>36</v>
      </c>
      <c r="F815" s="1" t="s">
        <v>28</v>
      </c>
      <c r="G815" s="1">
        <v>1</v>
      </c>
      <c r="H815" s="1" t="s">
        <v>37</v>
      </c>
      <c r="I815" s="1" t="s">
        <v>50</v>
      </c>
      <c r="J815" s="1" t="s">
        <v>48</v>
      </c>
      <c r="K815" s="1" t="s">
        <v>33</v>
      </c>
      <c r="L815" s="1">
        <v>39</v>
      </c>
      <c r="M815" s="1">
        <v>2</v>
      </c>
      <c r="N815" s="1" t="s">
        <v>47</v>
      </c>
      <c r="O815" s="1">
        <v>1</v>
      </c>
      <c r="P815" s="1">
        <v>4</v>
      </c>
      <c r="Q815" s="1">
        <v>4</v>
      </c>
      <c r="R815" s="1">
        <v>12169</v>
      </c>
      <c r="S815" s="1">
        <v>21</v>
      </c>
      <c r="T815" s="1">
        <v>3</v>
      </c>
      <c r="U815" s="1">
        <v>18</v>
      </c>
      <c r="V815" s="1">
        <v>7</v>
      </c>
      <c r="W815" s="1">
        <v>11</v>
      </c>
      <c r="X815" s="1">
        <v>5</v>
      </c>
    </row>
    <row r="816" spans="1:24">
      <c r="A816" s="1">
        <v>815</v>
      </c>
      <c r="B816" s="1" t="s">
        <v>33</v>
      </c>
      <c r="C816" s="1" t="s">
        <v>25</v>
      </c>
      <c r="D816" s="1" t="s">
        <v>26</v>
      </c>
      <c r="E816" s="1" t="s">
        <v>36</v>
      </c>
      <c r="F816" s="1" t="s">
        <v>45</v>
      </c>
      <c r="G816" s="1">
        <v>1</v>
      </c>
      <c r="H816" s="1" t="s">
        <v>37</v>
      </c>
      <c r="I816" s="1" t="s">
        <v>55</v>
      </c>
      <c r="J816" s="1" t="s">
        <v>31</v>
      </c>
      <c r="K816" s="1" t="s">
        <v>33</v>
      </c>
      <c r="L816" s="1">
        <v>40</v>
      </c>
      <c r="M816" s="1">
        <v>14</v>
      </c>
      <c r="N816" s="1" t="s">
        <v>47</v>
      </c>
      <c r="O816" s="1">
        <v>3</v>
      </c>
      <c r="P816" s="1">
        <v>5</v>
      </c>
      <c r="Q816" s="1">
        <v>3</v>
      </c>
      <c r="R816" s="1">
        <v>19626</v>
      </c>
      <c r="S816" s="1">
        <v>21</v>
      </c>
      <c r="T816" s="1">
        <v>4</v>
      </c>
      <c r="U816" s="1">
        <v>20</v>
      </c>
      <c r="V816" s="1">
        <v>7</v>
      </c>
      <c r="W816" s="1">
        <v>4</v>
      </c>
      <c r="X816" s="1">
        <v>9</v>
      </c>
    </row>
    <row r="817" spans="1:24">
      <c r="A817" s="1">
        <v>816</v>
      </c>
      <c r="B817" s="1" t="s">
        <v>33</v>
      </c>
      <c r="C817" s="1" t="s">
        <v>25</v>
      </c>
      <c r="D817" s="1" t="s">
        <v>52</v>
      </c>
      <c r="E817" s="1" t="s">
        <v>36</v>
      </c>
      <c r="F817" s="1" t="s">
        <v>57</v>
      </c>
      <c r="G817" s="1">
        <v>1</v>
      </c>
      <c r="H817" s="1" t="s">
        <v>29</v>
      </c>
      <c r="I817" s="1" t="s">
        <v>38</v>
      </c>
      <c r="J817" s="1" t="s">
        <v>31</v>
      </c>
      <c r="K817" s="1" t="s">
        <v>24</v>
      </c>
      <c r="L817" s="1">
        <v>21</v>
      </c>
      <c r="M817" s="1">
        <v>1</v>
      </c>
      <c r="N817" s="1" t="s">
        <v>40</v>
      </c>
      <c r="O817" s="1">
        <v>4</v>
      </c>
      <c r="P817" s="1">
        <v>1</v>
      </c>
      <c r="Q817" s="1">
        <v>2</v>
      </c>
      <c r="R817" s="1">
        <v>2070</v>
      </c>
      <c r="S817" s="1">
        <v>2</v>
      </c>
      <c r="T817" s="1">
        <v>4</v>
      </c>
      <c r="U817" s="1">
        <v>2</v>
      </c>
      <c r="V817" s="1">
        <v>2</v>
      </c>
      <c r="W817" s="1">
        <v>2</v>
      </c>
      <c r="X817" s="1">
        <v>2</v>
      </c>
    </row>
    <row r="818" spans="1:24">
      <c r="A818" s="1">
        <v>817</v>
      </c>
      <c r="B818" s="1" t="s">
        <v>33</v>
      </c>
      <c r="C818" s="1" t="s">
        <v>51</v>
      </c>
      <c r="D818" s="1" t="s">
        <v>26</v>
      </c>
      <c r="E818" s="1" t="s">
        <v>36</v>
      </c>
      <c r="F818" s="1" t="s">
        <v>28</v>
      </c>
      <c r="G818" s="1">
        <v>1</v>
      </c>
      <c r="H818" s="1" t="s">
        <v>37</v>
      </c>
      <c r="I818" s="1" t="s">
        <v>42</v>
      </c>
      <c r="J818" s="1" t="s">
        <v>31</v>
      </c>
      <c r="K818" s="1" t="s">
        <v>33</v>
      </c>
      <c r="L818" s="1">
        <v>39</v>
      </c>
      <c r="M818" s="1">
        <v>9</v>
      </c>
      <c r="N818" s="1" t="s">
        <v>47</v>
      </c>
      <c r="O818" s="1">
        <v>3</v>
      </c>
      <c r="P818" s="1">
        <v>2</v>
      </c>
      <c r="Q818" s="1">
        <v>2</v>
      </c>
      <c r="R818" s="1">
        <v>6782</v>
      </c>
      <c r="S818" s="1">
        <v>9</v>
      </c>
      <c r="T818" s="1">
        <v>2</v>
      </c>
      <c r="U818" s="1">
        <v>5</v>
      </c>
      <c r="V818" s="1">
        <v>4</v>
      </c>
      <c r="W818" s="1">
        <v>0</v>
      </c>
      <c r="X818" s="1">
        <v>3</v>
      </c>
    </row>
    <row r="819" spans="1:24">
      <c r="A819" s="1">
        <v>818</v>
      </c>
      <c r="B819" s="1" t="s">
        <v>33</v>
      </c>
      <c r="C819" s="1" t="s">
        <v>51</v>
      </c>
      <c r="D819" s="1" t="s">
        <v>26</v>
      </c>
      <c r="E819" s="1" t="s">
        <v>36</v>
      </c>
      <c r="F819" s="1" t="s">
        <v>28</v>
      </c>
      <c r="G819" s="1">
        <v>1</v>
      </c>
      <c r="H819" s="1" t="s">
        <v>37</v>
      </c>
      <c r="I819" s="1" t="s">
        <v>49</v>
      </c>
      <c r="J819" s="1" t="s">
        <v>31</v>
      </c>
      <c r="K819" s="1" t="s">
        <v>33</v>
      </c>
      <c r="L819" s="1">
        <v>36</v>
      </c>
      <c r="M819" s="1">
        <v>18</v>
      </c>
      <c r="N819" s="1" t="s">
        <v>44</v>
      </c>
      <c r="O819" s="1">
        <v>1</v>
      </c>
      <c r="P819" s="1">
        <v>2</v>
      </c>
      <c r="Q819" s="1">
        <v>4</v>
      </c>
      <c r="R819" s="1">
        <v>7779</v>
      </c>
      <c r="S819" s="1">
        <v>18</v>
      </c>
      <c r="T819" s="1">
        <v>3</v>
      </c>
      <c r="U819" s="1">
        <v>11</v>
      </c>
      <c r="V819" s="1">
        <v>9</v>
      </c>
      <c r="W819" s="1">
        <v>0</v>
      </c>
      <c r="X819" s="1">
        <v>9</v>
      </c>
    </row>
    <row r="820" spans="1:24">
      <c r="A820" s="1">
        <v>819</v>
      </c>
      <c r="B820" s="1" t="s">
        <v>33</v>
      </c>
      <c r="C820" s="1" t="s">
        <v>34</v>
      </c>
      <c r="D820" s="1" t="s">
        <v>43</v>
      </c>
      <c r="E820" s="1" t="s">
        <v>27</v>
      </c>
      <c r="F820" s="1" t="s">
        <v>28</v>
      </c>
      <c r="G820" s="1">
        <v>1</v>
      </c>
      <c r="H820" s="1" t="s">
        <v>37</v>
      </c>
      <c r="I820" s="1" t="s">
        <v>54</v>
      </c>
      <c r="J820" s="1" t="s">
        <v>39</v>
      </c>
      <c r="K820" s="1" t="s">
        <v>33</v>
      </c>
      <c r="L820" s="1">
        <v>31</v>
      </c>
      <c r="M820" s="1">
        <v>20</v>
      </c>
      <c r="N820" s="1" t="s">
        <v>47</v>
      </c>
      <c r="O820" s="1">
        <v>3</v>
      </c>
      <c r="P820" s="1">
        <v>1</v>
      </c>
      <c r="Q820" s="1">
        <v>4</v>
      </c>
      <c r="R820" s="1">
        <v>2791</v>
      </c>
      <c r="S820" s="1">
        <v>3</v>
      </c>
      <c r="T820" s="1">
        <v>3</v>
      </c>
      <c r="U820" s="1">
        <v>2</v>
      </c>
      <c r="V820" s="1">
        <v>2</v>
      </c>
      <c r="W820" s="1">
        <v>2</v>
      </c>
      <c r="X820" s="1">
        <v>2</v>
      </c>
    </row>
    <row r="821" spans="1:24">
      <c r="A821" s="1">
        <v>820</v>
      </c>
      <c r="B821" s="1" t="s">
        <v>33</v>
      </c>
      <c r="C821" s="1" t="s">
        <v>25</v>
      </c>
      <c r="D821" s="1" t="s">
        <v>43</v>
      </c>
      <c r="E821" s="1" t="s">
        <v>36</v>
      </c>
      <c r="F821" s="1" t="s">
        <v>28</v>
      </c>
      <c r="G821" s="1">
        <v>1</v>
      </c>
      <c r="H821" s="1" t="s">
        <v>37</v>
      </c>
      <c r="I821" s="1" t="s">
        <v>38</v>
      </c>
      <c r="J821" s="1" t="s">
        <v>39</v>
      </c>
      <c r="K821" s="1" t="s">
        <v>33</v>
      </c>
      <c r="L821" s="1">
        <v>28</v>
      </c>
      <c r="M821" s="1">
        <v>2</v>
      </c>
      <c r="N821" s="1" t="s">
        <v>40</v>
      </c>
      <c r="O821" s="1">
        <v>1</v>
      </c>
      <c r="P821" s="1">
        <v>1</v>
      </c>
      <c r="Q821" s="1">
        <v>2</v>
      </c>
      <c r="R821" s="1">
        <v>3201</v>
      </c>
      <c r="S821" s="1">
        <v>6</v>
      </c>
      <c r="T821" s="1">
        <v>1</v>
      </c>
      <c r="U821" s="1">
        <v>5</v>
      </c>
      <c r="V821" s="1">
        <v>3</v>
      </c>
      <c r="W821" s="1">
        <v>0</v>
      </c>
      <c r="X821" s="1">
        <v>4</v>
      </c>
    </row>
    <row r="822" spans="1:24">
      <c r="A822" s="1">
        <v>821</v>
      </c>
      <c r="B822" s="1" t="s">
        <v>33</v>
      </c>
      <c r="C822" s="1" t="s">
        <v>34</v>
      </c>
      <c r="D822" s="1" t="s">
        <v>26</v>
      </c>
      <c r="E822" s="1" t="s">
        <v>27</v>
      </c>
      <c r="F822" s="1" t="s">
        <v>56</v>
      </c>
      <c r="G822" s="1">
        <v>1</v>
      </c>
      <c r="H822" s="1" t="s">
        <v>37</v>
      </c>
      <c r="I822" s="1" t="s">
        <v>30</v>
      </c>
      <c r="J822" s="1" t="s">
        <v>48</v>
      </c>
      <c r="K822" s="1" t="s">
        <v>33</v>
      </c>
      <c r="L822" s="1">
        <v>35</v>
      </c>
      <c r="M822" s="1">
        <v>11</v>
      </c>
      <c r="N822" s="1" t="s">
        <v>32</v>
      </c>
      <c r="O822" s="1">
        <v>4</v>
      </c>
      <c r="P822" s="1">
        <v>2</v>
      </c>
      <c r="Q822" s="1">
        <v>4</v>
      </c>
      <c r="R822" s="1">
        <v>4968</v>
      </c>
      <c r="S822" s="1">
        <v>5</v>
      </c>
      <c r="T822" s="1">
        <v>3</v>
      </c>
      <c r="U822" s="1">
        <v>5</v>
      </c>
      <c r="V822" s="1">
        <v>2</v>
      </c>
      <c r="W822" s="1">
        <v>0</v>
      </c>
      <c r="X822" s="1">
        <v>2</v>
      </c>
    </row>
    <row r="823" spans="1:24">
      <c r="A823" s="1">
        <v>822</v>
      </c>
      <c r="B823" s="1" t="s">
        <v>33</v>
      </c>
      <c r="C823" s="1" t="s">
        <v>25</v>
      </c>
      <c r="D823" s="1" t="s">
        <v>35</v>
      </c>
      <c r="E823" s="1" t="s">
        <v>27</v>
      </c>
      <c r="F823" s="1" t="s">
        <v>57</v>
      </c>
      <c r="G823" s="1">
        <v>1</v>
      </c>
      <c r="H823" s="1" t="s">
        <v>37</v>
      </c>
      <c r="I823" s="1" t="s">
        <v>30</v>
      </c>
      <c r="J823" s="1" t="s">
        <v>39</v>
      </c>
      <c r="K823" s="1" t="s">
        <v>33</v>
      </c>
      <c r="L823" s="1">
        <v>49</v>
      </c>
      <c r="M823" s="1">
        <v>8</v>
      </c>
      <c r="N823" s="1" t="s">
        <v>44</v>
      </c>
      <c r="O823" s="1">
        <v>4</v>
      </c>
      <c r="P823" s="1">
        <v>4</v>
      </c>
      <c r="Q823" s="1">
        <v>2</v>
      </c>
      <c r="R823" s="1">
        <v>13120</v>
      </c>
      <c r="S823" s="1">
        <v>22</v>
      </c>
      <c r="T823" s="1">
        <v>3</v>
      </c>
      <c r="U823" s="1">
        <v>9</v>
      </c>
      <c r="V823" s="1">
        <v>8</v>
      </c>
      <c r="W823" s="1">
        <v>2</v>
      </c>
      <c r="X823" s="1">
        <v>3</v>
      </c>
    </row>
    <row r="824" spans="1:24">
      <c r="A824" s="1">
        <v>823</v>
      </c>
      <c r="B824" s="1" t="s">
        <v>33</v>
      </c>
      <c r="C824" s="1" t="s">
        <v>34</v>
      </c>
      <c r="D824" s="1" t="s">
        <v>43</v>
      </c>
      <c r="E824" s="1" t="s">
        <v>36</v>
      </c>
      <c r="F824" s="1" t="s">
        <v>28</v>
      </c>
      <c r="G824" s="1">
        <v>1</v>
      </c>
      <c r="H824" s="1" t="s">
        <v>37</v>
      </c>
      <c r="I824" s="1" t="s">
        <v>49</v>
      </c>
      <c r="J824" s="1" t="s">
        <v>31</v>
      </c>
      <c r="K824" s="1" t="s">
        <v>33</v>
      </c>
      <c r="L824" s="1">
        <v>34</v>
      </c>
      <c r="M824" s="1">
        <v>2</v>
      </c>
      <c r="N824" s="1" t="s">
        <v>32</v>
      </c>
      <c r="O824" s="1">
        <v>4</v>
      </c>
      <c r="P824" s="1">
        <v>2</v>
      </c>
      <c r="Q824" s="1">
        <v>3</v>
      </c>
      <c r="R824" s="1">
        <v>4033</v>
      </c>
      <c r="S824" s="1">
        <v>5</v>
      </c>
      <c r="T824" s="1">
        <v>2</v>
      </c>
      <c r="U824" s="1">
        <v>3</v>
      </c>
      <c r="V824" s="1">
        <v>2</v>
      </c>
      <c r="W824" s="1">
        <v>0</v>
      </c>
      <c r="X824" s="1">
        <v>2</v>
      </c>
    </row>
    <row r="825" spans="1:24">
      <c r="A825" s="1">
        <v>824</v>
      </c>
      <c r="B825" s="1" t="s">
        <v>33</v>
      </c>
      <c r="C825" s="1" t="s">
        <v>34</v>
      </c>
      <c r="D825" s="1" t="s">
        <v>43</v>
      </c>
      <c r="E825" s="1" t="s">
        <v>36</v>
      </c>
      <c r="F825" s="1" t="s">
        <v>28</v>
      </c>
      <c r="G825" s="1">
        <v>1</v>
      </c>
      <c r="H825" s="1" t="s">
        <v>29</v>
      </c>
      <c r="I825" s="1" t="s">
        <v>38</v>
      </c>
      <c r="J825" s="1" t="s">
        <v>48</v>
      </c>
      <c r="K825" s="1" t="s">
        <v>33</v>
      </c>
      <c r="L825" s="1">
        <v>29</v>
      </c>
      <c r="M825" s="1">
        <v>10</v>
      </c>
      <c r="N825" s="1" t="s">
        <v>47</v>
      </c>
      <c r="O825" s="1">
        <v>4</v>
      </c>
      <c r="P825" s="1">
        <v>1</v>
      </c>
      <c r="Q825" s="1">
        <v>2</v>
      </c>
      <c r="R825" s="1">
        <v>3291</v>
      </c>
      <c r="S825" s="1">
        <v>8</v>
      </c>
      <c r="T825" s="1">
        <v>2</v>
      </c>
      <c r="U825" s="1">
        <v>7</v>
      </c>
      <c r="V825" s="1">
        <v>5</v>
      </c>
      <c r="W825" s="1">
        <v>1</v>
      </c>
      <c r="X825" s="1">
        <v>1</v>
      </c>
    </row>
    <row r="826" spans="1:24">
      <c r="A826" s="1">
        <v>825</v>
      </c>
      <c r="B826" s="1" t="s">
        <v>33</v>
      </c>
      <c r="C826" s="1" t="s">
        <v>25</v>
      </c>
      <c r="D826" s="1" t="s">
        <v>26</v>
      </c>
      <c r="E826" s="1" t="s">
        <v>36</v>
      </c>
      <c r="F826" s="1" t="s">
        <v>45</v>
      </c>
      <c r="G826" s="1">
        <v>1</v>
      </c>
      <c r="H826" s="1" t="s">
        <v>37</v>
      </c>
      <c r="I826" s="1" t="s">
        <v>42</v>
      </c>
      <c r="J826" s="1" t="s">
        <v>31</v>
      </c>
      <c r="K826" s="1" t="s">
        <v>33</v>
      </c>
      <c r="L826" s="1">
        <v>42</v>
      </c>
      <c r="M826" s="1">
        <v>29</v>
      </c>
      <c r="N826" s="1" t="s">
        <v>47</v>
      </c>
      <c r="O826" s="1">
        <v>2</v>
      </c>
      <c r="P826" s="1">
        <v>2</v>
      </c>
      <c r="Q826" s="1">
        <v>4</v>
      </c>
      <c r="R826" s="1">
        <v>4272</v>
      </c>
      <c r="S826" s="1">
        <v>16</v>
      </c>
      <c r="T826" s="1">
        <v>3</v>
      </c>
      <c r="U826" s="1">
        <v>1</v>
      </c>
      <c r="V826" s="1">
        <v>0</v>
      </c>
      <c r="W826" s="1">
        <v>0</v>
      </c>
      <c r="X826" s="1">
        <v>0</v>
      </c>
    </row>
    <row r="827" spans="1:24">
      <c r="A827" s="1">
        <v>826</v>
      </c>
      <c r="B827" s="1" t="s">
        <v>33</v>
      </c>
      <c r="C827" s="1" t="s">
        <v>25</v>
      </c>
      <c r="D827" s="1" t="s">
        <v>43</v>
      </c>
      <c r="E827" s="1" t="s">
        <v>36</v>
      </c>
      <c r="F827" s="1" t="s">
        <v>45</v>
      </c>
      <c r="G827" s="1">
        <v>1</v>
      </c>
      <c r="H827" s="1" t="s">
        <v>37</v>
      </c>
      <c r="I827" s="1" t="s">
        <v>49</v>
      </c>
      <c r="J827" s="1" t="s">
        <v>39</v>
      </c>
      <c r="K827" s="1" t="s">
        <v>24</v>
      </c>
      <c r="L827" s="1">
        <v>29</v>
      </c>
      <c r="M827" s="1">
        <v>8</v>
      </c>
      <c r="N827" s="1" t="s">
        <v>40</v>
      </c>
      <c r="O827" s="1">
        <v>2</v>
      </c>
      <c r="P827" s="1">
        <v>2</v>
      </c>
      <c r="Q827" s="1">
        <v>4</v>
      </c>
      <c r="R827" s="1">
        <v>5056</v>
      </c>
      <c r="S827" s="1">
        <v>10</v>
      </c>
      <c r="T827" s="1">
        <v>2</v>
      </c>
      <c r="U827" s="1">
        <v>10</v>
      </c>
      <c r="V827" s="1">
        <v>7</v>
      </c>
      <c r="W827" s="1">
        <v>1</v>
      </c>
      <c r="X827" s="1">
        <v>2</v>
      </c>
    </row>
    <row r="828" spans="1:24">
      <c r="A828" s="1">
        <v>827</v>
      </c>
      <c r="B828" s="1" t="s">
        <v>33</v>
      </c>
      <c r="C828" s="1" t="s">
        <v>25</v>
      </c>
      <c r="D828" s="1" t="s">
        <v>26</v>
      </c>
      <c r="E828" s="1" t="s">
        <v>59</v>
      </c>
      <c r="F828" s="1" t="s">
        <v>60</v>
      </c>
      <c r="G828" s="1">
        <v>1</v>
      </c>
      <c r="H828" s="1" t="s">
        <v>37</v>
      </c>
      <c r="I828" s="1" t="s">
        <v>60</v>
      </c>
      <c r="J828" s="1" t="s">
        <v>39</v>
      </c>
      <c r="K828" s="1" t="s">
        <v>33</v>
      </c>
      <c r="L828" s="1">
        <v>38</v>
      </c>
      <c r="M828" s="1">
        <v>1</v>
      </c>
      <c r="N828" s="1" t="s">
        <v>47</v>
      </c>
      <c r="O828" s="1">
        <v>3</v>
      </c>
      <c r="P828" s="1">
        <v>1</v>
      </c>
      <c r="Q828" s="1">
        <v>3</v>
      </c>
      <c r="R828" s="1">
        <v>2844</v>
      </c>
      <c r="S828" s="1">
        <v>7</v>
      </c>
      <c r="T828" s="1">
        <v>4</v>
      </c>
      <c r="U828" s="1">
        <v>7</v>
      </c>
      <c r="V828" s="1">
        <v>6</v>
      </c>
      <c r="W828" s="1">
        <v>5</v>
      </c>
      <c r="X828" s="1">
        <v>0</v>
      </c>
    </row>
    <row r="829" spans="1:24">
      <c r="A829" s="1">
        <v>828</v>
      </c>
      <c r="B829" s="1" t="s">
        <v>33</v>
      </c>
      <c r="C829" s="1" t="s">
        <v>34</v>
      </c>
      <c r="D829" s="1" t="s">
        <v>43</v>
      </c>
      <c r="E829" s="1" t="s">
        <v>36</v>
      </c>
      <c r="F829" s="1" t="s">
        <v>28</v>
      </c>
      <c r="G829" s="1">
        <v>1</v>
      </c>
      <c r="H829" s="1" t="s">
        <v>37</v>
      </c>
      <c r="I829" s="1" t="s">
        <v>38</v>
      </c>
      <c r="J829" s="1" t="s">
        <v>48</v>
      </c>
      <c r="K829" s="1" t="s">
        <v>24</v>
      </c>
      <c r="L829" s="1">
        <v>28</v>
      </c>
      <c r="M829" s="1">
        <v>6</v>
      </c>
      <c r="N829" s="1" t="s">
        <v>47</v>
      </c>
      <c r="O829" s="1">
        <v>3</v>
      </c>
      <c r="P829" s="1">
        <v>1</v>
      </c>
      <c r="Q829" s="1">
        <v>3</v>
      </c>
      <c r="R829" s="1">
        <v>2703</v>
      </c>
      <c r="S829" s="1">
        <v>3</v>
      </c>
      <c r="T829" s="1">
        <v>3</v>
      </c>
      <c r="U829" s="1">
        <v>3</v>
      </c>
      <c r="V829" s="1">
        <v>1</v>
      </c>
      <c r="W829" s="1">
        <v>0</v>
      </c>
      <c r="X829" s="1">
        <v>2</v>
      </c>
    </row>
    <row r="830" spans="1:24">
      <c r="A830" s="1">
        <v>829</v>
      </c>
      <c r="B830" s="1" t="s">
        <v>24</v>
      </c>
      <c r="C830" s="1" t="s">
        <v>51</v>
      </c>
      <c r="D830" s="1" t="s">
        <v>52</v>
      </c>
      <c r="E830" s="1" t="s">
        <v>36</v>
      </c>
      <c r="F830" s="1" t="s">
        <v>45</v>
      </c>
      <c r="G830" s="1">
        <v>1</v>
      </c>
      <c r="H830" s="1" t="s">
        <v>37</v>
      </c>
      <c r="I830" s="1" t="s">
        <v>42</v>
      </c>
      <c r="J830" s="1" t="s">
        <v>31</v>
      </c>
      <c r="K830" s="1" t="s">
        <v>33</v>
      </c>
      <c r="L830" s="1">
        <v>18</v>
      </c>
      <c r="M830" s="1">
        <v>8</v>
      </c>
      <c r="N830" s="1" t="s">
        <v>40</v>
      </c>
      <c r="O830" s="1">
        <v>3</v>
      </c>
      <c r="P830" s="1">
        <v>1</v>
      </c>
      <c r="Q830" s="1">
        <v>3</v>
      </c>
      <c r="R830" s="1">
        <v>1904</v>
      </c>
      <c r="S830" s="1">
        <v>0</v>
      </c>
      <c r="T830" s="1">
        <v>3</v>
      </c>
      <c r="U830" s="1">
        <v>0</v>
      </c>
      <c r="V830" s="1">
        <v>0</v>
      </c>
      <c r="W830" s="1">
        <v>0</v>
      </c>
      <c r="X830" s="1">
        <v>0</v>
      </c>
    </row>
    <row r="831" spans="1:24">
      <c r="A831" s="1">
        <v>830</v>
      </c>
      <c r="B831" s="1" t="s">
        <v>24</v>
      </c>
      <c r="C831" s="1" t="s">
        <v>25</v>
      </c>
      <c r="D831" s="1" t="s">
        <v>43</v>
      </c>
      <c r="E831" s="1" t="s">
        <v>27</v>
      </c>
      <c r="F831" s="1" t="s">
        <v>56</v>
      </c>
      <c r="G831" s="1">
        <v>1</v>
      </c>
      <c r="H831" s="1" t="s">
        <v>29</v>
      </c>
      <c r="I831" s="1" t="s">
        <v>30</v>
      </c>
      <c r="J831" s="1" t="s">
        <v>31</v>
      </c>
      <c r="K831" s="1" t="s">
        <v>24</v>
      </c>
      <c r="L831" s="1">
        <v>33</v>
      </c>
      <c r="M831" s="1">
        <v>9</v>
      </c>
      <c r="N831" s="1" t="s">
        <v>44</v>
      </c>
      <c r="O831" s="1">
        <v>1</v>
      </c>
      <c r="P831" s="1">
        <v>2</v>
      </c>
      <c r="Q831" s="1">
        <v>1</v>
      </c>
      <c r="R831" s="1">
        <v>8224</v>
      </c>
      <c r="S831" s="1">
        <v>6</v>
      </c>
      <c r="T831" s="1">
        <v>3</v>
      </c>
      <c r="U831" s="1">
        <v>5</v>
      </c>
      <c r="V831" s="1">
        <v>2</v>
      </c>
      <c r="W831" s="1">
        <v>0</v>
      </c>
      <c r="X831" s="1">
        <v>3</v>
      </c>
    </row>
    <row r="832" spans="1:24">
      <c r="A832" s="1">
        <v>831</v>
      </c>
      <c r="B832" s="1" t="s">
        <v>33</v>
      </c>
      <c r="C832" s="1" t="s">
        <v>25</v>
      </c>
      <c r="D832" s="1" t="s">
        <v>26</v>
      </c>
      <c r="E832" s="1" t="s">
        <v>36</v>
      </c>
      <c r="F832" s="1" t="s">
        <v>28</v>
      </c>
      <c r="G832" s="1">
        <v>1</v>
      </c>
      <c r="H832" s="1" t="s">
        <v>37</v>
      </c>
      <c r="I832" s="1" t="s">
        <v>42</v>
      </c>
      <c r="J832" s="1" t="s">
        <v>39</v>
      </c>
      <c r="K832" s="1" t="s">
        <v>24</v>
      </c>
      <c r="L832" s="1">
        <v>41</v>
      </c>
      <c r="M832" s="1">
        <v>12</v>
      </c>
      <c r="N832" s="1" t="s">
        <v>44</v>
      </c>
      <c r="O832" s="1">
        <v>2</v>
      </c>
      <c r="P832" s="1">
        <v>1</v>
      </c>
      <c r="Q832" s="1">
        <v>4</v>
      </c>
      <c r="R832" s="1">
        <v>4766</v>
      </c>
      <c r="S832" s="1">
        <v>6</v>
      </c>
      <c r="T832" s="1">
        <v>3</v>
      </c>
      <c r="U832" s="1">
        <v>1</v>
      </c>
      <c r="V832" s="1">
        <v>0</v>
      </c>
      <c r="W832" s="1">
        <v>0</v>
      </c>
      <c r="X832" s="1">
        <v>0</v>
      </c>
    </row>
    <row r="833" spans="1:24">
      <c r="A833" s="1">
        <v>832</v>
      </c>
      <c r="B833" s="1" t="s">
        <v>24</v>
      </c>
      <c r="C833" s="1" t="s">
        <v>34</v>
      </c>
      <c r="D833" s="1" t="s">
        <v>43</v>
      </c>
      <c r="E833" s="1" t="s">
        <v>36</v>
      </c>
      <c r="F833" s="1" t="s">
        <v>45</v>
      </c>
      <c r="G833" s="1">
        <v>1</v>
      </c>
      <c r="H833" s="1" t="s">
        <v>37</v>
      </c>
      <c r="I833" s="1" t="s">
        <v>42</v>
      </c>
      <c r="J833" s="1" t="s">
        <v>39</v>
      </c>
      <c r="K833" s="1" t="s">
        <v>33</v>
      </c>
      <c r="L833" s="1">
        <v>31</v>
      </c>
      <c r="M833" s="1">
        <v>15</v>
      </c>
      <c r="N833" s="1" t="s">
        <v>47</v>
      </c>
      <c r="O833" s="1">
        <v>3</v>
      </c>
      <c r="P833" s="1">
        <v>1</v>
      </c>
      <c r="Q833" s="1">
        <v>3</v>
      </c>
      <c r="R833" s="1">
        <v>2610</v>
      </c>
      <c r="S833" s="1">
        <v>2</v>
      </c>
      <c r="T833" s="1">
        <v>2</v>
      </c>
      <c r="U833" s="1">
        <v>2</v>
      </c>
      <c r="V833" s="1">
        <v>2</v>
      </c>
      <c r="W833" s="1">
        <v>2</v>
      </c>
      <c r="X833" s="1">
        <v>2</v>
      </c>
    </row>
    <row r="834" spans="1:24">
      <c r="A834" s="1">
        <v>833</v>
      </c>
      <c r="B834" s="1" t="s">
        <v>33</v>
      </c>
      <c r="C834" s="1" t="s">
        <v>25</v>
      </c>
      <c r="D834" s="1" t="s">
        <v>26</v>
      </c>
      <c r="E834" s="1" t="s">
        <v>36</v>
      </c>
      <c r="F834" s="1" t="s">
        <v>45</v>
      </c>
      <c r="G834" s="1">
        <v>1</v>
      </c>
      <c r="H834" s="1" t="s">
        <v>29</v>
      </c>
      <c r="I834" s="1" t="s">
        <v>50</v>
      </c>
      <c r="J834" s="1" t="s">
        <v>48</v>
      </c>
      <c r="K834" s="1" t="s">
        <v>33</v>
      </c>
      <c r="L834" s="1">
        <v>37</v>
      </c>
      <c r="M834" s="1">
        <v>25</v>
      </c>
      <c r="N834" s="1" t="s">
        <v>32</v>
      </c>
      <c r="O834" s="1">
        <v>3</v>
      </c>
      <c r="P834" s="1">
        <v>2</v>
      </c>
      <c r="Q834" s="1">
        <v>4</v>
      </c>
      <c r="R834" s="1">
        <v>5731</v>
      </c>
      <c r="S834" s="1">
        <v>9</v>
      </c>
      <c r="T834" s="1">
        <v>3</v>
      </c>
      <c r="U834" s="1">
        <v>6</v>
      </c>
      <c r="V834" s="1">
        <v>2</v>
      </c>
      <c r="W834" s="1">
        <v>1</v>
      </c>
      <c r="X834" s="1">
        <v>3</v>
      </c>
    </row>
    <row r="835" spans="1:24">
      <c r="A835" s="1">
        <v>834</v>
      </c>
      <c r="B835" s="1" t="s">
        <v>33</v>
      </c>
      <c r="C835" s="1" t="s">
        <v>25</v>
      </c>
      <c r="D835" s="1" t="s">
        <v>43</v>
      </c>
      <c r="E835" s="1" t="s">
        <v>36</v>
      </c>
      <c r="F835" s="1" t="s">
        <v>28</v>
      </c>
      <c r="G835" s="1">
        <v>1</v>
      </c>
      <c r="H835" s="1" t="s">
        <v>37</v>
      </c>
      <c r="I835" s="1" t="s">
        <v>38</v>
      </c>
      <c r="J835" s="1" t="s">
        <v>39</v>
      </c>
      <c r="K835" s="1" t="s">
        <v>33</v>
      </c>
      <c r="L835" s="1">
        <v>27</v>
      </c>
      <c r="M835" s="1">
        <v>6</v>
      </c>
      <c r="N835" s="1" t="s">
        <v>47</v>
      </c>
      <c r="O835" s="1">
        <v>4</v>
      </c>
      <c r="P835" s="1">
        <v>1</v>
      </c>
      <c r="Q835" s="1">
        <v>3</v>
      </c>
      <c r="R835" s="1">
        <v>2539</v>
      </c>
      <c r="S835" s="1">
        <v>4</v>
      </c>
      <c r="T835" s="1">
        <v>3</v>
      </c>
      <c r="U835" s="1">
        <v>4</v>
      </c>
      <c r="V835" s="1">
        <v>2</v>
      </c>
      <c r="W835" s="1">
        <v>2</v>
      </c>
      <c r="X835" s="1">
        <v>2</v>
      </c>
    </row>
    <row r="836" spans="1:24">
      <c r="A836" s="1">
        <v>835</v>
      </c>
      <c r="B836" s="1" t="s">
        <v>33</v>
      </c>
      <c r="C836" s="1" t="s">
        <v>25</v>
      </c>
      <c r="D836" s="1" t="s">
        <v>43</v>
      </c>
      <c r="E836" s="1" t="s">
        <v>27</v>
      </c>
      <c r="F836" s="1" t="s">
        <v>28</v>
      </c>
      <c r="G836" s="1">
        <v>1</v>
      </c>
      <c r="H836" s="1" t="s">
        <v>29</v>
      </c>
      <c r="I836" s="1" t="s">
        <v>30</v>
      </c>
      <c r="J836" s="1" t="s">
        <v>39</v>
      </c>
      <c r="K836" s="1" t="s">
        <v>33</v>
      </c>
      <c r="L836" s="1">
        <v>34</v>
      </c>
      <c r="M836" s="1">
        <v>9</v>
      </c>
      <c r="N836" s="1" t="s">
        <v>40</v>
      </c>
      <c r="O836" s="1">
        <v>2</v>
      </c>
      <c r="P836" s="1">
        <v>2</v>
      </c>
      <c r="Q836" s="1">
        <v>3</v>
      </c>
      <c r="R836" s="1">
        <v>5714</v>
      </c>
      <c r="S836" s="1">
        <v>6</v>
      </c>
      <c r="T836" s="1">
        <v>2</v>
      </c>
      <c r="U836" s="1">
        <v>6</v>
      </c>
      <c r="V836" s="1">
        <v>5</v>
      </c>
      <c r="W836" s="1">
        <v>1</v>
      </c>
      <c r="X836" s="1">
        <v>3</v>
      </c>
    </row>
    <row r="837" spans="1:24">
      <c r="A837" s="1">
        <v>836</v>
      </c>
      <c r="B837" s="1" t="s">
        <v>33</v>
      </c>
      <c r="C837" s="1" t="s">
        <v>25</v>
      </c>
      <c r="D837" s="1" t="s">
        <v>26</v>
      </c>
      <c r="E837" s="1" t="s">
        <v>59</v>
      </c>
      <c r="F837" s="1" t="s">
        <v>57</v>
      </c>
      <c r="G837" s="1">
        <v>1</v>
      </c>
      <c r="H837" s="1" t="s">
        <v>37</v>
      </c>
      <c r="I837" s="1" t="s">
        <v>60</v>
      </c>
      <c r="J837" s="1" t="s">
        <v>31</v>
      </c>
      <c r="K837" s="1" t="s">
        <v>33</v>
      </c>
      <c r="L837" s="1">
        <v>35</v>
      </c>
      <c r="M837" s="1">
        <v>8</v>
      </c>
      <c r="N837" s="1" t="s">
        <v>44</v>
      </c>
      <c r="O837" s="1">
        <v>3</v>
      </c>
      <c r="P837" s="1">
        <v>1</v>
      </c>
      <c r="Q837" s="1">
        <v>3</v>
      </c>
      <c r="R837" s="1">
        <v>4323</v>
      </c>
      <c r="S837" s="1">
        <v>6</v>
      </c>
      <c r="T837" s="1">
        <v>1</v>
      </c>
      <c r="U837" s="1">
        <v>5</v>
      </c>
      <c r="V837" s="1">
        <v>4</v>
      </c>
      <c r="W837" s="1">
        <v>1</v>
      </c>
      <c r="X837" s="1">
        <v>4</v>
      </c>
    </row>
    <row r="838" spans="1:24">
      <c r="A838" s="1">
        <v>837</v>
      </c>
      <c r="B838" s="1" t="s">
        <v>24</v>
      </c>
      <c r="C838" s="1" t="s">
        <v>25</v>
      </c>
      <c r="D838" s="1" t="s">
        <v>43</v>
      </c>
      <c r="E838" s="1" t="s">
        <v>27</v>
      </c>
      <c r="F838" s="1" t="s">
        <v>28</v>
      </c>
      <c r="G838" s="1">
        <v>1</v>
      </c>
      <c r="H838" s="1" t="s">
        <v>29</v>
      </c>
      <c r="I838" s="1" t="s">
        <v>30</v>
      </c>
      <c r="J838" s="1" t="s">
        <v>39</v>
      </c>
      <c r="K838" s="1" t="s">
        <v>33</v>
      </c>
      <c r="L838" s="1">
        <v>29</v>
      </c>
      <c r="M838" s="1">
        <v>23</v>
      </c>
      <c r="N838" s="1" t="s">
        <v>40</v>
      </c>
      <c r="O838" s="1">
        <v>4</v>
      </c>
      <c r="P838" s="1">
        <v>3</v>
      </c>
      <c r="Q838" s="1">
        <v>1</v>
      </c>
      <c r="R838" s="1">
        <v>7336</v>
      </c>
      <c r="S838" s="1">
        <v>11</v>
      </c>
      <c r="T838" s="1">
        <v>1</v>
      </c>
      <c r="U838" s="1">
        <v>11</v>
      </c>
      <c r="V838" s="1">
        <v>8</v>
      </c>
      <c r="W838" s="1">
        <v>3</v>
      </c>
      <c r="X838" s="1">
        <v>10</v>
      </c>
    </row>
    <row r="839" spans="1:24">
      <c r="A839" s="1">
        <v>838</v>
      </c>
      <c r="B839" s="1" t="s">
        <v>33</v>
      </c>
      <c r="C839" s="1" t="s">
        <v>34</v>
      </c>
      <c r="D839" s="1" t="s">
        <v>26</v>
      </c>
      <c r="E839" s="1" t="s">
        <v>36</v>
      </c>
      <c r="F839" s="1" t="s">
        <v>45</v>
      </c>
      <c r="G839" s="1">
        <v>1</v>
      </c>
      <c r="H839" s="1" t="s">
        <v>29</v>
      </c>
      <c r="I839" s="1" t="s">
        <v>55</v>
      </c>
      <c r="J839" s="1" t="s">
        <v>31</v>
      </c>
      <c r="K839" s="1" t="s">
        <v>33</v>
      </c>
      <c r="L839" s="1">
        <v>40</v>
      </c>
      <c r="M839" s="1">
        <v>9</v>
      </c>
      <c r="N839" s="1" t="s">
        <v>44</v>
      </c>
      <c r="O839" s="1">
        <v>2</v>
      </c>
      <c r="P839" s="1">
        <v>3</v>
      </c>
      <c r="Q839" s="1">
        <v>3</v>
      </c>
      <c r="R839" s="1">
        <v>13499</v>
      </c>
      <c r="S839" s="1">
        <v>20</v>
      </c>
      <c r="T839" s="1">
        <v>2</v>
      </c>
      <c r="U839" s="1">
        <v>18</v>
      </c>
      <c r="V839" s="1">
        <v>7</v>
      </c>
      <c r="W839" s="1">
        <v>2</v>
      </c>
      <c r="X839" s="1">
        <v>13</v>
      </c>
    </row>
    <row r="840" spans="1:24">
      <c r="A840" s="1">
        <v>839</v>
      </c>
      <c r="B840" s="1" t="s">
        <v>24</v>
      </c>
      <c r="C840" s="1" t="s">
        <v>34</v>
      </c>
      <c r="D840" s="1" t="s">
        <v>26</v>
      </c>
      <c r="E840" s="1" t="s">
        <v>27</v>
      </c>
      <c r="F840" s="1" t="s">
        <v>28</v>
      </c>
      <c r="G840" s="1">
        <v>1</v>
      </c>
      <c r="H840" s="1" t="s">
        <v>37</v>
      </c>
      <c r="I840" s="1" t="s">
        <v>30</v>
      </c>
      <c r="J840" s="1" t="s">
        <v>31</v>
      </c>
      <c r="K840" s="1" t="s">
        <v>24</v>
      </c>
      <c r="L840" s="1">
        <v>42</v>
      </c>
      <c r="M840" s="1">
        <v>12</v>
      </c>
      <c r="N840" s="1" t="s">
        <v>47</v>
      </c>
      <c r="O840" s="1">
        <v>3</v>
      </c>
      <c r="P840" s="1">
        <v>4</v>
      </c>
      <c r="Q840" s="1">
        <v>1</v>
      </c>
      <c r="R840" s="1">
        <v>13758</v>
      </c>
      <c r="S840" s="1">
        <v>22</v>
      </c>
      <c r="T840" s="1">
        <v>2</v>
      </c>
      <c r="U840" s="1">
        <v>21</v>
      </c>
      <c r="V840" s="1">
        <v>9</v>
      </c>
      <c r="W840" s="1">
        <v>13</v>
      </c>
      <c r="X840" s="1">
        <v>14</v>
      </c>
    </row>
    <row r="841" spans="1:24">
      <c r="A841" s="1">
        <v>840</v>
      </c>
      <c r="B841" s="1" t="s">
        <v>33</v>
      </c>
      <c r="C841" s="1" t="s">
        <v>25</v>
      </c>
      <c r="D841" s="1" t="s">
        <v>26</v>
      </c>
      <c r="E841" s="1" t="s">
        <v>27</v>
      </c>
      <c r="F841" s="1" t="s">
        <v>56</v>
      </c>
      <c r="G841" s="1">
        <v>1</v>
      </c>
      <c r="H841" s="1" t="s">
        <v>37</v>
      </c>
      <c r="I841" s="1" t="s">
        <v>30</v>
      </c>
      <c r="J841" s="1" t="s">
        <v>31</v>
      </c>
      <c r="K841" s="1" t="s">
        <v>33</v>
      </c>
      <c r="L841" s="1">
        <v>42</v>
      </c>
      <c r="M841" s="1">
        <v>4</v>
      </c>
      <c r="N841" s="1" t="s">
        <v>44</v>
      </c>
      <c r="O841" s="1">
        <v>2</v>
      </c>
      <c r="P841" s="1">
        <v>2</v>
      </c>
      <c r="Q841" s="1">
        <v>1</v>
      </c>
      <c r="R841" s="1">
        <v>5155</v>
      </c>
      <c r="S841" s="1">
        <v>9</v>
      </c>
      <c r="T841" s="1">
        <v>4</v>
      </c>
      <c r="U841" s="1">
        <v>6</v>
      </c>
      <c r="V841" s="1">
        <v>4</v>
      </c>
      <c r="W841" s="1">
        <v>1</v>
      </c>
      <c r="X841" s="1">
        <v>5</v>
      </c>
    </row>
    <row r="842" spans="1:24">
      <c r="A842" s="1">
        <v>841</v>
      </c>
      <c r="B842" s="1" t="s">
        <v>33</v>
      </c>
      <c r="C842" s="1" t="s">
        <v>25</v>
      </c>
      <c r="D842" s="1" t="s">
        <v>26</v>
      </c>
      <c r="E842" s="1" t="s">
        <v>36</v>
      </c>
      <c r="F842" s="1" t="s">
        <v>45</v>
      </c>
      <c r="G842" s="1">
        <v>1</v>
      </c>
      <c r="H842" s="1" t="s">
        <v>37</v>
      </c>
      <c r="I842" s="1" t="s">
        <v>42</v>
      </c>
      <c r="J842" s="1" t="s">
        <v>39</v>
      </c>
      <c r="K842" s="1" t="s">
        <v>33</v>
      </c>
      <c r="L842" s="1">
        <v>35</v>
      </c>
      <c r="M842" s="1">
        <v>1</v>
      </c>
      <c r="N842" s="1" t="s">
        <v>44</v>
      </c>
      <c r="O842" s="1">
        <v>4</v>
      </c>
      <c r="P842" s="1">
        <v>1</v>
      </c>
      <c r="Q842" s="1">
        <v>3</v>
      </c>
      <c r="R842" s="1">
        <v>2258</v>
      </c>
      <c r="S842" s="1">
        <v>10</v>
      </c>
      <c r="T842" s="1">
        <v>3</v>
      </c>
      <c r="U842" s="1">
        <v>8</v>
      </c>
      <c r="V842" s="1">
        <v>0</v>
      </c>
      <c r="W842" s="1">
        <v>1</v>
      </c>
      <c r="X842" s="1">
        <v>7</v>
      </c>
    </row>
    <row r="843" spans="1:24">
      <c r="A843" s="1">
        <v>842</v>
      </c>
      <c r="B843" s="1" t="s">
        <v>33</v>
      </c>
      <c r="C843" s="1" t="s">
        <v>25</v>
      </c>
      <c r="D843" s="1" t="s">
        <v>52</v>
      </c>
      <c r="E843" s="1" t="s">
        <v>36</v>
      </c>
      <c r="F843" s="1" t="s">
        <v>45</v>
      </c>
      <c r="G843" s="1">
        <v>1</v>
      </c>
      <c r="H843" s="1" t="s">
        <v>37</v>
      </c>
      <c r="I843" s="1" t="s">
        <v>42</v>
      </c>
      <c r="J843" s="1" t="s">
        <v>31</v>
      </c>
      <c r="K843" s="1" t="s">
        <v>33</v>
      </c>
      <c r="L843" s="1">
        <v>24</v>
      </c>
      <c r="M843" s="1">
        <v>24</v>
      </c>
      <c r="N843" s="1" t="s">
        <v>47</v>
      </c>
      <c r="O843" s="1">
        <v>4</v>
      </c>
      <c r="P843" s="1">
        <v>1</v>
      </c>
      <c r="Q843" s="1">
        <v>2</v>
      </c>
      <c r="R843" s="1">
        <v>3597</v>
      </c>
      <c r="S843" s="1">
        <v>6</v>
      </c>
      <c r="T843" s="1">
        <v>3</v>
      </c>
      <c r="U843" s="1">
        <v>4</v>
      </c>
      <c r="V843" s="1">
        <v>3</v>
      </c>
      <c r="W843" s="1">
        <v>1</v>
      </c>
      <c r="X843" s="1">
        <v>2</v>
      </c>
    </row>
    <row r="844" spans="1:24">
      <c r="A844" s="1">
        <v>843</v>
      </c>
      <c r="B844" s="1" t="s">
        <v>24</v>
      </c>
      <c r="C844" s="1" t="s">
        <v>25</v>
      </c>
      <c r="D844" s="1" t="s">
        <v>43</v>
      </c>
      <c r="E844" s="1" t="s">
        <v>36</v>
      </c>
      <c r="F844" s="1" t="s">
        <v>28</v>
      </c>
      <c r="G844" s="1">
        <v>1</v>
      </c>
      <c r="H844" s="1" t="s">
        <v>29</v>
      </c>
      <c r="I844" s="1" t="s">
        <v>42</v>
      </c>
      <c r="J844" s="1" t="s">
        <v>39</v>
      </c>
      <c r="K844" s="1" t="s">
        <v>24</v>
      </c>
      <c r="L844" s="1">
        <v>28</v>
      </c>
      <c r="M844" s="1">
        <v>12</v>
      </c>
      <c r="N844" s="1" t="s">
        <v>40</v>
      </c>
      <c r="O844" s="1">
        <v>3</v>
      </c>
      <c r="P844" s="1">
        <v>1</v>
      </c>
      <c r="Q844" s="1">
        <v>4</v>
      </c>
      <c r="R844" s="1">
        <v>2515</v>
      </c>
      <c r="S844" s="1">
        <v>1</v>
      </c>
      <c r="T844" s="1">
        <v>2</v>
      </c>
      <c r="U844" s="1">
        <v>1</v>
      </c>
      <c r="V844" s="1">
        <v>1</v>
      </c>
      <c r="W844" s="1">
        <v>0</v>
      </c>
      <c r="X844" s="1">
        <v>0</v>
      </c>
    </row>
    <row r="845" spans="1:24">
      <c r="A845" s="1">
        <v>844</v>
      </c>
      <c r="B845" s="1" t="s">
        <v>33</v>
      </c>
      <c r="C845" s="1" t="s">
        <v>25</v>
      </c>
      <c r="D845" s="1" t="s">
        <v>43</v>
      </c>
      <c r="E845" s="1" t="s">
        <v>36</v>
      </c>
      <c r="F845" s="1" t="s">
        <v>45</v>
      </c>
      <c r="G845" s="1">
        <v>1</v>
      </c>
      <c r="H845" s="1" t="s">
        <v>37</v>
      </c>
      <c r="I845" s="1" t="s">
        <v>42</v>
      </c>
      <c r="J845" s="1" t="s">
        <v>39</v>
      </c>
      <c r="K845" s="1" t="s">
        <v>33</v>
      </c>
      <c r="L845" s="1">
        <v>26</v>
      </c>
      <c r="M845" s="1">
        <v>3</v>
      </c>
      <c r="N845" s="1" t="s">
        <v>44</v>
      </c>
      <c r="O845" s="1">
        <v>1</v>
      </c>
      <c r="P845" s="1">
        <v>1</v>
      </c>
      <c r="Q845" s="1">
        <v>4</v>
      </c>
      <c r="R845" s="1">
        <v>4420</v>
      </c>
      <c r="S845" s="1">
        <v>8</v>
      </c>
      <c r="T845" s="1">
        <v>3</v>
      </c>
      <c r="U845" s="1">
        <v>8</v>
      </c>
      <c r="V845" s="1">
        <v>7</v>
      </c>
      <c r="W845" s="1">
        <v>0</v>
      </c>
      <c r="X845" s="1">
        <v>7</v>
      </c>
    </row>
    <row r="846" spans="1:24">
      <c r="A846" s="1">
        <v>845</v>
      </c>
      <c r="B846" s="1" t="s">
        <v>33</v>
      </c>
      <c r="C846" s="1" t="s">
        <v>25</v>
      </c>
      <c r="D846" s="1" t="s">
        <v>43</v>
      </c>
      <c r="E846" s="1" t="s">
        <v>27</v>
      </c>
      <c r="F846" s="1" t="s">
        <v>56</v>
      </c>
      <c r="G846" s="1">
        <v>1</v>
      </c>
      <c r="H846" s="1" t="s">
        <v>37</v>
      </c>
      <c r="I846" s="1" t="s">
        <v>30</v>
      </c>
      <c r="J846" s="1" t="s">
        <v>39</v>
      </c>
      <c r="K846" s="1" t="s">
        <v>33</v>
      </c>
      <c r="L846" s="1">
        <v>30</v>
      </c>
      <c r="M846" s="1">
        <v>10</v>
      </c>
      <c r="N846" s="1" t="s">
        <v>47</v>
      </c>
      <c r="O846" s="1">
        <v>3</v>
      </c>
      <c r="P846" s="1">
        <v>2</v>
      </c>
      <c r="Q846" s="1">
        <v>3</v>
      </c>
      <c r="R846" s="1">
        <v>6578</v>
      </c>
      <c r="S846" s="1">
        <v>10</v>
      </c>
      <c r="T846" s="1">
        <v>3</v>
      </c>
      <c r="U846" s="1">
        <v>10</v>
      </c>
      <c r="V846" s="1">
        <v>3</v>
      </c>
      <c r="W846" s="1">
        <v>1</v>
      </c>
      <c r="X846" s="1">
        <v>4</v>
      </c>
    </row>
    <row r="847" spans="1:24">
      <c r="A847" s="1">
        <v>846</v>
      </c>
      <c r="B847" s="1" t="s">
        <v>33</v>
      </c>
      <c r="C847" s="1" t="s">
        <v>34</v>
      </c>
      <c r="D847" s="1" t="s">
        <v>26</v>
      </c>
      <c r="E847" s="1" t="s">
        <v>36</v>
      </c>
      <c r="F847" s="1" t="s">
        <v>45</v>
      </c>
      <c r="G847" s="1">
        <v>1</v>
      </c>
      <c r="H847" s="1" t="s">
        <v>29</v>
      </c>
      <c r="I847" s="1" t="s">
        <v>38</v>
      </c>
      <c r="J847" s="1" t="s">
        <v>39</v>
      </c>
      <c r="K847" s="1" t="s">
        <v>24</v>
      </c>
      <c r="L847" s="1">
        <v>40</v>
      </c>
      <c r="M847" s="1">
        <v>26</v>
      </c>
      <c r="N847" s="1" t="s">
        <v>32</v>
      </c>
      <c r="O847" s="1">
        <v>3</v>
      </c>
      <c r="P847" s="1">
        <v>2</v>
      </c>
      <c r="Q847" s="1">
        <v>4</v>
      </c>
      <c r="R847" s="1">
        <v>4422</v>
      </c>
      <c r="S847" s="1">
        <v>16</v>
      </c>
      <c r="T847" s="1">
        <v>1</v>
      </c>
      <c r="U847" s="1">
        <v>1</v>
      </c>
      <c r="V847" s="1">
        <v>1</v>
      </c>
      <c r="W847" s="1">
        <v>0</v>
      </c>
      <c r="X847" s="1">
        <v>0</v>
      </c>
    </row>
    <row r="848" spans="1:24">
      <c r="A848" s="1">
        <v>847</v>
      </c>
      <c r="B848" s="1" t="s">
        <v>33</v>
      </c>
      <c r="C848" s="1" t="s">
        <v>25</v>
      </c>
      <c r="D848" s="1" t="s">
        <v>26</v>
      </c>
      <c r="E848" s="1" t="s">
        <v>36</v>
      </c>
      <c r="F848" s="1" t="s">
        <v>28</v>
      </c>
      <c r="G848" s="1">
        <v>1</v>
      </c>
      <c r="H848" s="1" t="s">
        <v>37</v>
      </c>
      <c r="I848" s="1" t="s">
        <v>49</v>
      </c>
      <c r="J848" s="1" t="s">
        <v>48</v>
      </c>
      <c r="K848" s="1" t="s">
        <v>33</v>
      </c>
      <c r="L848" s="1">
        <v>35</v>
      </c>
      <c r="M848" s="1">
        <v>2</v>
      </c>
      <c r="N848" s="1" t="s">
        <v>47</v>
      </c>
      <c r="O848" s="1">
        <v>3</v>
      </c>
      <c r="P848" s="1">
        <v>3</v>
      </c>
      <c r="Q848" s="1">
        <v>2</v>
      </c>
      <c r="R848" s="1">
        <v>10274</v>
      </c>
      <c r="S848" s="1">
        <v>15</v>
      </c>
      <c r="T848" s="1">
        <v>4</v>
      </c>
      <c r="U848" s="1">
        <v>7</v>
      </c>
      <c r="V848" s="1">
        <v>7</v>
      </c>
      <c r="W848" s="1">
        <v>6</v>
      </c>
      <c r="X848" s="1">
        <v>4</v>
      </c>
    </row>
    <row r="849" spans="1:24">
      <c r="A849" s="1">
        <v>848</v>
      </c>
      <c r="B849" s="1" t="s">
        <v>33</v>
      </c>
      <c r="C849" s="1" t="s">
        <v>34</v>
      </c>
      <c r="D849" s="1" t="s">
        <v>43</v>
      </c>
      <c r="E849" s="1" t="s">
        <v>36</v>
      </c>
      <c r="F849" s="1" t="s">
        <v>45</v>
      </c>
      <c r="G849" s="1">
        <v>1</v>
      </c>
      <c r="H849" s="1" t="s">
        <v>37</v>
      </c>
      <c r="I849" s="1" t="s">
        <v>50</v>
      </c>
      <c r="J849" s="1" t="s">
        <v>31</v>
      </c>
      <c r="K849" s="1" t="s">
        <v>33</v>
      </c>
      <c r="L849" s="1">
        <v>34</v>
      </c>
      <c r="M849" s="1">
        <v>1</v>
      </c>
      <c r="N849" s="1" t="s">
        <v>47</v>
      </c>
      <c r="O849" s="1">
        <v>4</v>
      </c>
      <c r="P849" s="1">
        <v>2</v>
      </c>
      <c r="Q849" s="1">
        <v>1</v>
      </c>
      <c r="R849" s="1">
        <v>5343</v>
      </c>
      <c r="S849" s="1">
        <v>14</v>
      </c>
      <c r="T849" s="1">
        <v>3</v>
      </c>
      <c r="U849" s="1">
        <v>13</v>
      </c>
      <c r="V849" s="1">
        <v>9</v>
      </c>
      <c r="W849" s="1">
        <v>4</v>
      </c>
      <c r="X849" s="1">
        <v>9</v>
      </c>
    </row>
    <row r="850" spans="1:24">
      <c r="A850" s="1">
        <v>849</v>
      </c>
      <c r="B850" s="1" t="s">
        <v>33</v>
      </c>
      <c r="C850" s="1" t="s">
        <v>34</v>
      </c>
      <c r="D850" s="1" t="s">
        <v>26</v>
      </c>
      <c r="E850" s="1" t="s">
        <v>36</v>
      </c>
      <c r="F850" s="1" t="s">
        <v>41</v>
      </c>
      <c r="G850" s="1">
        <v>1</v>
      </c>
      <c r="H850" s="1" t="s">
        <v>37</v>
      </c>
      <c r="I850" s="1" t="s">
        <v>42</v>
      </c>
      <c r="J850" s="1" t="s">
        <v>39</v>
      </c>
      <c r="K850" s="1" t="s">
        <v>33</v>
      </c>
      <c r="L850" s="1">
        <v>35</v>
      </c>
      <c r="M850" s="1">
        <v>4</v>
      </c>
      <c r="N850" s="1" t="s">
        <v>44</v>
      </c>
      <c r="O850" s="1">
        <v>4</v>
      </c>
      <c r="P850" s="1">
        <v>1</v>
      </c>
      <c r="Q850" s="1">
        <v>4</v>
      </c>
      <c r="R850" s="1">
        <v>2376</v>
      </c>
      <c r="S850" s="1">
        <v>2</v>
      </c>
      <c r="T850" s="1">
        <v>4</v>
      </c>
      <c r="U850" s="1">
        <v>2</v>
      </c>
      <c r="V850" s="1">
        <v>2</v>
      </c>
      <c r="W850" s="1">
        <v>2</v>
      </c>
      <c r="X850" s="1">
        <v>2</v>
      </c>
    </row>
    <row r="851" spans="1:24">
      <c r="A851" s="1">
        <v>850</v>
      </c>
      <c r="B851" s="1" t="s">
        <v>24</v>
      </c>
      <c r="C851" s="1" t="s">
        <v>25</v>
      </c>
      <c r="D851" s="1" t="s">
        <v>26</v>
      </c>
      <c r="E851" s="1" t="s">
        <v>27</v>
      </c>
      <c r="F851" s="1" t="s">
        <v>56</v>
      </c>
      <c r="G851" s="1">
        <v>1</v>
      </c>
      <c r="H851" s="1" t="s">
        <v>29</v>
      </c>
      <c r="I851" s="1" t="s">
        <v>30</v>
      </c>
      <c r="J851" s="1" t="s">
        <v>31</v>
      </c>
      <c r="K851" s="1" t="s">
        <v>33</v>
      </c>
      <c r="L851" s="1">
        <v>43</v>
      </c>
      <c r="M851" s="1">
        <v>9</v>
      </c>
      <c r="N851" s="1" t="s">
        <v>47</v>
      </c>
      <c r="O851" s="1">
        <v>1</v>
      </c>
      <c r="P851" s="1">
        <v>2</v>
      </c>
      <c r="Q851" s="1">
        <v>3</v>
      </c>
      <c r="R851" s="1">
        <v>5346</v>
      </c>
      <c r="S851" s="1">
        <v>7</v>
      </c>
      <c r="T851" s="1">
        <v>2</v>
      </c>
      <c r="U851" s="1">
        <v>4</v>
      </c>
      <c r="V851" s="1">
        <v>3</v>
      </c>
      <c r="W851" s="1">
        <v>1</v>
      </c>
      <c r="X851" s="1">
        <v>3</v>
      </c>
    </row>
    <row r="852" spans="1:24">
      <c r="A852" s="1">
        <v>851</v>
      </c>
      <c r="B852" s="1" t="s">
        <v>33</v>
      </c>
      <c r="C852" s="1" t="s">
        <v>51</v>
      </c>
      <c r="D852" s="1" t="s">
        <v>43</v>
      </c>
      <c r="E852" s="1" t="s">
        <v>27</v>
      </c>
      <c r="F852" s="1" t="s">
        <v>28</v>
      </c>
      <c r="G852" s="1">
        <v>1</v>
      </c>
      <c r="H852" s="1" t="s">
        <v>29</v>
      </c>
      <c r="I852" s="1" t="s">
        <v>54</v>
      </c>
      <c r="J852" s="1" t="s">
        <v>48</v>
      </c>
      <c r="K852" s="1" t="s">
        <v>33</v>
      </c>
      <c r="L852" s="1">
        <v>32</v>
      </c>
      <c r="M852" s="1">
        <v>2</v>
      </c>
      <c r="N852" s="1" t="s">
        <v>40</v>
      </c>
      <c r="O852" s="1">
        <v>3</v>
      </c>
      <c r="P852" s="1">
        <v>1</v>
      </c>
      <c r="Q852" s="1">
        <v>1</v>
      </c>
      <c r="R852" s="1">
        <v>2827</v>
      </c>
      <c r="S852" s="1">
        <v>1</v>
      </c>
      <c r="T852" s="1">
        <v>3</v>
      </c>
      <c r="U852" s="1">
        <v>1</v>
      </c>
      <c r="V852" s="1">
        <v>0</v>
      </c>
      <c r="W852" s="1">
        <v>0</v>
      </c>
      <c r="X852" s="1">
        <v>0</v>
      </c>
    </row>
    <row r="853" spans="1:24">
      <c r="A853" s="1">
        <v>852</v>
      </c>
      <c r="B853" s="1" t="s">
        <v>33</v>
      </c>
      <c r="C853" s="1" t="s">
        <v>25</v>
      </c>
      <c r="D853" s="1" t="s">
        <v>46</v>
      </c>
      <c r="E853" s="1" t="s">
        <v>36</v>
      </c>
      <c r="F853" s="1" t="s">
        <v>57</v>
      </c>
      <c r="G853" s="1">
        <v>1</v>
      </c>
      <c r="H853" s="1" t="s">
        <v>29</v>
      </c>
      <c r="I853" s="1" t="s">
        <v>53</v>
      </c>
      <c r="J853" s="1" t="s">
        <v>48</v>
      </c>
      <c r="K853" s="1" t="s">
        <v>33</v>
      </c>
      <c r="L853" s="1">
        <v>56</v>
      </c>
      <c r="M853" s="1">
        <v>4</v>
      </c>
      <c r="N853" s="1" t="s">
        <v>44</v>
      </c>
      <c r="O853" s="1">
        <v>4</v>
      </c>
      <c r="P853" s="1">
        <v>5</v>
      </c>
      <c r="Q853" s="1">
        <v>1</v>
      </c>
      <c r="R853" s="1">
        <v>19943</v>
      </c>
      <c r="S853" s="1">
        <v>28</v>
      </c>
      <c r="T853" s="1">
        <v>3</v>
      </c>
      <c r="U853" s="1">
        <v>5</v>
      </c>
      <c r="V853" s="1">
        <v>2</v>
      </c>
      <c r="W853" s="1">
        <v>4</v>
      </c>
      <c r="X853" s="1">
        <v>2</v>
      </c>
    </row>
    <row r="854" spans="1:24">
      <c r="A854" s="1">
        <v>853</v>
      </c>
      <c r="B854" s="1" t="s">
        <v>33</v>
      </c>
      <c r="C854" s="1" t="s">
        <v>25</v>
      </c>
      <c r="D854" s="1" t="s">
        <v>43</v>
      </c>
      <c r="E854" s="1" t="s">
        <v>36</v>
      </c>
      <c r="F854" s="1" t="s">
        <v>45</v>
      </c>
      <c r="G854" s="1">
        <v>1</v>
      </c>
      <c r="H854" s="1" t="s">
        <v>29</v>
      </c>
      <c r="I854" s="1" t="s">
        <v>42</v>
      </c>
      <c r="J854" s="1" t="s">
        <v>39</v>
      </c>
      <c r="K854" s="1" t="s">
        <v>33</v>
      </c>
      <c r="L854" s="1">
        <v>29</v>
      </c>
      <c r="M854" s="1">
        <v>6</v>
      </c>
      <c r="N854" s="1" t="s">
        <v>40</v>
      </c>
      <c r="O854" s="1">
        <v>2</v>
      </c>
      <c r="P854" s="1">
        <v>1</v>
      </c>
      <c r="Q854" s="1">
        <v>4</v>
      </c>
      <c r="R854" s="1">
        <v>3131</v>
      </c>
      <c r="S854" s="1">
        <v>10</v>
      </c>
      <c r="T854" s="1">
        <v>3</v>
      </c>
      <c r="U854" s="1">
        <v>10</v>
      </c>
      <c r="V854" s="1">
        <v>8</v>
      </c>
      <c r="W854" s="1">
        <v>0</v>
      </c>
      <c r="X854" s="1">
        <v>8</v>
      </c>
    </row>
    <row r="855" spans="1:24">
      <c r="A855" s="1">
        <v>854</v>
      </c>
      <c r="B855" s="1" t="s">
        <v>33</v>
      </c>
      <c r="C855" s="1" t="s">
        <v>25</v>
      </c>
      <c r="D855" s="1" t="s">
        <v>52</v>
      </c>
      <c r="E855" s="1" t="s">
        <v>36</v>
      </c>
      <c r="F855" s="1" t="s">
        <v>28</v>
      </c>
      <c r="G855" s="1">
        <v>1</v>
      </c>
      <c r="H855" s="1" t="s">
        <v>37</v>
      </c>
      <c r="I855" s="1" t="s">
        <v>38</v>
      </c>
      <c r="J855" s="1" t="s">
        <v>31</v>
      </c>
      <c r="K855" s="1" t="s">
        <v>33</v>
      </c>
      <c r="L855" s="1">
        <v>19</v>
      </c>
      <c r="M855" s="1">
        <v>9</v>
      </c>
      <c r="N855" s="1" t="s">
        <v>32</v>
      </c>
      <c r="O855" s="1">
        <v>3</v>
      </c>
      <c r="P855" s="1">
        <v>1</v>
      </c>
      <c r="Q855" s="1">
        <v>1</v>
      </c>
      <c r="R855" s="1">
        <v>2552</v>
      </c>
      <c r="S855" s="1">
        <v>1</v>
      </c>
      <c r="T855" s="1">
        <v>3</v>
      </c>
      <c r="U855" s="1">
        <v>1</v>
      </c>
      <c r="V855" s="1">
        <v>1</v>
      </c>
      <c r="W855" s="1">
        <v>0</v>
      </c>
      <c r="X855" s="1">
        <v>0</v>
      </c>
    </row>
    <row r="856" spans="1:24">
      <c r="A856" s="1">
        <v>855</v>
      </c>
      <c r="B856" s="1" t="s">
        <v>33</v>
      </c>
      <c r="C856" s="1" t="s">
        <v>25</v>
      </c>
      <c r="D856" s="1" t="s">
        <v>35</v>
      </c>
      <c r="E856" s="1" t="s">
        <v>36</v>
      </c>
      <c r="F856" s="1" t="s">
        <v>45</v>
      </c>
      <c r="G856" s="1">
        <v>1</v>
      </c>
      <c r="H856" s="1" t="s">
        <v>29</v>
      </c>
      <c r="I856" s="1" t="s">
        <v>38</v>
      </c>
      <c r="J856" s="1" t="s">
        <v>39</v>
      </c>
      <c r="K856" s="1" t="s">
        <v>24</v>
      </c>
      <c r="L856" s="1">
        <v>45</v>
      </c>
      <c r="M856" s="1">
        <v>7</v>
      </c>
      <c r="N856" s="1" t="s">
        <v>47</v>
      </c>
      <c r="O856" s="1">
        <v>1</v>
      </c>
      <c r="P856" s="1">
        <v>1</v>
      </c>
      <c r="Q856" s="1">
        <v>3</v>
      </c>
      <c r="R856" s="1">
        <v>4477</v>
      </c>
      <c r="S856" s="1">
        <v>7</v>
      </c>
      <c r="T856" s="1">
        <v>2</v>
      </c>
      <c r="U856" s="1">
        <v>3</v>
      </c>
      <c r="V856" s="1">
        <v>2</v>
      </c>
      <c r="W856" s="1">
        <v>0</v>
      </c>
      <c r="X856" s="1">
        <v>2</v>
      </c>
    </row>
    <row r="857" spans="1:24">
      <c r="A857" s="1">
        <v>856</v>
      </c>
      <c r="B857" s="1" t="s">
        <v>33</v>
      </c>
      <c r="C857" s="1" t="s">
        <v>25</v>
      </c>
      <c r="D857" s="1" t="s">
        <v>26</v>
      </c>
      <c r="E857" s="1" t="s">
        <v>36</v>
      </c>
      <c r="F857" s="1" t="s">
        <v>28</v>
      </c>
      <c r="G857" s="1">
        <v>1</v>
      </c>
      <c r="H857" s="1" t="s">
        <v>29</v>
      </c>
      <c r="I857" s="1" t="s">
        <v>49</v>
      </c>
      <c r="J857" s="1" t="s">
        <v>39</v>
      </c>
      <c r="K857" s="1" t="s">
        <v>33</v>
      </c>
      <c r="L857" s="1">
        <v>37</v>
      </c>
      <c r="M857" s="1">
        <v>1</v>
      </c>
      <c r="N857" s="1" t="s">
        <v>47</v>
      </c>
      <c r="O857" s="1">
        <v>4</v>
      </c>
      <c r="P857" s="1">
        <v>2</v>
      </c>
      <c r="Q857" s="1">
        <v>4</v>
      </c>
      <c r="R857" s="1">
        <v>6474</v>
      </c>
      <c r="S857" s="1">
        <v>14</v>
      </c>
      <c r="T857" s="1">
        <v>2</v>
      </c>
      <c r="U857" s="1">
        <v>14</v>
      </c>
      <c r="V857" s="1">
        <v>8</v>
      </c>
      <c r="W857" s="1">
        <v>3</v>
      </c>
      <c r="X857" s="1">
        <v>11</v>
      </c>
    </row>
    <row r="858" spans="1:24">
      <c r="A858" s="1">
        <v>857</v>
      </c>
      <c r="B858" s="1" t="s">
        <v>33</v>
      </c>
      <c r="C858" s="1" t="s">
        <v>25</v>
      </c>
      <c r="D858" s="1" t="s">
        <v>52</v>
      </c>
      <c r="E858" s="1" t="s">
        <v>36</v>
      </c>
      <c r="F858" s="1" t="s">
        <v>28</v>
      </c>
      <c r="G858" s="1">
        <v>1</v>
      </c>
      <c r="H858" s="1" t="s">
        <v>37</v>
      </c>
      <c r="I858" s="1" t="s">
        <v>42</v>
      </c>
      <c r="J858" s="1" t="s">
        <v>31</v>
      </c>
      <c r="K858" s="1" t="s">
        <v>33</v>
      </c>
      <c r="L858" s="1">
        <v>20</v>
      </c>
      <c r="M858" s="1">
        <v>3</v>
      </c>
      <c r="N858" s="1" t="s">
        <v>47</v>
      </c>
      <c r="O858" s="1">
        <v>1</v>
      </c>
      <c r="P858" s="1">
        <v>1</v>
      </c>
      <c r="Q858" s="1">
        <v>3</v>
      </c>
      <c r="R858" s="1">
        <v>3033</v>
      </c>
      <c r="S858" s="1">
        <v>2</v>
      </c>
      <c r="T858" s="1">
        <v>2</v>
      </c>
      <c r="U858" s="1">
        <v>2</v>
      </c>
      <c r="V858" s="1">
        <v>2</v>
      </c>
      <c r="W858" s="1">
        <v>1</v>
      </c>
      <c r="X858" s="1">
        <v>2</v>
      </c>
    </row>
    <row r="859" spans="1:24">
      <c r="A859" s="1">
        <v>858</v>
      </c>
      <c r="B859" s="1" t="s">
        <v>24</v>
      </c>
      <c r="C859" s="1" t="s">
        <v>25</v>
      </c>
      <c r="D859" s="1" t="s">
        <v>26</v>
      </c>
      <c r="E859" s="1" t="s">
        <v>36</v>
      </c>
      <c r="F859" s="1" t="s">
        <v>28</v>
      </c>
      <c r="G859" s="1">
        <v>1</v>
      </c>
      <c r="H859" s="1" t="s">
        <v>37</v>
      </c>
      <c r="I859" s="1" t="s">
        <v>38</v>
      </c>
      <c r="J859" s="1" t="s">
        <v>31</v>
      </c>
      <c r="K859" s="1" t="s">
        <v>24</v>
      </c>
      <c r="L859" s="1">
        <v>44</v>
      </c>
      <c r="M859" s="1">
        <v>10</v>
      </c>
      <c r="N859" s="1" t="s">
        <v>44</v>
      </c>
      <c r="O859" s="1">
        <v>3</v>
      </c>
      <c r="P859" s="1">
        <v>1</v>
      </c>
      <c r="Q859" s="1">
        <v>3</v>
      </c>
      <c r="R859" s="1">
        <v>2936</v>
      </c>
      <c r="S859" s="1">
        <v>6</v>
      </c>
      <c r="T859" s="1">
        <v>3</v>
      </c>
      <c r="U859" s="1">
        <v>6</v>
      </c>
      <c r="V859" s="1">
        <v>4</v>
      </c>
      <c r="W859" s="1">
        <v>0</v>
      </c>
      <c r="X859" s="1">
        <v>2</v>
      </c>
    </row>
    <row r="860" spans="1:24">
      <c r="A860" s="1">
        <v>859</v>
      </c>
      <c r="B860" s="1" t="s">
        <v>33</v>
      </c>
      <c r="C860" s="1" t="s">
        <v>25</v>
      </c>
      <c r="D860" s="1" t="s">
        <v>35</v>
      </c>
      <c r="E860" s="1" t="s">
        <v>36</v>
      </c>
      <c r="F860" s="1" t="s">
        <v>45</v>
      </c>
      <c r="G860" s="1">
        <v>1</v>
      </c>
      <c r="H860" s="1" t="s">
        <v>29</v>
      </c>
      <c r="I860" s="1" t="s">
        <v>53</v>
      </c>
      <c r="J860" s="1" t="s">
        <v>48</v>
      </c>
      <c r="K860" s="1" t="s">
        <v>33</v>
      </c>
      <c r="L860" s="1">
        <v>53</v>
      </c>
      <c r="M860" s="1">
        <v>7</v>
      </c>
      <c r="N860" s="1" t="s">
        <v>32</v>
      </c>
      <c r="O860" s="1">
        <v>4</v>
      </c>
      <c r="P860" s="1">
        <v>5</v>
      </c>
      <c r="Q860" s="1">
        <v>3</v>
      </c>
      <c r="R860" s="1">
        <v>18606</v>
      </c>
      <c r="S860" s="1">
        <v>26</v>
      </c>
      <c r="T860" s="1">
        <v>3</v>
      </c>
      <c r="U860" s="1">
        <v>7</v>
      </c>
      <c r="V860" s="1">
        <v>7</v>
      </c>
      <c r="W860" s="1">
        <v>4</v>
      </c>
      <c r="X860" s="1">
        <v>7</v>
      </c>
    </row>
    <row r="861" spans="1:24">
      <c r="A861" s="1">
        <v>860</v>
      </c>
      <c r="B861" s="1" t="s">
        <v>33</v>
      </c>
      <c r="C861" s="1" t="s">
        <v>25</v>
      </c>
      <c r="D861" s="1" t="s">
        <v>43</v>
      </c>
      <c r="E861" s="1" t="s">
        <v>36</v>
      </c>
      <c r="F861" s="1" t="s">
        <v>28</v>
      </c>
      <c r="G861" s="1">
        <v>1</v>
      </c>
      <c r="H861" s="1" t="s">
        <v>29</v>
      </c>
      <c r="I861" s="1" t="s">
        <v>38</v>
      </c>
      <c r="J861" s="1" t="s">
        <v>39</v>
      </c>
      <c r="K861" s="1" t="s">
        <v>24</v>
      </c>
      <c r="L861" s="1">
        <v>29</v>
      </c>
      <c r="M861" s="1">
        <v>15</v>
      </c>
      <c r="N861" s="1" t="s">
        <v>40</v>
      </c>
      <c r="O861" s="1">
        <v>2</v>
      </c>
      <c r="P861" s="1">
        <v>1</v>
      </c>
      <c r="Q861" s="1">
        <v>4</v>
      </c>
      <c r="R861" s="1">
        <v>2168</v>
      </c>
      <c r="S861" s="1">
        <v>6</v>
      </c>
      <c r="T861" s="1">
        <v>2</v>
      </c>
      <c r="U861" s="1">
        <v>5</v>
      </c>
      <c r="V861" s="1">
        <v>4</v>
      </c>
      <c r="W861" s="1">
        <v>1</v>
      </c>
      <c r="X861" s="1">
        <v>3</v>
      </c>
    </row>
    <row r="862" spans="1:24">
      <c r="A862" s="1">
        <v>861</v>
      </c>
      <c r="B862" s="1" t="s">
        <v>24</v>
      </c>
      <c r="C862" s="1" t="s">
        <v>34</v>
      </c>
      <c r="D862" s="1" t="s">
        <v>52</v>
      </c>
      <c r="E862" s="1" t="s">
        <v>36</v>
      </c>
      <c r="F862" s="1" t="s">
        <v>28</v>
      </c>
      <c r="G862" s="1">
        <v>1</v>
      </c>
      <c r="H862" s="1" t="s">
        <v>37</v>
      </c>
      <c r="I862" s="1" t="s">
        <v>38</v>
      </c>
      <c r="J862" s="1" t="s">
        <v>39</v>
      </c>
      <c r="K862" s="1" t="s">
        <v>24</v>
      </c>
      <c r="L862" s="1">
        <v>22</v>
      </c>
      <c r="M862" s="1">
        <v>3</v>
      </c>
      <c r="N862" s="1" t="s">
        <v>44</v>
      </c>
      <c r="O862" s="1">
        <v>3</v>
      </c>
      <c r="P862" s="1">
        <v>1</v>
      </c>
      <c r="Q862" s="1">
        <v>4</v>
      </c>
      <c r="R862" s="1">
        <v>2853</v>
      </c>
      <c r="S862" s="1">
        <v>1</v>
      </c>
      <c r="T862" s="1">
        <v>3</v>
      </c>
      <c r="U862" s="1">
        <v>0</v>
      </c>
      <c r="V862" s="1">
        <v>0</v>
      </c>
      <c r="W862" s="1">
        <v>0</v>
      </c>
      <c r="X862" s="1">
        <v>0</v>
      </c>
    </row>
    <row r="863" spans="1:24">
      <c r="A863" s="1">
        <v>862</v>
      </c>
      <c r="B863" s="1" t="s">
        <v>33</v>
      </c>
      <c r="C863" s="1" t="s">
        <v>25</v>
      </c>
      <c r="D863" s="1" t="s">
        <v>35</v>
      </c>
      <c r="E863" s="1" t="s">
        <v>27</v>
      </c>
      <c r="F863" s="1" t="s">
        <v>56</v>
      </c>
      <c r="G863" s="1">
        <v>1</v>
      </c>
      <c r="H863" s="1" t="s">
        <v>29</v>
      </c>
      <c r="I863" s="1" t="s">
        <v>53</v>
      </c>
      <c r="J863" s="1" t="s">
        <v>39</v>
      </c>
      <c r="K863" s="1" t="s">
        <v>33</v>
      </c>
      <c r="L863" s="1">
        <v>46</v>
      </c>
      <c r="M863" s="1">
        <v>2</v>
      </c>
      <c r="N863" s="1" t="s">
        <v>47</v>
      </c>
      <c r="O863" s="1">
        <v>3</v>
      </c>
      <c r="P863" s="1">
        <v>4</v>
      </c>
      <c r="Q863" s="1">
        <v>1</v>
      </c>
      <c r="R863" s="1">
        <v>17048</v>
      </c>
      <c r="S863" s="1">
        <v>28</v>
      </c>
      <c r="T863" s="1">
        <v>3</v>
      </c>
      <c r="U863" s="1">
        <v>26</v>
      </c>
      <c r="V863" s="1">
        <v>15</v>
      </c>
      <c r="W863" s="1">
        <v>15</v>
      </c>
      <c r="X863" s="1">
        <v>9</v>
      </c>
    </row>
    <row r="864" spans="1:24">
      <c r="A864" s="1">
        <v>863</v>
      </c>
      <c r="B864" s="1" t="s">
        <v>33</v>
      </c>
      <c r="C864" s="1" t="s">
        <v>51</v>
      </c>
      <c r="D864" s="1" t="s">
        <v>26</v>
      </c>
      <c r="E864" s="1" t="s">
        <v>36</v>
      </c>
      <c r="F864" s="1" t="s">
        <v>28</v>
      </c>
      <c r="G864" s="1">
        <v>1</v>
      </c>
      <c r="H864" s="1" t="s">
        <v>37</v>
      </c>
      <c r="I864" s="1" t="s">
        <v>38</v>
      </c>
      <c r="J864" s="1" t="s">
        <v>31</v>
      </c>
      <c r="K864" s="1" t="s">
        <v>33</v>
      </c>
      <c r="L864" s="1">
        <v>44</v>
      </c>
      <c r="M864" s="1">
        <v>17</v>
      </c>
      <c r="N864" s="1" t="s">
        <v>47</v>
      </c>
      <c r="O864" s="1">
        <v>4</v>
      </c>
      <c r="P864" s="1">
        <v>1</v>
      </c>
      <c r="Q864" s="1">
        <v>3</v>
      </c>
      <c r="R864" s="1">
        <v>2290</v>
      </c>
      <c r="S864" s="1">
        <v>6</v>
      </c>
      <c r="T864" s="1">
        <v>3</v>
      </c>
      <c r="U864" s="1">
        <v>0</v>
      </c>
      <c r="V864" s="1">
        <v>0</v>
      </c>
      <c r="W864" s="1">
        <v>0</v>
      </c>
      <c r="X864" s="1">
        <v>0</v>
      </c>
    </row>
    <row r="865" spans="1:24">
      <c r="A865" s="1">
        <v>864</v>
      </c>
      <c r="B865" s="1" t="s">
        <v>33</v>
      </c>
      <c r="C865" s="1" t="s">
        <v>25</v>
      </c>
      <c r="D865" s="1" t="s">
        <v>43</v>
      </c>
      <c r="E865" s="1" t="s">
        <v>59</v>
      </c>
      <c r="F865" s="1" t="s">
        <v>60</v>
      </c>
      <c r="G865" s="1">
        <v>1</v>
      </c>
      <c r="H865" s="1" t="s">
        <v>37</v>
      </c>
      <c r="I865" s="1" t="s">
        <v>60</v>
      </c>
      <c r="J865" s="1" t="s">
        <v>39</v>
      </c>
      <c r="K865" s="1" t="s">
        <v>33</v>
      </c>
      <c r="L865" s="1">
        <v>33</v>
      </c>
      <c r="M865" s="1">
        <v>2</v>
      </c>
      <c r="N865" s="1" t="s">
        <v>47</v>
      </c>
      <c r="O865" s="1">
        <v>2</v>
      </c>
      <c r="P865" s="1">
        <v>1</v>
      </c>
      <c r="Q865" s="1">
        <v>3</v>
      </c>
      <c r="R865" s="1">
        <v>3600</v>
      </c>
      <c r="S865" s="1">
        <v>5</v>
      </c>
      <c r="T865" s="1">
        <v>3</v>
      </c>
      <c r="U865" s="1">
        <v>5</v>
      </c>
      <c r="V865" s="1">
        <v>4</v>
      </c>
      <c r="W865" s="1">
        <v>1</v>
      </c>
      <c r="X865" s="1">
        <v>4</v>
      </c>
    </row>
    <row r="866" spans="1:24">
      <c r="A866" s="1">
        <v>865</v>
      </c>
      <c r="B866" s="1" t="s">
        <v>24</v>
      </c>
      <c r="C866" s="1" t="s">
        <v>51</v>
      </c>
      <c r="D866" s="1" t="s">
        <v>26</v>
      </c>
      <c r="E866" s="1" t="s">
        <v>36</v>
      </c>
      <c r="F866" s="1" t="s">
        <v>28</v>
      </c>
      <c r="G866" s="1">
        <v>1</v>
      </c>
      <c r="H866" s="1" t="s">
        <v>37</v>
      </c>
      <c r="I866" s="1" t="s">
        <v>38</v>
      </c>
      <c r="J866" s="1" t="s">
        <v>48</v>
      </c>
      <c r="K866" s="1" t="s">
        <v>33</v>
      </c>
      <c r="L866" s="1">
        <v>41</v>
      </c>
      <c r="M866" s="1">
        <v>5</v>
      </c>
      <c r="N866" s="1" t="s">
        <v>32</v>
      </c>
      <c r="O866" s="1">
        <v>1</v>
      </c>
      <c r="P866" s="1">
        <v>1</v>
      </c>
      <c r="Q866" s="1">
        <v>1</v>
      </c>
      <c r="R866" s="1">
        <v>2107</v>
      </c>
      <c r="S866" s="1">
        <v>5</v>
      </c>
      <c r="T866" s="1">
        <v>1</v>
      </c>
      <c r="U866" s="1">
        <v>1</v>
      </c>
      <c r="V866" s="1">
        <v>0</v>
      </c>
      <c r="W866" s="1">
        <v>0</v>
      </c>
      <c r="X866" s="1">
        <v>0</v>
      </c>
    </row>
    <row r="867" spans="1:24">
      <c r="A867" s="1">
        <v>866</v>
      </c>
      <c r="B867" s="1" t="s">
        <v>33</v>
      </c>
      <c r="C867" s="1" t="s">
        <v>25</v>
      </c>
      <c r="D867" s="1" t="s">
        <v>43</v>
      </c>
      <c r="E867" s="1" t="s">
        <v>27</v>
      </c>
      <c r="F867" s="1" t="s">
        <v>28</v>
      </c>
      <c r="G867" s="1">
        <v>1</v>
      </c>
      <c r="H867" s="1" t="s">
        <v>37</v>
      </c>
      <c r="I867" s="1" t="s">
        <v>30</v>
      </c>
      <c r="J867" s="1" t="s">
        <v>48</v>
      </c>
      <c r="K867" s="1" t="s">
        <v>33</v>
      </c>
      <c r="L867" s="1">
        <v>30</v>
      </c>
      <c r="M867" s="1">
        <v>29</v>
      </c>
      <c r="N867" s="1" t="s">
        <v>44</v>
      </c>
      <c r="O867" s="1">
        <v>3</v>
      </c>
      <c r="P867" s="1">
        <v>2</v>
      </c>
      <c r="Q867" s="1">
        <v>1</v>
      </c>
      <c r="R867" s="1">
        <v>4115</v>
      </c>
      <c r="S867" s="1">
        <v>8</v>
      </c>
      <c r="T867" s="1">
        <v>3</v>
      </c>
      <c r="U867" s="1">
        <v>4</v>
      </c>
      <c r="V867" s="1">
        <v>3</v>
      </c>
      <c r="W867" s="1">
        <v>0</v>
      </c>
      <c r="X867" s="1">
        <v>3</v>
      </c>
    </row>
    <row r="868" spans="1:24">
      <c r="A868" s="1">
        <v>867</v>
      </c>
      <c r="B868" s="1" t="s">
        <v>33</v>
      </c>
      <c r="C868" s="1" t="s">
        <v>34</v>
      </c>
      <c r="D868" s="1" t="s">
        <v>26</v>
      </c>
      <c r="E868" s="1" t="s">
        <v>27</v>
      </c>
      <c r="F868" s="1" t="s">
        <v>45</v>
      </c>
      <c r="G868" s="1">
        <v>1</v>
      </c>
      <c r="H868" s="1" t="s">
        <v>37</v>
      </c>
      <c r="I868" s="1" t="s">
        <v>30</v>
      </c>
      <c r="J868" s="1" t="s">
        <v>39</v>
      </c>
      <c r="K868" s="1" t="s">
        <v>33</v>
      </c>
      <c r="L868" s="1">
        <v>40</v>
      </c>
      <c r="M868" s="1">
        <v>2</v>
      </c>
      <c r="N868" s="1" t="s">
        <v>44</v>
      </c>
      <c r="O868" s="1">
        <v>2</v>
      </c>
      <c r="P868" s="1">
        <v>2</v>
      </c>
      <c r="Q868" s="1">
        <v>2</v>
      </c>
      <c r="R868" s="1">
        <v>4327</v>
      </c>
      <c r="S868" s="1">
        <v>5</v>
      </c>
      <c r="T868" s="1">
        <v>3</v>
      </c>
      <c r="U868" s="1">
        <v>0</v>
      </c>
      <c r="V868" s="1">
        <v>0</v>
      </c>
      <c r="W868" s="1">
        <v>0</v>
      </c>
      <c r="X868" s="1">
        <v>0</v>
      </c>
    </row>
    <row r="869" spans="1:24">
      <c r="A869" s="1">
        <v>868</v>
      </c>
      <c r="B869" s="1" t="s">
        <v>33</v>
      </c>
      <c r="C869" s="1" t="s">
        <v>34</v>
      </c>
      <c r="D869" s="1" t="s">
        <v>35</v>
      </c>
      <c r="E869" s="1" t="s">
        <v>36</v>
      </c>
      <c r="F869" s="1" t="s">
        <v>45</v>
      </c>
      <c r="G869" s="1">
        <v>1</v>
      </c>
      <c r="H869" s="1" t="s">
        <v>29</v>
      </c>
      <c r="I869" s="1" t="s">
        <v>53</v>
      </c>
      <c r="J869" s="1" t="s">
        <v>39</v>
      </c>
      <c r="K869" s="1" t="s">
        <v>33</v>
      </c>
      <c r="L869" s="1">
        <v>50</v>
      </c>
      <c r="M869" s="1">
        <v>2</v>
      </c>
      <c r="N869" s="1" t="s">
        <v>47</v>
      </c>
      <c r="O869" s="1">
        <v>4</v>
      </c>
      <c r="P869" s="1">
        <v>4</v>
      </c>
      <c r="Q869" s="1">
        <v>1</v>
      </c>
      <c r="R869" s="1">
        <v>17856</v>
      </c>
      <c r="S869" s="1">
        <v>32</v>
      </c>
      <c r="T869" s="1">
        <v>3</v>
      </c>
      <c r="U869" s="1">
        <v>2</v>
      </c>
      <c r="V869" s="1">
        <v>2</v>
      </c>
      <c r="W869" s="1">
        <v>2</v>
      </c>
      <c r="X869" s="1">
        <v>2</v>
      </c>
    </row>
    <row r="870" spans="1:24">
      <c r="A870" s="1">
        <v>869</v>
      </c>
      <c r="B870" s="1" t="s">
        <v>33</v>
      </c>
      <c r="C870" s="1" t="s">
        <v>25</v>
      </c>
      <c r="D870" s="1" t="s">
        <v>43</v>
      </c>
      <c r="E870" s="1" t="s">
        <v>36</v>
      </c>
      <c r="F870" s="1" t="s">
        <v>45</v>
      </c>
      <c r="G870" s="1">
        <v>1</v>
      </c>
      <c r="H870" s="1" t="s">
        <v>37</v>
      </c>
      <c r="I870" s="1" t="s">
        <v>42</v>
      </c>
      <c r="J870" s="1" t="s">
        <v>39</v>
      </c>
      <c r="K870" s="1" t="s">
        <v>33</v>
      </c>
      <c r="L870" s="1">
        <v>28</v>
      </c>
      <c r="M870" s="1">
        <v>19</v>
      </c>
      <c r="N870" s="1" t="s">
        <v>44</v>
      </c>
      <c r="O870" s="1">
        <v>4</v>
      </c>
      <c r="P870" s="1">
        <v>1</v>
      </c>
      <c r="Q870" s="1">
        <v>1</v>
      </c>
      <c r="R870" s="1">
        <v>3196</v>
      </c>
      <c r="S870" s="1">
        <v>6</v>
      </c>
      <c r="T870" s="1">
        <v>3</v>
      </c>
      <c r="U870" s="1">
        <v>6</v>
      </c>
      <c r="V870" s="1">
        <v>5</v>
      </c>
      <c r="W870" s="1">
        <v>3</v>
      </c>
      <c r="X870" s="1">
        <v>3</v>
      </c>
    </row>
    <row r="871" spans="1:24">
      <c r="A871" s="1">
        <v>870</v>
      </c>
      <c r="B871" s="1" t="s">
        <v>33</v>
      </c>
      <c r="C871" s="1" t="s">
        <v>25</v>
      </c>
      <c r="D871" s="1" t="s">
        <v>35</v>
      </c>
      <c r="E871" s="1" t="s">
        <v>36</v>
      </c>
      <c r="F871" s="1" t="s">
        <v>28</v>
      </c>
      <c r="G871" s="1">
        <v>1</v>
      </c>
      <c r="H871" s="1" t="s">
        <v>37</v>
      </c>
      <c r="I871" s="1" t="s">
        <v>55</v>
      </c>
      <c r="J871" s="1" t="s">
        <v>39</v>
      </c>
      <c r="K871" s="1" t="s">
        <v>33</v>
      </c>
      <c r="L871" s="1">
        <v>46</v>
      </c>
      <c r="M871" s="1">
        <v>15</v>
      </c>
      <c r="N871" s="1" t="s">
        <v>32</v>
      </c>
      <c r="O871" s="1">
        <v>4</v>
      </c>
      <c r="P871" s="1">
        <v>5</v>
      </c>
      <c r="Q871" s="1">
        <v>2</v>
      </c>
      <c r="R871" s="1">
        <v>19081</v>
      </c>
      <c r="S871" s="1">
        <v>25</v>
      </c>
      <c r="T871" s="1">
        <v>3</v>
      </c>
      <c r="U871" s="1">
        <v>4</v>
      </c>
      <c r="V871" s="1">
        <v>2</v>
      </c>
      <c r="W871" s="1">
        <v>0</v>
      </c>
      <c r="X871" s="1">
        <v>3</v>
      </c>
    </row>
    <row r="872" spans="1:24">
      <c r="A872" s="1">
        <v>871</v>
      </c>
      <c r="B872" s="1" t="s">
        <v>33</v>
      </c>
      <c r="C872" s="1" t="s">
        <v>25</v>
      </c>
      <c r="D872" s="1" t="s">
        <v>26</v>
      </c>
      <c r="E872" s="1" t="s">
        <v>27</v>
      </c>
      <c r="F872" s="1" t="s">
        <v>28</v>
      </c>
      <c r="G872" s="1">
        <v>1</v>
      </c>
      <c r="H872" s="1" t="s">
        <v>37</v>
      </c>
      <c r="I872" s="1" t="s">
        <v>30</v>
      </c>
      <c r="J872" s="1" t="s">
        <v>39</v>
      </c>
      <c r="K872" s="1" t="s">
        <v>24</v>
      </c>
      <c r="L872" s="1">
        <v>35</v>
      </c>
      <c r="M872" s="1">
        <v>17</v>
      </c>
      <c r="N872" s="1" t="s">
        <v>44</v>
      </c>
      <c r="O872" s="1">
        <v>3</v>
      </c>
      <c r="P872" s="1">
        <v>2</v>
      </c>
      <c r="Q872" s="1">
        <v>1</v>
      </c>
      <c r="R872" s="1">
        <v>8966</v>
      </c>
      <c r="S872" s="1">
        <v>15</v>
      </c>
      <c r="T872" s="1">
        <v>3</v>
      </c>
      <c r="U872" s="1">
        <v>7</v>
      </c>
      <c r="V872" s="1">
        <v>7</v>
      </c>
      <c r="W872" s="1">
        <v>1</v>
      </c>
      <c r="X872" s="1">
        <v>7</v>
      </c>
    </row>
    <row r="873" spans="1:24">
      <c r="A873" s="1">
        <v>872</v>
      </c>
      <c r="B873" s="1" t="s">
        <v>24</v>
      </c>
      <c r="C873" s="1" t="s">
        <v>25</v>
      </c>
      <c r="D873" s="1" t="s">
        <v>52</v>
      </c>
      <c r="E873" s="1" t="s">
        <v>36</v>
      </c>
      <c r="F873" s="1" t="s">
        <v>28</v>
      </c>
      <c r="G873" s="1">
        <v>1</v>
      </c>
      <c r="H873" s="1" t="s">
        <v>29</v>
      </c>
      <c r="I873" s="1" t="s">
        <v>42</v>
      </c>
      <c r="J873" s="1" t="s">
        <v>39</v>
      </c>
      <c r="K873" s="1" t="s">
        <v>33</v>
      </c>
      <c r="L873" s="1">
        <v>24</v>
      </c>
      <c r="M873" s="1">
        <v>17</v>
      </c>
      <c r="N873" s="1" t="s">
        <v>32</v>
      </c>
      <c r="O873" s="1">
        <v>4</v>
      </c>
      <c r="P873" s="1">
        <v>1</v>
      </c>
      <c r="Q873" s="1">
        <v>2</v>
      </c>
      <c r="R873" s="1">
        <v>2210</v>
      </c>
      <c r="S873" s="1">
        <v>1</v>
      </c>
      <c r="T873" s="1">
        <v>1</v>
      </c>
      <c r="U873" s="1">
        <v>1</v>
      </c>
      <c r="V873" s="1">
        <v>0</v>
      </c>
      <c r="W873" s="1">
        <v>0</v>
      </c>
      <c r="X873" s="1">
        <v>0</v>
      </c>
    </row>
    <row r="874" spans="1:24">
      <c r="A874" s="1">
        <v>873</v>
      </c>
      <c r="B874" s="1" t="s">
        <v>33</v>
      </c>
      <c r="C874" s="1" t="s">
        <v>34</v>
      </c>
      <c r="D874" s="1" t="s">
        <v>43</v>
      </c>
      <c r="E874" s="1" t="s">
        <v>27</v>
      </c>
      <c r="F874" s="1" t="s">
        <v>45</v>
      </c>
      <c r="G874" s="1">
        <v>1</v>
      </c>
      <c r="H874" s="1" t="s">
        <v>29</v>
      </c>
      <c r="I874" s="1" t="s">
        <v>30</v>
      </c>
      <c r="J874" s="1" t="s">
        <v>39</v>
      </c>
      <c r="K874" s="1" t="s">
        <v>33</v>
      </c>
      <c r="L874" s="1">
        <v>33</v>
      </c>
      <c r="M874" s="1">
        <v>25</v>
      </c>
      <c r="N874" s="1" t="s">
        <v>47</v>
      </c>
      <c r="O874" s="1">
        <v>2</v>
      </c>
      <c r="P874" s="1">
        <v>2</v>
      </c>
      <c r="Q874" s="1">
        <v>3</v>
      </c>
      <c r="R874" s="1">
        <v>4539</v>
      </c>
      <c r="S874" s="1">
        <v>10</v>
      </c>
      <c r="T874" s="1">
        <v>2</v>
      </c>
      <c r="U874" s="1">
        <v>10</v>
      </c>
      <c r="V874" s="1">
        <v>7</v>
      </c>
      <c r="W874" s="1">
        <v>0</v>
      </c>
      <c r="X874" s="1">
        <v>1</v>
      </c>
    </row>
    <row r="875" spans="1:24">
      <c r="A875" s="1">
        <v>874</v>
      </c>
      <c r="B875" s="1" t="s">
        <v>33</v>
      </c>
      <c r="C875" s="1" t="s">
        <v>25</v>
      </c>
      <c r="D875" s="1" t="s">
        <v>26</v>
      </c>
      <c r="E875" s="1" t="s">
        <v>36</v>
      </c>
      <c r="F875" s="1" t="s">
        <v>28</v>
      </c>
      <c r="G875" s="1">
        <v>1</v>
      </c>
      <c r="H875" s="1" t="s">
        <v>37</v>
      </c>
      <c r="I875" s="1" t="s">
        <v>42</v>
      </c>
      <c r="J875" s="1" t="s">
        <v>48</v>
      </c>
      <c r="K875" s="1" t="s">
        <v>33</v>
      </c>
      <c r="L875" s="1">
        <v>36</v>
      </c>
      <c r="M875" s="1">
        <v>6</v>
      </c>
      <c r="N875" s="1" t="s">
        <v>44</v>
      </c>
      <c r="O875" s="1">
        <v>3</v>
      </c>
      <c r="P875" s="1">
        <v>1</v>
      </c>
      <c r="Q875" s="1">
        <v>3</v>
      </c>
      <c r="R875" s="1">
        <v>2741</v>
      </c>
      <c r="S875" s="1">
        <v>7</v>
      </c>
      <c r="T875" s="1">
        <v>3</v>
      </c>
      <c r="U875" s="1">
        <v>7</v>
      </c>
      <c r="V875" s="1">
        <v>7</v>
      </c>
      <c r="W875" s="1">
        <v>1</v>
      </c>
      <c r="X875" s="1">
        <v>7</v>
      </c>
    </row>
    <row r="876" spans="1:24">
      <c r="A876" s="1">
        <v>875</v>
      </c>
      <c r="B876" s="1" t="s">
        <v>33</v>
      </c>
      <c r="C876" s="1" t="s">
        <v>25</v>
      </c>
      <c r="D876" s="1" t="s">
        <v>43</v>
      </c>
      <c r="E876" s="1" t="s">
        <v>36</v>
      </c>
      <c r="F876" s="1" t="s">
        <v>28</v>
      </c>
      <c r="G876" s="1">
        <v>1</v>
      </c>
      <c r="H876" s="1" t="s">
        <v>37</v>
      </c>
      <c r="I876" s="1" t="s">
        <v>42</v>
      </c>
      <c r="J876" s="1" t="s">
        <v>48</v>
      </c>
      <c r="K876" s="1" t="s">
        <v>33</v>
      </c>
      <c r="L876" s="1">
        <v>30</v>
      </c>
      <c r="M876" s="1">
        <v>7</v>
      </c>
      <c r="N876" s="1" t="s">
        <v>44</v>
      </c>
      <c r="O876" s="1">
        <v>3</v>
      </c>
      <c r="P876" s="1">
        <v>2</v>
      </c>
      <c r="Q876" s="1">
        <v>3</v>
      </c>
      <c r="R876" s="1">
        <v>3491</v>
      </c>
      <c r="S876" s="1">
        <v>10</v>
      </c>
      <c r="T876" s="1">
        <v>2</v>
      </c>
      <c r="U876" s="1">
        <v>10</v>
      </c>
      <c r="V876" s="1">
        <v>7</v>
      </c>
      <c r="W876" s="1">
        <v>8</v>
      </c>
      <c r="X876" s="1">
        <v>9</v>
      </c>
    </row>
    <row r="877" spans="1:24">
      <c r="A877" s="1">
        <v>876</v>
      </c>
      <c r="B877" s="1" t="s">
        <v>33</v>
      </c>
      <c r="C877" s="1" t="s">
        <v>25</v>
      </c>
      <c r="D877" s="1" t="s">
        <v>26</v>
      </c>
      <c r="E877" s="1" t="s">
        <v>36</v>
      </c>
      <c r="F877" s="1" t="s">
        <v>41</v>
      </c>
      <c r="G877" s="1">
        <v>1</v>
      </c>
      <c r="H877" s="1" t="s">
        <v>37</v>
      </c>
      <c r="I877" s="1" t="s">
        <v>38</v>
      </c>
      <c r="J877" s="1" t="s">
        <v>31</v>
      </c>
      <c r="K877" s="1" t="s">
        <v>33</v>
      </c>
      <c r="L877" s="1">
        <v>44</v>
      </c>
      <c r="M877" s="1">
        <v>29</v>
      </c>
      <c r="N877" s="1" t="s">
        <v>44</v>
      </c>
      <c r="O877" s="1">
        <v>4</v>
      </c>
      <c r="P877" s="1">
        <v>2</v>
      </c>
      <c r="Q877" s="1">
        <v>4</v>
      </c>
      <c r="R877" s="1">
        <v>4541</v>
      </c>
      <c r="S877" s="1">
        <v>20</v>
      </c>
      <c r="T877" s="1">
        <v>3</v>
      </c>
      <c r="U877" s="1">
        <v>20</v>
      </c>
      <c r="V877" s="1">
        <v>11</v>
      </c>
      <c r="W877" s="1">
        <v>13</v>
      </c>
      <c r="X877" s="1">
        <v>17</v>
      </c>
    </row>
    <row r="878" spans="1:24">
      <c r="A878" s="1">
        <v>877</v>
      </c>
      <c r="B878" s="1" t="s">
        <v>33</v>
      </c>
      <c r="C878" s="1" t="s">
        <v>25</v>
      </c>
      <c r="D878" s="1" t="s">
        <v>52</v>
      </c>
      <c r="E878" s="1" t="s">
        <v>27</v>
      </c>
      <c r="F878" s="1" t="s">
        <v>56</v>
      </c>
      <c r="G878" s="1">
        <v>1</v>
      </c>
      <c r="H878" s="1" t="s">
        <v>37</v>
      </c>
      <c r="I878" s="1" t="s">
        <v>54</v>
      </c>
      <c r="J878" s="1" t="s">
        <v>31</v>
      </c>
      <c r="K878" s="1" t="s">
        <v>33</v>
      </c>
      <c r="L878" s="1">
        <v>20</v>
      </c>
      <c r="M878" s="1">
        <v>21</v>
      </c>
      <c r="N878" s="1" t="s">
        <v>47</v>
      </c>
      <c r="O878" s="1">
        <v>3</v>
      </c>
      <c r="P878" s="1">
        <v>1</v>
      </c>
      <c r="Q878" s="1">
        <v>4</v>
      </c>
      <c r="R878" s="1">
        <v>2678</v>
      </c>
      <c r="S878" s="1">
        <v>2</v>
      </c>
      <c r="T878" s="1">
        <v>3</v>
      </c>
      <c r="U878" s="1">
        <v>2</v>
      </c>
      <c r="V878" s="1">
        <v>1</v>
      </c>
      <c r="W878" s="1">
        <v>2</v>
      </c>
      <c r="X878" s="1">
        <v>2</v>
      </c>
    </row>
    <row r="879" spans="1:24">
      <c r="A879" s="1">
        <v>878</v>
      </c>
      <c r="B879" s="1" t="s">
        <v>33</v>
      </c>
      <c r="C879" s="1" t="s">
        <v>25</v>
      </c>
      <c r="D879" s="1" t="s">
        <v>35</v>
      </c>
      <c r="E879" s="1" t="s">
        <v>36</v>
      </c>
      <c r="F879" s="1" t="s">
        <v>57</v>
      </c>
      <c r="G879" s="1">
        <v>1</v>
      </c>
      <c r="H879" s="1" t="s">
        <v>37</v>
      </c>
      <c r="I879" s="1" t="s">
        <v>49</v>
      </c>
      <c r="J879" s="1" t="s">
        <v>48</v>
      </c>
      <c r="K879" s="1" t="s">
        <v>33</v>
      </c>
      <c r="L879" s="1">
        <v>46</v>
      </c>
      <c r="M879" s="1">
        <v>2</v>
      </c>
      <c r="N879" s="1" t="s">
        <v>44</v>
      </c>
      <c r="O879" s="1">
        <v>4</v>
      </c>
      <c r="P879" s="1">
        <v>2</v>
      </c>
      <c r="Q879" s="1">
        <v>4</v>
      </c>
      <c r="R879" s="1">
        <v>7379</v>
      </c>
      <c r="S879" s="1">
        <v>12</v>
      </c>
      <c r="T879" s="1">
        <v>2</v>
      </c>
      <c r="U879" s="1">
        <v>6</v>
      </c>
      <c r="V879" s="1">
        <v>3</v>
      </c>
      <c r="W879" s="1">
        <v>1</v>
      </c>
      <c r="X879" s="1">
        <v>4</v>
      </c>
    </row>
    <row r="880" spans="1:24">
      <c r="A880" s="1">
        <v>879</v>
      </c>
      <c r="B880" s="1" t="s">
        <v>33</v>
      </c>
      <c r="C880" s="1" t="s">
        <v>51</v>
      </c>
      <c r="D880" s="1" t="s">
        <v>26</v>
      </c>
      <c r="E880" s="1" t="s">
        <v>59</v>
      </c>
      <c r="F880" s="1" t="s">
        <v>45</v>
      </c>
      <c r="G880" s="1">
        <v>1</v>
      </c>
      <c r="H880" s="1" t="s">
        <v>37</v>
      </c>
      <c r="I880" s="1" t="s">
        <v>60</v>
      </c>
      <c r="J880" s="1" t="s">
        <v>39</v>
      </c>
      <c r="K880" s="1" t="s">
        <v>33</v>
      </c>
      <c r="L880" s="1">
        <v>42</v>
      </c>
      <c r="M880" s="1">
        <v>2</v>
      </c>
      <c r="N880" s="1" t="s">
        <v>58</v>
      </c>
      <c r="O880" s="1">
        <v>4</v>
      </c>
      <c r="P880" s="1">
        <v>2</v>
      </c>
      <c r="Q880" s="1">
        <v>1</v>
      </c>
      <c r="R880" s="1">
        <v>6272</v>
      </c>
      <c r="S880" s="1">
        <v>10</v>
      </c>
      <c r="T880" s="1">
        <v>4</v>
      </c>
      <c r="U880" s="1">
        <v>4</v>
      </c>
      <c r="V880" s="1">
        <v>3</v>
      </c>
      <c r="W880" s="1">
        <v>0</v>
      </c>
      <c r="X880" s="1">
        <v>3</v>
      </c>
    </row>
    <row r="881" spans="1:24">
      <c r="A881" s="1">
        <v>880</v>
      </c>
      <c r="B881" s="1" t="s">
        <v>33</v>
      </c>
      <c r="C881" s="1" t="s">
        <v>25</v>
      </c>
      <c r="D881" s="1" t="s">
        <v>46</v>
      </c>
      <c r="E881" s="1" t="s">
        <v>27</v>
      </c>
      <c r="F881" s="1" t="s">
        <v>56</v>
      </c>
      <c r="G881" s="1">
        <v>1</v>
      </c>
      <c r="H881" s="1" t="s">
        <v>37</v>
      </c>
      <c r="I881" s="1" t="s">
        <v>30</v>
      </c>
      <c r="J881" s="1" t="s">
        <v>48</v>
      </c>
      <c r="K881" s="1" t="s">
        <v>24</v>
      </c>
      <c r="L881" s="1">
        <v>60</v>
      </c>
      <c r="M881" s="1">
        <v>7</v>
      </c>
      <c r="N881" s="1" t="s">
        <v>44</v>
      </c>
      <c r="O881" s="1">
        <v>2</v>
      </c>
      <c r="P881" s="1">
        <v>2</v>
      </c>
      <c r="Q881" s="1">
        <v>4</v>
      </c>
      <c r="R881" s="1">
        <v>5220</v>
      </c>
      <c r="S881" s="1">
        <v>12</v>
      </c>
      <c r="T881" s="1">
        <v>3</v>
      </c>
      <c r="U881" s="1">
        <v>11</v>
      </c>
      <c r="V881" s="1">
        <v>7</v>
      </c>
      <c r="W881" s="1">
        <v>1</v>
      </c>
      <c r="X881" s="1">
        <v>9</v>
      </c>
    </row>
    <row r="882" spans="1:24">
      <c r="A882" s="1">
        <v>881</v>
      </c>
      <c r="B882" s="1" t="s">
        <v>33</v>
      </c>
      <c r="C882" s="1" t="s">
        <v>34</v>
      </c>
      <c r="D882" s="1" t="s">
        <v>43</v>
      </c>
      <c r="E882" s="1" t="s">
        <v>36</v>
      </c>
      <c r="F882" s="1" t="s">
        <v>41</v>
      </c>
      <c r="G882" s="1">
        <v>1</v>
      </c>
      <c r="H882" s="1" t="s">
        <v>29</v>
      </c>
      <c r="I882" s="1" t="s">
        <v>42</v>
      </c>
      <c r="J882" s="1" t="s">
        <v>39</v>
      </c>
      <c r="K882" s="1" t="s">
        <v>33</v>
      </c>
      <c r="L882" s="1">
        <v>32</v>
      </c>
      <c r="M882" s="1">
        <v>13</v>
      </c>
      <c r="N882" s="1" t="s">
        <v>47</v>
      </c>
      <c r="O882" s="1">
        <v>3</v>
      </c>
      <c r="P882" s="1">
        <v>1</v>
      </c>
      <c r="Q882" s="1">
        <v>2</v>
      </c>
      <c r="R882" s="1">
        <v>2743</v>
      </c>
      <c r="S882" s="1">
        <v>2</v>
      </c>
      <c r="T882" s="1">
        <v>3</v>
      </c>
      <c r="U882" s="1">
        <v>2</v>
      </c>
      <c r="V882" s="1">
        <v>2</v>
      </c>
      <c r="W882" s="1">
        <v>2</v>
      </c>
      <c r="X882" s="1">
        <v>2</v>
      </c>
    </row>
    <row r="883" spans="1:24">
      <c r="A883" s="1">
        <v>882</v>
      </c>
      <c r="B883" s="1" t="s">
        <v>33</v>
      </c>
      <c r="C883" s="1" t="s">
        <v>34</v>
      </c>
      <c r="D883" s="1" t="s">
        <v>43</v>
      </c>
      <c r="E883" s="1" t="s">
        <v>36</v>
      </c>
      <c r="F883" s="1" t="s">
        <v>28</v>
      </c>
      <c r="G883" s="1">
        <v>1</v>
      </c>
      <c r="H883" s="1" t="s">
        <v>29</v>
      </c>
      <c r="I883" s="1" t="s">
        <v>38</v>
      </c>
      <c r="J883" s="1" t="s">
        <v>31</v>
      </c>
      <c r="K883" s="1" t="s">
        <v>24</v>
      </c>
      <c r="L883" s="1">
        <v>32</v>
      </c>
      <c r="M883" s="1">
        <v>2</v>
      </c>
      <c r="N883" s="1" t="s">
        <v>32</v>
      </c>
      <c r="O883" s="1">
        <v>4</v>
      </c>
      <c r="P883" s="1">
        <v>2</v>
      </c>
      <c r="Q883" s="1">
        <v>3</v>
      </c>
      <c r="R883" s="1">
        <v>4998</v>
      </c>
      <c r="S883" s="1">
        <v>10</v>
      </c>
      <c r="T883" s="1">
        <v>3</v>
      </c>
      <c r="U883" s="1">
        <v>8</v>
      </c>
      <c r="V883" s="1">
        <v>7</v>
      </c>
      <c r="W883" s="1">
        <v>0</v>
      </c>
      <c r="X883" s="1">
        <v>7</v>
      </c>
    </row>
    <row r="884" spans="1:24">
      <c r="A884" s="1">
        <v>883</v>
      </c>
      <c r="B884" s="1" t="s">
        <v>33</v>
      </c>
      <c r="C884" s="1" t="s">
        <v>25</v>
      </c>
      <c r="D884" s="1" t="s">
        <v>26</v>
      </c>
      <c r="E884" s="1" t="s">
        <v>36</v>
      </c>
      <c r="F884" s="1" t="s">
        <v>57</v>
      </c>
      <c r="G884" s="1">
        <v>1</v>
      </c>
      <c r="H884" s="1" t="s">
        <v>29</v>
      </c>
      <c r="I884" s="1" t="s">
        <v>49</v>
      </c>
      <c r="J884" s="1" t="s">
        <v>48</v>
      </c>
      <c r="K884" s="1" t="s">
        <v>24</v>
      </c>
      <c r="L884" s="1">
        <v>36</v>
      </c>
      <c r="M884" s="1">
        <v>1</v>
      </c>
      <c r="N884" s="1" t="s">
        <v>47</v>
      </c>
      <c r="O884" s="1">
        <v>3</v>
      </c>
      <c r="P884" s="1">
        <v>3</v>
      </c>
      <c r="Q884" s="1">
        <v>1</v>
      </c>
      <c r="R884" s="1">
        <v>10252</v>
      </c>
      <c r="S884" s="1">
        <v>17</v>
      </c>
      <c r="T884" s="1">
        <v>3</v>
      </c>
      <c r="U884" s="1">
        <v>7</v>
      </c>
      <c r="V884" s="1">
        <v>7</v>
      </c>
      <c r="W884" s="1">
        <v>7</v>
      </c>
      <c r="X884" s="1">
        <v>7</v>
      </c>
    </row>
    <row r="885" spans="1:24">
      <c r="A885" s="1">
        <v>884</v>
      </c>
      <c r="B885" s="1" t="s">
        <v>33</v>
      </c>
      <c r="C885" s="1" t="s">
        <v>25</v>
      </c>
      <c r="D885" s="1" t="s">
        <v>43</v>
      </c>
      <c r="E885" s="1" t="s">
        <v>36</v>
      </c>
      <c r="F885" s="1" t="s">
        <v>45</v>
      </c>
      <c r="G885" s="1">
        <v>1</v>
      </c>
      <c r="H885" s="1" t="s">
        <v>37</v>
      </c>
      <c r="I885" s="1" t="s">
        <v>38</v>
      </c>
      <c r="J885" s="1" t="s">
        <v>39</v>
      </c>
      <c r="K885" s="1" t="s">
        <v>33</v>
      </c>
      <c r="L885" s="1">
        <v>33</v>
      </c>
      <c r="M885" s="1">
        <v>9</v>
      </c>
      <c r="N885" s="1" t="s">
        <v>47</v>
      </c>
      <c r="O885" s="1">
        <v>1</v>
      </c>
      <c r="P885" s="1">
        <v>1</v>
      </c>
      <c r="Q885" s="1">
        <v>4</v>
      </c>
      <c r="R885" s="1">
        <v>2781</v>
      </c>
      <c r="S885" s="1">
        <v>15</v>
      </c>
      <c r="T885" s="1">
        <v>3</v>
      </c>
      <c r="U885" s="1">
        <v>14</v>
      </c>
      <c r="V885" s="1">
        <v>10</v>
      </c>
      <c r="W885" s="1">
        <v>4</v>
      </c>
      <c r="X885" s="1">
        <v>10</v>
      </c>
    </row>
    <row r="886" spans="1:24">
      <c r="A886" s="1">
        <v>885</v>
      </c>
      <c r="B886" s="1" t="s">
        <v>33</v>
      </c>
      <c r="C886" s="1" t="s">
        <v>25</v>
      </c>
      <c r="D886" s="1" t="s">
        <v>26</v>
      </c>
      <c r="E886" s="1" t="s">
        <v>27</v>
      </c>
      <c r="F886" s="1" t="s">
        <v>57</v>
      </c>
      <c r="G886" s="1">
        <v>1</v>
      </c>
      <c r="H886" s="1" t="s">
        <v>29</v>
      </c>
      <c r="I886" s="1" t="s">
        <v>30</v>
      </c>
      <c r="J886" s="1" t="s">
        <v>48</v>
      </c>
      <c r="K886" s="1" t="s">
        <v>33</v>
      </c>
      <c r="L886" s="1">
        <v>40</v>
      </c>
      <c r="M886" s="1">
        <v>10</v>
      </c>
      <c r="N886" s="1" t="s">
        <v>47</v>
      </c>
      <c r="O886" s="1">
        <v>2</v>
      </c>
      <c r="P886" s="1">
        <v>2</v>
      </c>
      <c r="Q886" s="1">
        <v>2</v>
      </c>
      <c r="R886" s="1">
        <v>6852</v>
      </c>
      <c r="S886" s="1">
        <v>7</v>
      </c>
      <c r="T886" s="1">
        <v>4</v>
      </c>
      <c r="U886" s="1">
        <v>5</v>
      </c>
      <c r="V886" s="1">
        <v>1</v>
      </c>
      <c r="W886" s="1">
        <v>1</v>
      </c>
      <c r="X886" s="1">
        <v>3</v>
      </c>
    </row>
    <row r="887" spans="1:24">
      <c r="A887" s="1">
        <v>886</v>
      </c>
      <c r="B887" s="1" t="s">
        <v>33</v>
      </c>
      <c r="C887" s="1" t="s">
        <v>25</v>
      </c>
      <c r="D887" s="1" t="s">
        <v>43</v>
      </c>
      <c r="E887" s="1" t="s">
        <v>27</v>
      </c>
      <c r="F887" s="1" t="s">
        <v>28</v>
      </c>
      <c r="G887" s="1">
        <v>1</v>
      </c>
      <c r="H887" s="1" t="s">
        <v>37</v>
      </c>
      <c r="I887" s="1" t="s">
        <v>30</v>
      </c>
      <c r="J887" s="1" t="s">
        <v>31</v>
      </c>
      <c r="K887" s="1" t="s">
        <v>33</v>
      </c>
      <c r="L887" s="1">
        <v>25</v>
      </c>
      <c r="M887" s="1">
        <v>10</v>
      </c>
      <c r="N887" s="1" t="s">
        <v>44</v>
      </c>
      <c r="O887" s="1">
        <v>3</v>
      </c>
      <c r="P887" s="1">
        <v>2</v>
      </c>
      <c r="Q887" s="1">
        <v>4</v>
      </c>
      <c r="R887" s="1">
        <v>4950</v>
      </c>
      <c r="S887" s="1">
        <v>5</v>
      </c>
      <c r="T887" s="1">
        <v>3</v>
      </c>
      <c r="U887" s="1">
        <v>4</v>
      </c>
      <c r="V887" s="1">
        <v>3</v>
      </c>
      <c r="W887" s="1">
        <v>1</v>
      </c>
      <c r="X887" s="1">
        <v>1</v>
      </c>
    </row>
    <row r="888" spans="1:24">
      <c r="A888" s="1">
        <v>887</v>
      </c>
      <c r="B888" s="1" t="s">
        <v>33</v>
      </c>
      <c r="C888" s="1" t="s">
        <v>25</v>
      </c>
      <c r="D888" s="1" t="s">
        <v>43</v>
      </c>
      <c r="E888" s="1" t="s">
        <v>36</v>
      </c>
      <c r="F888" s="1" t="s">
        <v>45</v>
      </c>
      <c r="G888" s="1">
        <v>1</v>
      </c>
      <c r="H888" s="1" t="s">
        <v>37</v>
      </c>
      <c r="I888" s="1" t="s">
        <v>38</v>
      </c>
      <c r="J888" s="1" t="s">
        <v>39</v>
      </c>
      <c r="K888" s="1" t="s">
        <v>24</v>
      </c>
      <c r="L888" s="1">
        <v>30</v>
      </c>
      <c r="M888" s="1">
        <v>1</v>
      </c>
      <c r="N888" s="1" t="s">
        <v>47</v>
      </c>
      <c r="O888" s="1">
        <v>4</v>
      </c>
      <c r="P888" s="1">
        <v>1</v>
      </c>
      <c r="Q888" s="1">
        <v>2</v>
      </c>
      <c r="R888" s="1">
        <v>3579</v>
      </c>
      <c r="S888" s="1">
        <v>12</v>
      </c>
      <c r="T888" s="1">
        <v>3</v>
      </c>
      <c r="U888" s="1">
        <v>11</v>
      </c>
      <c r="V888" s="1">
        <v>9</v>
      </c>
      <c r="W888" s="1">
        <v>5</v>
      </c>
      <c r="X888" s="1">
        <v>7</v>
      </c>
    </row>
    <row r="889" spans="1:24">
      <c r="A889" s="1">
        <v>888</v>
      </c>
      <c r="B889" s="1" t="s">
        <v>33</v>
      </c>
      <c r="C889" s="1" t="s">
        <v>34</v>
      </c>
      <c r="D889" s="1" t="s">
        <v>26</v>
      </c>
      <c r="E889" s="1" t="s">
        <v>36</v>
      </c>
      <c r="F889" s="1" t="s">
        <v>45</v>
      </c>
      <c r="G889" s="1">
        <v>1</v>
      </c>
      <c r="H889" s="1" t="s">
        <v>29</v>
      </c>
      <c r="I889" s="1" t="s">
        <v>55</v>
      </c>
      <c r="J889" s="1" t="s">
        <v>39</v>
      </c>
      <c r="K889" s="1" t="s">
        <v>24</v>
      </c>
      <c r="L889" s="1">
        <v>42</v>
      </c>
      <c r="M889" s="1">
        <v>26</v>
      </c>
      <c r="N889" s="1" t="s">
        <v>58</v>
      </c>
      <c r="O889" s="1">
        <v>1</v>
      </c>
      <c r="P889" s="1">
        <v>3</v>
      </c>
      <c r="Q889" s="1">
        <v>1</v>
      </c>
      <c r="R889" s="1">
        <v>13191</v>
      </c>
      <c r="S889" s="1">
        <v>20</v>
      </c>
      <c r="T889" s="1">
        <v>3</v>
      </c>
      <c r="U889" s="1">
        <v>1</v>
      </c>
      <c r="V889" s="1">
        <v>0</v>
      </c>
      <c r="W889" s="1">
        <v>0</v>
      </c>
      <c r="X889" s="1">
        <v>0</v>
      </c>
    </row>
    <row r="890" spans="1:24">
      <c r="A890" s="1">
        <v>889</v>
      </c>
      <c r="B890" s="1" t="s">
        <v>33</v>
      </c>
      <c r="C890" s="1" t="s">
        <v>51</v>
      </c>
      <c r="D890" s="1" t="s">
        <v>26</v>
      </c>
      <c r="E890" s="1" t="s">
        <v>27</v>
      </c>
      <c r="F890" s="1" t="s">
        <v>56</v>
      </c>
      <c r="G890" s="1">
        <v>1</v>
      </c>
      <c r="H890" s="1" t="s">
        <v>29</v>
      </c>
      <c r="I890" s="1" t="s">
        <v>30</v>
      </c>
      <c r="J890" s="1" t="s">
        <v>39</v>
      </c>
      <c r="K890" s="1" t="s">
        <v>24</v>
      </c>
      <c r="L890" s="1">
        <v>35</v>
      </c>
      <c r="M890" s="1">
        <v>8</v>
      </c>
      <c r="N890" s="1" t="s">
        <v>32</v>
      </c>
      <c r="O890" s="1">
        <v>3</v>
      </c>
      <c r="P890" s="1">
        <v>3</v>
      </c>
      <c r="Q890" s="1">
        <v>4</v>
      </c>
      <c r="R890" s="1">
        <v>10377</v>
      </c>
      <c r="S890" s="1">
        <v>16</v>
      </c>
      <c r="T890" s="1">
        <v>2</v>
      </c>
      <c r="U890" s="1">
        <v>13</v>
      </c>
      <c r="V890" s="1">
        <v>2</v>
      </c>
      <c r="W890" s="1">
        <v>4</v>
      </c>
      <c r="X890" s="1">
        <v>12</v>
      </c>
    </row>
    <row r="891" spans="1:24">
      <c r="A891" s="1">
        <v>890</v>
      </c>
      <c r="B891" s="1" t="s">
        <v>33</v>
      </c>
      <c r="C891" s="1" t="s">
        <v>25</v>
      </c>
      <c r="D891" s="1" t="s">
        <v>43</v>
      </c>
      <c r="E891" s="1" t="s">
        <v>36</v>
      </c>
      <c r="F891" s="1" t="s">
        <v>28</v>
      </c>
      <c r="G891" s="1">
        <v>1</v>
      </c>
      <c r="H891" s="1" t="s">
        <v>37</v>
      </c>
      <c r="I891" s="1" t="s">
        <v>38</v>
      </c>
      <c r="J891" s="1" t="s">
        <v>39</v>
      </c>
      <c r="K891" s="1" t="s">
        <v>24</v>
      </c>
      <c r="L891" s="1">
        <v>27</v>
      </c>
      <c r="M891" s="1">
        <v>14</v>
      </c>
      <c r="N891" s="1" t="s">
        <v>47</v>
      </c>
      <c r="O891" s="1">
        <v>1</v>
      </c>
      <c r="P891" s="1">
        <v>1</v>
      </c>
      <c r="Q891" s="1">
        <v>1</v>
      </c>
      <c r="R891" s="1">
        <v>2235</v>
      </c>
      <c r="S891" s="1">
        <v>9</v>
      </c>
      <c r="T891" s="1">
        <v>2</v>
      </c>
      <c r="U891" s="1">
        <v>9</v>
      </c>
      <c r="V891" s="1">
        <v>7</v>
      </c>
      <c r="W891" s="1">
        <v>6</v>
      </c>
      <c r="X891" s="1">
        <v>8</v>
      </c>
    </row>
    <row r="892" spans="1:24">
      <c r="A892" s="1">
        <v>891</v>
      </c>
      <c r="B892" s="1" t="s">
        <v>33</v>
      </c>
      <c r="C892" s="1" t="s">
        <v>34</v>
      </c>
      <c r="D892" s="1" t="s">
        <v>35</v>
      </c>
      <c r="E892" s="1" t="s">
        <v>36</v>
      </c>
      <c r="F892" s="1" t="s">
        <v>28</v>
      </c>
      <c r="G892" s="1">
        <v>1</v>
      </c>
      <c r="H892" s="1" t="s">
        <v>29</v>
      </c>
      <c r="I892" s="1" t="s">
        <v>49</v>
      </c>
      <c r="J892" s="1" t="s">
        <v>48</v>
      </c>
      <c r="K892" s="1" t="s">
        <v>33</v>
      </c>
      <c r="L892" s="1">
        <v>54</v>
      </c>
      <c r="M892" s="1">
        <v>1</v>
      </c>
      <c r="N892" s="1" t="s">
        <v>44</v>
      </c>
      <c r="O892" s="1">
        <v>4</v>
      </c>
      <c r="P892" s="1">
        <v>3</v>
      </c>
      <c r="Q892" s="1">
        <v>3</v>
      </c>
      <c r="R892" s="1">
        <v>10502</v>
      </c>
      <c r="S892" s="1">
        <v>33</v>
      </c>
      <c r="T892" s="1">
        <v>1</v>
      </c>
      <c r="U892" s="1">
        <v>5</v>
      </c>
      <c r="V892" s="1">
        <v>4</v>
      </c>
      <c r="W892" s="1">
        <v>1</v>
      </c>
      <c r="X892" s="1">
        <v>4</v>
      </c>
    </row>
    <row r="893" spans="1:24">
      <c r="A893" s="1">
        <v>892</v>
      </c>
      <c r="B893" s="1" t="s">
        <v>33</v>
      </c>
      <c r="C893" s="1" t="s">
        <v>25</v>
      </c>
      <c r="D893" s="1" t="s">
        <v>26</v>
      </c>
      <c r="E893" s="1" t="s">
        <v>36</v>
      </c>
      <c r="F893" s="1" t="s">
        <v>28</v>
      </c>
      <c r="G893" s="1">
        <v>1</v>
      </c>
      <c r="H893" s="1" t="s">
        <v>29</v>
      </c>
      <c r="I893" s="1" t="s">
        <v>38</v>
      </c>
      <c r="J893" s="1" t="s">
        <v>39</v>
      </c>
      <c r="K893" s="1" t="s">
        <v>33</v>
      </c>
      <c r="L893" s="1">
        <v>44</v>
      </c>
      <c r="M893" s="1">
        <v>2</v>
      </c>
      <c r="N893" s="1" t="s">
        <v>40</v>
      </c>
      <c r="O893" s="1">
        <v>1</v>
      </c>
      <c r="P893" s="1">
        <v>1</v>
      </c>
      <c r="Q893" s="1">
        <v>4</v>
      </c>
      <c r="R893" s="1">
        <v>2011</v>
      </c>
      <c r="S893" s="1">
        <v>10</v>
      </c>
      <c r="T893" s="1">
        <v>3</v>
      </c>
      <c r="U893" s="1">
        <v>10</v>
      </c>
      <c r="V893" s="1">
        <v>5</v>
      </c>
      <c r="W893" s="1">
        <v>7</v>
      </c>
      <c r="X893" s="1">
        <v>7</v>
      </c>
    </row>
    <row r="894" spans="1:24">
      <c r="A894" s="1">
        <v>893</v>
      </c>
      <c r="B894" s="1" t="s">
        <v>24</v>
      </c>
      <c r="C894" s="1" t="s">
        <v>51</v>
      </c>
      <c r="D894" s="1" t="s">
        <v>52</v>
      </c>
      <c r="E894" s="1" t="s">
        <v>36</v>
      </c>
      <c r="F894" s="1" t="s">
        <v>45</v>
      </c>
      <c r="G894" s="1">
        <v>1</v>
      </c>
      <c r="H894" s="1" t="s">
        <v>29</v>
      </c>
      <c r="I894" s="1" t="s">
        <v>38</v>
      </c>
      <c r="J894" s="1" t="s">
        <v>31</v>
      </c>
      <c r="K894" s="1" t="s">
        <v>24</v>
      </c>
      <c r="L894" s="1">
        <v>19</v>
      </c>
      <c r="M894" s="1">
        <v>10</v>
      </c>
      <c r="N894" s="1" t="s">
        <v>47</v>
      </c>
      <c r="O894" s="1">
        <v>1</v>
      </c>
      <c r="P894" s="1">
        <v>1</v>
      </c>
      <c r="Q894" s="1">
        <v>2</v>
      </c>
      <c r="R894" s="1">
        <v>1859</v>
      </c>
      <c r="S894" s="1">
        <v>1</v>
      </c>
      <c r="T894" s="1">
        <v>4</v>
      </c>
      <c r="U894" s="1">
        <v>1</v>
      </c>
      <c r="V894" s="1">
        <v>1</v>
      </c>
      <c r="W894" s="1">
        <v>0</v>
      </c>
      <c r="X894" s="1">
        <v>0</v>
      </c>
    </row>
    <row r="895" spans="1:24">
      <c r="A895" s="1">
        <v>894</v>
      </c>
      <c r="B895" s="1" t="s">
        <v>33</v>
      </c>
      <c r="C895" s="1" t="s">
        <v>25</v>
      </c>
      <c r="D895" s="1" t="s">
        <v>43</v>
      </c>
      <c r="E895" s="1" t="s">
        <v>36</v>
      </c>
      <c r="F895" s="1" t="s">
        <v>28</v>
      </c>
      <c r="G895" s="1">
        <v>1</v>
      </c>
      <c r="H895" s="1" t="s">
        <v>29</v>
      </c>
      <c r="I895" s="1" t="s">
        <v>38</v>
      </c>
      <c r="J895" s="1" t="s">
        <v>48</v>
      </c>
      <c r="K895" s="1" t="s">
        <v>33</v>
      </c>
      <c r="L895" s="1">
        <v>29</v>
      </c>
      <c r="M895" s="1">
        <v>1</v>
      </c>
      <c r="N895" s="1" t="s">
        <v>47</v>
      </c>
      <c r="O895" s="1">
        <v>1</v>
      </c>
      <c r="P895" s="1">
        <v>1</v>
      </c>
      <c r="Q895" s="1">
        <v>4</v>
      </c>
      <c r="R895" s="1">
        <v>3760</v>
      </c>
      <c r="S895" s="1">
        <v>3</v>
      </c>
      <c r="T895" s="1">
        <v>3</v>
      </c>
      <c r="U895" s="1">
        <v>3</v>
      </c>
      <c r="V895" s="1">
        <v>2</v>
      </c>
      <c r="W895" s="1">
        <v>1</v>
      </c>
      <c r="X895" s="1">
        <v>2</v>
      </c>
    </row>
    <row r="896" spans="1:24">
      <c r="A896" s="1">
        <v>895</v>
      </c>
      <c r="B896" s="1" t="s">
        <v>33</v>
      </c>
      <c r="C896" s="1" t="s">
        <v>25</v>
      </c>
      <c r="D896" s="1" t="s">
        <v>35</v>
      </c>
      <c r="E896" s="1" t="s">
        <v>36</v>
      </c>
      <c r="F896" s="1" t="s">
        <v>28</v>
      </c>
      <c r="G896" s="1">
        <v>1</v>
      </c>
      <c r="H896" s="1" t="s">
        <v>37</v>
      </c>
      <c r="I896" s="1" t="s">
        <v>55</v>
      </c>
      <c r="J896" s="1" t="s">
        <v>39</v>
      </c>
      <c r="K896" s="1" t="s">
        <v>33</v>
      </c>
      <c r="L896" s="1">
        <v>54</v>
      </c>
      <c r="M896" s="1">
        <v>3</v>
      </c>
      <c r="N896" s="1" t="s">
        <v>47</v>
      </c>
      <c r="O896" s="1">
        <v>4</v>
      </c>
      <c r="P896" s="1">
        <v>4</v>
      </c>
      <c r="Q896" s="1">
        <v>4</v>
      </c>
      <c r="R896" s="1">
        <v>17779</v>
      </c>
      <c r="S896" s="1">
        <v>36</v>
      </c>
      <c r="T896" s="1">
        <v>3</v>
      </c>
      <c r="U896" s="1">
        <v>10</v>
      </c>
      <c r="V896" s="1">
        <v>9</v>
      </c>
      <c r="W896" s="1">
        <v>0</v>
      </c>
      <c r="X896" s="1">
        <v>9</v>
      </c>
    </row>
    <row r="897" spans="1:24">
      <c r="A897" s="1">
        <v>896</v>
      </c>
      <c r="B897" s="1" t="s">
        <v>33</v>
      </c>
      <c r="C897" s="1" t="s">
        <v>25</v>
      </c>
      <c r="D897" s="1" t="s">
        <v>43</v>
      </c>
      <c r="E897" s="1" t="s">
        <v>36</v>
      </c>
      <c r="F897" s="1" t="s">
        <v>45</v>
      </c>
      <c r="G897" s="1">
        <v>1</v>
      </c>
      <c r="H897" s="1" t="s">
        <v>37</v>
      </c>
      <c r="I897" s="1" t="s">
        <v>50</v>
      </c>
      <c r="J897" s="1" t="s">
        <v>39</v>
      </c>
      <c r="K897" s="1" t="s">
        <v>24</v>
      </c>
      <c r="L897" s="1">
        <v>31</v>
      </c>
      <c r="M897" s="1">
        <v>11</v>
      </c>
      <c r="N897" s="1" t="s">
        <v>32</v>
      </c>
      <c r="O897" s="1">
        <v>3</v>
      </c>
      <c r="P897" s="1">
        <v>2</v>
      </c>
      <c r="Q897" s="1">
        <v>1</v>
      </c>
      <c r="R897" s="1">
        <v>6833</v>
      </c>
      <c r="S897" s="1">
        <v>6</v>
      </c>
      <c r="T897" s="1">
        <v>2</v>
      </c>
      <c r="U897" s="1">
        <v>6</v>
      </c>
      <c r="V897" s="1">
        <v>5</v>
      </c>
      <c r="W897" s="1">
        <v>0</v>
      </c>
      <c r="X897" s="1">
        <v>1</v>
      </c>
    </row>
    <row r="898" spans="1:24">
      <c r="A898" s="1">
        <v>897</v>
      </c>
      <c r="B898" s="1" t="s">
        <v>33</v>
      </c>
      <c r="C898" s="1" t="s">
        <v>25</v>
      </c>
      <c r="D898" s="1" t="s">
        <v>43</v>
      </c>
      <c r="E898" s="1" t="s">
        <v>36</v>
      </c>
      <c r="F898" s="1" t="s">
        <v>45</v>
      </c>
      <c r="G898" s="1">
        <v>1</v>
      </c>
      <c r="H898" s="1" t="s">
        <v>29</v>
      </c>
      <c r="I898" s="1" t="s">
        <v>50</v>
      </c>
      <c r="J898" s="1" t="s">
        <v>31</v>
      </c>
      <c r="K898" s="1" t="s">
        <v>33</v>
      </c>
      <c r="L898" s="1">
        <v>31</v>
      </c>
      <c r="M898" s="1">
        <v>24</v>
      </c>
      <c r="N898" s="1" t="s">
        <v>47</v>
      </c>
      <c r="O898" s="1">
        <v>3</v>
      </c>
      <c r="P898" s="1">
        <v>2</v>
      </c>
      <c r="Q898" s="1">
        <v>1</v>
      </c>
      <c r="R898" s="1">
        <v>6812</v>
      </c>
      <c r="S898" s="1">
        <v>10</v>
      </c>
      <c r="T898" s="1">
        <v>3</v>
      </c>
      <c r="U898" s="1">
        <v>10</v>
      </c>
      <c r="V898" s="1">
        <v>9</v>
      </c>
      <c r="W898" s="1">
        <v>1</v>
      </c>
      <c r="X898" s="1">
        <v>8</v>
      </c>
    </row>
    <row r="899" spans="1:24">
      <c r="A899" s="1">
        <v>898</v>
      </c>
      <c r="B899" s="1" t="s">
        <v>33</v>
      </c>
      <c r="C899" s="1" t="s">
        <v>25</v>
      </c>
      <c r="D899" s="1" t="s">
        <v>46</v>
      </c>
      <c r="E899" s="1" t="s">
        <v>27</v>
      </c>
      <c r="F899" s="1" t="s">
        <v>28</v>
      </c>
      <c r="G899" s="1">
        <v>1</v>
      </c>
      <c r="H899" s="1" t="s">
        <v>29</v>
      </c>
      <c r="I899" s="1" t="s">
        <v>30</v>
      </c>
      <c r="J899" s="1" t="s">
        <v>31</v>
      </c>
      <c r="K899" s="1" t="s">
        <v>33</v>
      </c>
      <c r="L899" s="1">
        <v>59</v>
      </c>
      <c r="M899" s="1">
        <v>3</v>
      </c>
      <c r="N899" s="1" t="s">
        <v>47</v>
      </c>
      <c r="O899" s="1">
        <v>3</v>
      </c>
      <c r="P899" s="1">
        <v>2</v>
      </c>
      <c r="Q899" s="1">
        <v>4</v>
      </c>
      <c r="R899" s="1">
        <v>5171</v>
      </c>
      <c r="S899" s="1">
        <v>13</v>
      </c>
      <c r="T899" s="1">
        <v>3</v>
      </c>
      <c r="U899" s="1">
        <v>6</v>
      </c>
      <c r="V899" s="1">
        <v>1</v>
      </c>
      <c r="W899" s="1">
        <v>0</v>
      </c>
      <c r="X899" s="1">
        <v>5</v>
      </c>
    </row>
    <row r="900" spans="1:24">
      <c r="A900" s="1">
        <v>899</v>
      </c>
      <c r="B900" s="1" t="s">
        <v>33</v>
      </c>
      <c r="C900" s="1" t="s">
        <v>25</v>
      </c>
      <c r="D900" s="1" t="s">
        <v>26</v>
      </c>
      <c r="E900" s="1" t="s">
        <v>36</v>
      </c>
      <c r="F900" s="1" t="s">
        <v>28</v>
      </c>
      <c r="G900" s="1">
        <v>1</v>
      </c>
      <c r="H900" s="1" t="s">
        <v>37</v>
      </c>
      <c r="I900" s="1" t="s">
        <v>55</v>
      </c>
      <c r="J900" s="1" t="s">
        <v>39</v>
      </c>
      <c r="K900" s="1" t="s">
        <v>33</v>
      </c>
      <c r="L900" s="1">
        <v>43</v>
      </c>
      <c r="M900" s="1">
        <v>3</v>
      </c>
      <c r="N900" s="1" t="s">
        <v>47</v>
      </c>
      <c r="O900" s="1">
        <v>3</v>
      </c>
      <c r="P900" s="1">
        <v>5</v>
      </c>
      <c r="Q900" s="1">
        <v>4</v>
      </c>
      <c r="R900" s="1">
        <v>19740</v>
      </c>
      <c r="S900" s="1">
        <v>25</v>
      </c>
      <c r="T900" s="1">
        <v>3</v>
      </c>
      <c r="U900" s="1">
        <v>8</v>
      </c>
      <c r="V900" s="1">
        <v>7</v>
      </c>
      <c r="W900" s="1">
        <v>0</v>
      </c>
      <c r="X900" s="1">
        <v>7</v>
      </c>
    </row>
    <row r="901" spans="1:24">
      <c r="A901" s="1">
        <v>900</v>
      </c>
      <c r="B901" s="1" t="s">
        <v>33</v>
      </c>
      <c r="C901" s="1" t="s">
        <v>25</v>
      </c>
      <c r="D901" s="1" t="s">
        <v>35</v>
      </c>
      <c r="E901" s="1" t="s">
        <v>36</v>
      </c>
      <c r="F901" s="1" t="s">
        <v>45</v>
      </c>
      <c r="G901" s="1">
        <v>1</v>
      </c>
      <c r="H901" s="1" t="s">
        <v>37</v>
      </c>
      <c r="I901" s="1" t="s">
        <v>53</v>
      </c>
      <c r="J901" s="1" t="s">
        <v>39</v>
      </c>
      <c r="K901" s="1" t="s">
        <v>33</v>
      </c>
      <c r="L901" s="1">
        <v>49</v>
      </c>
      <c r="M901" s="1">
        <v>4</v>
      </c>
      <c r="N901" s="1" t="s">
        <v>32</v>
      </c>
      <c r="O901" s="1">
        <v>1</v>
      </c>
      <c r="P901" s="1">
        <v>5</v>
      </c>
      <c r="Q901" s="1">
        <v>3</v>
      </c>
      <c r="R901" s="1">
        <v>18711</v>
      </c>
      <c r="S901" s="1">
        <v>23</v>
      </c>
      <c r="T901" s="1">
        <v>4</v>
      </c>
      <c r="U901" s="1">
        <v>1</v>
      </c>
      <c r="V901" s="1">
        <v>0</v>
      </c>
      <c r="W901" s="1">
        <v>0</v>
      </c>
      <c r="X901" s="1">
        <v>0</v>
      </c>
    </row>
    <row r="902" spans="1:24">
      <c r="A902" s="1">
        <v>901</v>
      </c>
      <c r="B902" s="1" t="s">
        <v>33</v>
      </c>
      <c r="C902" s="1" t="s">
        <v>34</v>
      </c>
      <c r="D902" s="1" t="s">
        <v>26</v>
      </c>
      <c r="E902" s="1" t="s">
        <v>36</v>
      </c>
      <c r="F902" s="1" t="s">
        <v>57</v>
      </c>
      <c r="G902" s="1">
        <v>1</v>
      </c>
      <c r="H902" s="1" t="s">
        <v>37</v>
      </c>
      <c r="I902" s="1" t="s">
        <v>38</v>
      </c>
      <c r="J902" s="1" t="s">
        <v>39</v>
      </c>
      <c r="K902" s="1" t="s">
        <v>33</v>
      </c>
      <c r="L902" s="1">
        <v>36</v>
      </c>
      <c r="M902" s="1">
        <v>3</v>
      </c>
      <c r="N902" s="1" t="s">
        <v>47</v>
      </c>
      <c r="O902" s="1">
        <v>3</v>
      </c>
      <c r="P902" s="1">
        <v>1</v>
      </c>
      <c r="Q902" s="1">
        <v>2</v>
      </c>
      <c r="R902" s="1">
        <v>3692</v>
      </c>
      <c r="S902" s="1">
        <v>12</v>
      </c>
      <c r="T902" s="1">
        <v>2</v>
      </c>
      <c r="U902" s="1">
        <v>11</v>
      </c>
      <c r="V902" s="1">
        <v>10</v>
      </c>
      <c r="W902" s="1">
        <v>0</v>
      </c>
      <c r="X902" s="1">
        <v>7</v>
      </c>
    </row>
    <row r="903" spans="1:24">
      <c r="A903" s="1">
        <v>902</v>
      </c>
      <c r="B903" s="1" t="s">
        <v>33</v>
      </c>
      <c r="C903" s="1" t="s">
        <v>25</v>
      </c>
      <c r="D903" s="1" t="s">
        <v>35</v>
      </c>
      <c r="E903" s="1" t="s">
        <v>36</v>
      </c>
      <c r="F903" s="1" t="s">
        <v>57</v>
      </c>
      <c r="G903" s="1">
        <v>1</v>
      </c>
      <c r="H903" s="1" t="s">
        <v>37</v>
      </c>
      <c r="I903" s="1" t="s">
        <v>42</v>
      </c>
      <c r="J903" s="1" t="s">
        <v>31</v>
      </c>
      <c r="K903" s="1" t="s">
        <v>33</v>
      </c>
      <c r="L903" s="1">
        <v>48</v>
      </c>
      <c r="M903" s="1">
        <v>2</v>
      </c>
      <c r="N903" s="1" t="s">
        <v>32</v>
      </c>
      <c r="O903" s="1">
        <v>4</v>
      </c>
      <c r="P903" s="1">
        <v>1</v>
      </c>
      <c r="Q903" s="1">
        <v>2</v>
      </c>
      <c r="R903" s="1">
        <v>2559</v>
      </c>
      <c r="S903" s="1">
        <v>7</v>
      </c>
      <c r="T903" s="1">
        <v>2</v>
      </c>
      <c r="U903" s="1">
        <v>1</v>
      </c>
      <c r="V903" s="1">
        <v>0</v>
      </c>
      <c r="W903" s="1">
        <v>0</v>
      </c>
      <c r="X903" s="1">
        <v>0</v>
      </c>
    </row>
    <row r="904" spans="1:24">
      <c r="A904" s="1">
        <v>903</v>
      </c>
      <c r="B904" s="1" t="s">
        <v>33</v>
      </c>
      <c r="C904" s="1" t="s">
        <v>25</v>
      </c>
      <c r="D904" s="1" t="s">
        <v>43</v>
      </c>
      <c r="E904" s="1" t="s">
        <v>36</v>
      </c>
      <c r="F904" s="1" t="s">
        <v>28</v>
      </c>
      <c r="G904" s="1">
        <v>1</v>
      </c>
      <c r="H904" s="1" t="s">
        <v>37</v>
      </c>
      <c r="I904" s="1" t="s">
        <v>38</v>
      </c>
      <c r="J904" s="1" t="s">
        <v>48</v>
      </c>
      <c r="K904" s="1" t="s">
        <v>33</v>
      </c>
      <c r="L904" s="1">
        <v>27</v>
      </c>
      <c r="M904" s="1">
        <v>4</v>
      </c>
      <c r="N904" s="1" t="s">
        <v>32</v>
      </c>
      <c r="O904" s="1">
        <v>1</v>
      </c>
      <c r="P904" s="1">
        <v>1</v>
      </c>
      <c r="Q904" s="1">
        <v>3</v>
      </c>
      <c r="R904" s="1">
        <v>2517</v>
      </c>
      <c r="S904" s="1">
        <v>5</v>
      </c>
      <c r="T904" s="1">
        <v>3</v>
      </c>
      <c r="U904" s="1">
        <v>5</v>
      </c>
      <c r="V904" s="1">
        <v>3</v>
      </c>
      <c r="W904" s="1">
        <v>0</v>
      </c>
      <c r="X904" s="1">
        <v>3</v>
      </c>
    </row>
    <row r="905" spans="1:24">
      <c r="A905" s="1">
        <v>904</v>
      </c>
      <c r="B905" s="1" t="s">
        <v>33</v>
      </c>
      <c r="C905" s="1" t="s">
        <v>25</v>
      </c>
      <c r="D905" s="1" t="s">
        <v>43</v>
      </c>
      <c r="E905" s="1" t="s">
        <v>36</v>
      </c>
      <c r="F905" s="1" t="s">
        <v>28</v>
      </c>
      <c r="G905" s="1">
        <v>1</v>
      </c>
      <c r="H905" s="1" t="s">
        <v>37</v>
      </c>
      <c r="I905" s="1" t="s">
        <v>50</v>
      </c>
      <c r="J905" s="1" t="s">
        <v>48</v>
      </c>
      <c r="K905" s="1" t="s">
        <v>24</v>
      </c>
      <c r="L905" s="1">
        <v>29</v>
      </c>
      <c r="M905" s="1">
        <v>7</v>
      </c>
      <c r="N905" s="1" t="s">
        <v>47</v>
      </c>
      <c r="O905" s="1">
        <v>3</v>
      </c>
      <c r="P905" s="1">
        <v>2</v>
      </c>
      <c r="Q905" s="1">
        <v>4</v>
      </c>
      <c r="R905" s="1">
        <v>6623</v>
      </c>
      <c r="S905" s="1">
        <v>6</v>
      </c>
      <c r="T905" s="1">
        <v>3</v>
      </c>
      <c r="U905" s="1">
        <v>6</v>
      </c>
      <c r="V905" s="1">
        <v>0</v>
      </c>
      <c r="W905" s="1">
        <v>1</v>
      </c>
      <c r="X905" s="1">
        <v>0</v>
      </c>
    </row>
    <row r="906" spans="1:24">
      <c r="A906" s="1">
        <v>905</v>
      </c>
      <c r="B906" s="1" t="s">
        <v>33</v>
      </c>
      <c r="C906" s="1" t="s">
        <v>25</v>
      </c>
      <c r="D906" s="1" t="s">
        <v>35</v>
      </c>
      <c r="E906" s="1" t="s">
        <v>36</v>
      </c>
      <c r="F906" s="1" t="s">
        <v>28</v>
      </c>
      <c r="G906" s="1">
        <v>1</v>
      </c>
      <c r="H906" s="1" t="s">
        <v>37</v>
      </c>
      <c r="I906" s="1" t="s">
        <v>55</v>
      </c>
      <c r="J906" s="1" t="s">
        <v>31</v>
      </c>
      <c r="K906" s="1" t="s">
        <v>33</v>
      </c>
      <c r="L906" s="1">
        <v>48</v>
      </c>
      <c r="M906" s="1">
        <v>1</v>
      </c>
      <c r="N906" s="1" t="s">
        <v>47</v>
      </c>
      <c r="O906" s="1">
        <v>4</v>
      </c>
      <c r="P906" s="1">
        <v>5</v>
      </c>
      <c r="Q906" s="1">
        <v>4</v>
      </c>
      <c r="R906" s="1">
        <v>18265</v>
      </c>
      <c r="S906" s="1">
        <v>25</v>
      </c>
      <c r="T906" s="1">
        <v>4</v>
      </c>
      <c r="U906" s="1">
        <v>1</v>
      </c>
      <c r="V906" s="1">
        <v>0</v>
      </c>
      <c r="W906" s="1">
        <v>0</v>
      </c>
      <c r="X906" s="1">
        <v>0</v>
      </c>
    </row>
    <row r="907" spans="1:24">
      <c r="A907" s="1">
        <v>906</v>
      </c>
      <c r="B907" s="1" t="s">
        <v>33</v>
      </c>
      <c r="C907" s="1" t="s">
        <v>25</v>
      </c>
      <c r="D907" s="1" t="s">
        <v>43</v>
      </c>
      <c r="E907" s="1" t="s">
        <v>36</v>
      </c>
      <c r="F907" s="1" t="s">
        <v>28</v>
      </c>
      <c r="G907" s="1">
        <v>1</v>
      </c>
      <c r="H907" s="1" t="s">
        <v>29</v>
      </c>
      <c r="I907" s="1" t="s">
        <v>55</v>
      </c>
      <c r="J907" s="1" t="s">
        <v>48</v>
      </c>
      <c r="K907" s="1" t="s">
        <v>33</v>
      </c>
      <c r="L907" s="1">
        <v>29</v>
      </c>
      <c r="M907" s="1">
        <v>1</v>
      </c>
      <c r="N907" s="1" t="s">
        <v>47</v>
      </c>
      <c r="O907" s="1">
        <v>4</v>
      </c>
      <c r="P907" s="1">
        <v>4</v>
      </c>
      <c r="Q907" s="1">
        <v>4</v>
      </c>
      <c r="R907" s="1">
        <v>16124</v>
      </c>
      <c r="S907" s="1">
        <v>9</v>
      </c>
      <c r="T907" s="1">
        <v>2</v>
      </c>
      <c r="U907" s="1">
        <v>7</v>
      </c>
      <c r="V907" s="1">
        <v>7</v>
      </c>
      <c r="W907" s="1">
        <v>1</v>
      </c>
      <c r="X907" s="1">
        <v>7</v>
      </c>
    </row>
    <row r="908" spans="1:24">
      <c r="A908" s="1">
        <v>907</v>
      </c>
      <c r="B908" s="1" t="s">
        <v>33</v>
      </c>
      <c r="C908" s="1" t="s">
        <v>25</v>
      </c>
      <c r="D908" s="1" t="s">
        <v>43</v>
      </c>
      <c r="E908" s="1" t="s">
        <v>36</v>
      </c>
      <c r="F908" s="1" t="s">
        <v>57</v>
      </c>
      <c r="G908" s="1">
        <v>1</v>
      </c>
      <c r="H908" s="1" t="s">
        <v>29</v>
      </c>
      <c r="I908" s="1" t="s">
        <v>38</v>
      </c>
      <c r="J908" s="1" t="s">
        <v>39</v>
      </c>
      <c r="K908" s="1" t="s">
        <v>33</v>
      </c>
      <c r="L908" s="1">
        <v>34</v>
      </c>
      <c r="M908" s="1">
        <v>20</v>
      </c>
      <c r="N908" s="1" t="s">
        <v>47</v>
      </c>
      <c r="O908" s="1">
        <v>3</v>
      </c>
      <c r="P908" s="1">
        <v>1</v>
      </c>
      <c r="Q908" s="1">
        <v>3</v>
      </c>
      <c r="R908" s="1">
        <v>2585</v>
      </c>
      <c r="S908" s="1">
        <v>2</v>
      </c>
      <c r="T908" s="1">
        <v>2</v>
      </c>
      <c r="U908" s="1">
        <v>1</v>
      </c>
      <c r="V908" s="1">
        <v>0</v>
      </c>
      <c r="W908" s="1">
        <v>0</v>
      </c>
      <c r="X908" s="1">
        <v>0</v>
      </c>
    </row>
    <row r="909" spans="1:24">
      <c r="A909" s="1">
        <v>908</v>
      </c>
      <c r="B909" s="1" t="s">
        <v>33</v>
      </c>
      <c r="C909" s="1" t="s">
        <v>25</v>
      </c>
      <c r="D909" s="1" t="s">
        <v>26</v>
      </c>
      <c r="E909" s="1" t="s">
        <v>27</v>
      </c>
      <c r="F909" s="1" t="s">
        <v>56</v>
      </c>
      <c r="G909" s="1">
        <v>1</v>
      </c>
      <c r="H909" s="1" t="s">
        <v>37</v>
      </c>
      <c r="I909" s="1" t="s">
        <v>53</v>
      </c>
      <c r="J909" s="1" t="s">
        <v>39</v>
      </c>
      <c r="K909" s="1" t="s">
        <v>33</v>
      </c>
      <c r="L909" s="1">
        <v>44</v>
      </c>
      <c r="M909" s="1">
        <v>5</v>
      </c>
      <c r="N909" s="1" t="s">
        <v>47</v>
      </c>
      <c r="O909" s="1">
        <v>2</v>
      </c>
      <c r="P909" s="1">
        <v>5</v>
      </c>
      <c r="Q909" s="1">
        <v>2</v>
      </c>
      <c r="R909" s="1">
        <v>18213</v>
      </c>
      <c r="S909" s="1">
        <v>26</v>
      </c>
      <c r="T909" s="1">
        <v>3</v>
      </c>
      <c r="U909" s="1">
        <v>22</v>
      </c>
      <c r="V909" s="1">
        <v>9</v>
      </c>
      <c r="W909" s="1">
        <v>3</v>
      </c>
      <c r="X909" s="1">
        <v>10</v>
      </c>
    </row>
    <row r="910" spans="1:24">
      <c r="A910" s="1">
        <v>909</v>
      </c>
      <c r="B910" s="1" t="s">
        <v>33</v>
      </c>
      <c r="C910" s="1" t="s">
        <v>25</v>
      </c>
      <c r="D910" s="1" t="s">
        <v>43</v>
      </c>
      <c r="E910" s="1" t="s">
        <v>27</v>
      </c>
      <c r="F910" s="1" t="s">
        <v>56</v>
      </c>
      <c r="G910" s="1">
        <v>1</v>
      </c>
      <c r="H910" s="1" t="s">
        <v>37</v>
      </c>
      <c r="I910" s="1" t="s">
        <v>30</v>
      </c>
      <c r="J910" s="1" t="s">
        <v>48</v>
      </c>
      <c r="K910" s="1" t="s">
        <v>24</v>
      </c>
      <c r="L910" s="1">
        <v>33</v>
      </c>
      <c r="M910" s="1">
        <v>10</v>
      </c>
      <c r="N910" s="1" t="s">
        <v>58</v>
      </c>
      <c r="O910" s="1">
        <v>4</v>
      </c>
      <c r="P910" s="1">
        <v>3</v>
      </c>
      <c r="Q910" s="1">
        <v>3</v>
      </c>
      <c r="R910" s="1">
        <v>8380</v>
      </c>
      <c r="S910" s="1">
        <v>10</v>
      </c>
      <c r="T910" s="1">
        <v>3</v>
      </c>
      <c r="U910" s="1">
        <v>9</v>
      </c>
      <c r="V910" s="1">
        <v>8</v>
      </c>
      <c r="W910" s="1">
        <v>0</v>
      </c>
      <c r="X910" s="1">
        <v>8</v>
      </c>
    </row>
    <row r="911" spans="1:24">
      <c r="A911" s="1">
        <v>910</v>
      </c>
      <c r="B911" s="1" t="s">
        <v>33</v>
      </c>
      <c r="C911" s="1" t="s">
        <v>25</v>
      </c>
      <c r="D911" s="1" t="s">
        <v>52</v>
      </c>
      <c r="E911" s="1" t="s">
        <v>36</v>
      </c>
      <c r="F911" s="1" t="s">
        <v>28</v>
      </c>
      <c r="G911" s="1">
        <v>1</v>
      </c>
      <c r="H911" s="1" t="s">
        <v>29</v>
      </c>
      <c r="I911" s="1" t="s">
        <v>38</v>
      </c>
      <c r="J911" s="1" t="s">
        <v>31</v>
      </c>
      <c r="K911" s="1" t="s">
        <v>24</v>
      </c>
      <c r="L911" s="1">
        <v>19</v>
      </c>
      <c r="M911" s="1">
        <v>25</v>
      </c>
      <c r="N911" s="1" t="s">
        <v>47</v>
      </c>
      <c r="O911" s="1">
        <v>2</v>
      </c>
      <c r="P911" s="1">
        <v>1</v>
      </c>
      <c r="Q911" s="1">
        <v>4</v>
      </c>
      <c r="R911" s="1">
        <v>2994</v>
      </c>
      <c r="S911" s="1">
        <v>1</v>
      </c>
      <c r="T911" s="1">
        <v>3</v>
      </c>
      <c r="U911" s="1">
        <v>1</v>
      </c>
      <c r="V911" s="1">
        <v>0</v>
      </c>
      <c r="W911" s="1">
        <v>0</v>
      </c>
      <c r="X911" s="1">
        <v>1</v>
      </c>
    </row>
    <row r="912" spans="1:24">
      <c r="A912" s="1">
        <v>911</v>
      </c>
      <c r="B912" s="1" t="s">
        <v>33</v>
      </c>
      <c r="C912" s="1" t="s">
        <v>25</v>
      </c>
      <c r="D912" s="1" t="s">
        <v>52</v>
      </c>
      <c r="E912" s="1" t="s">
        <v>36</v>
      </c>
      <c r="F912" s="1" t="s">
        <v>28</v>
      </c>
      <c r="G912" s="1">
        <v>1</v>
      </c>
      <c r="H912" s="1" t="s">
        <v>37</v>
      </c>
      <c r="I912" s="1" t="s">
        <v>38</v>
      </c>
      <c r="J912" s="1" t="s">
        <v>39</v>
      </c>
      <c r="K912" s="1" t="s">
        <v>33</v>
      </c>
      <c r="L912" s="1">
        <v>23</v>
      </c>
      <c r="M912" s="1">
        <v>1</v>
      </c>
      <c r="N912" s="1" t="s">
        <v>32</v>
      </c>
      <c r="O912" s="1">
        <v>4</v>
      </c>
      <c r="P912" s="1">
        <v>1</v>
      </c>
      <c r="Q912" s="1">
        <v>3</v>
      </c>
      <c r="R912" s="1">
        <v>1223</v>
      </c>
      <c r="S912" s="1">
        <v>1</v>
      </c>
      <c r="T912" s="1">
        <v>3</v>
      </c>
      <c r="U912" s="1">
        <v>1</v>
      </c>
      <c r="V912" s="1">
        <v>0</v>
      </c>
      <c r="W912" s="1">
        <v>0</v>
      </c>
      <c r="X912" s="1">
        <v>1</v>
      </c>
    </row>
    <row r="913" spans="1:24">
      <c r="A913" s="1">
        <v>912</v>
      </c>
      <c r="B913" s="1" t="s">
        <v>24</v>
      </c>
      <c r="C913" s="1" t="s">
        <v>34</v>
      </c>
      <c r="D913" s="1" t="s">
        <v>43</v>
      </c>
      <c r="E913" s="1" t="s">
        <v>27</v>
      </c>
      <c r="F913" s="1" t="s">
        <v>28</v>
      </c>
      <c r="G913" s="1">
        <v>1</v>
      </c>
      <c r="H913" s="1" t="s">
        <v>37</v>
      </c>
      <c r="I913" s="1" t="s">
        <v>54</v>
      </c>
      <c r="J913" s="1" t="s">
        <v>31</v>
      </c>
      <c r="K913" s="1" t="s">
        <v>24</v>
      </c>
      <c r="L913" s="1">
        <v>25</v>
      </c>
      <c r="M913" s="1">
        <v>24</v>
      </c>
      <c r="N913" s="1" t="s">
        <v>40</v>
      </c>
      <c r="O913" s="1">
        <v>3</v>
      </c>
      <c r="P913" s="1">
        <v>1</v>
      </c>
      <c r="Q913" s="1">
        <v>4</v>
      </c>
      <c r="R913" s="1">
        <v>1118</v>
      </c>
      <c r="S913" s="1">
        <v>1</v>
      </c>
      <c r="T913" s="1">
        <v>3</v>
      </c>
      <c r="U913" s="1">
        <v>1</v>
      </c>
      <c r="V913" s="1">
        <v>0</v>
      </c>
      <c r="W913" s="1">
        <v>1</v>
      </c>
      <c r="X913" s="1">
        <v>0</v>
      </c>
    </row>
    <row r="914" spans="1:24">
      <c r="A914" s="1">
        <v>913</v>
      </c>
      <c r="B914" s="1" t="s">
        <v>33</v>
      </c>
      <c r="C914" s="1" t="s">
        <v>25</v>
      </c>
      <c r="D914" s="1" t="s">
        <v>43</v>
      </c>
      <c r="E914" s="1" t="s">
        <v>36</v>
      </c>
      <c r="F914" s="1" t="s">
        <v>28</v>
      </c>
      <c r="G914" s="1">
        <v>1</v>
      </c>
      <c r="H914" s="1" t="s">
        <v>37</v>
      </c>
      <c r="I914" s="1" t="s">
        <v>38</v>
      </c>
      <c r="J914" s="1" t="s">
        <v>31</v>
      </c>
      <c r="K914" s="1" t="s">
        <v>24</v>
      </c>
      <c r="L914" s="1">
        <v>26</v>
      </c>
      <c r="M914" s="1">
        <v>4</v>
      </c>
      <c r="N914" s="1" t="s">
        <v>32</v>
      </c>
      <c r="O914" s="1">
        <v>3</v>
      </c>
      <c r="P914" s="1">
        <v>1</v>
      </c>
      <c r="Q914" s="1">
        <v>4</v>
      </c>
      <c r="R914" s="1">
        <v>2875</v>
      </c>
      <c r="S914" s="1">
        <v>8</v>
      </c>
      <c r="T914" s="1">
        <v>2</v>
      </c>
      <c r="U914" s="1">
        <v>8</v>
      </c>
      <c r="V914" s="1">
        <v>5</v>
      </c>
      <c r="W914" s="1">
        <v>2</v>
      </c>
      <c r="X914" s="1">
        <v>2</v>
      </c>
    </row>
    <row r="915" spans="1:24">
      <c r="A915" s="1">
        <v>914</v>
      </c>
      <c r="B915" s="1" t="s">
        <v>24</v>
      </c>
      <c r="C915" s="1" t="s">
        <v>25</v>
      </c>
      <c r="D915" s="1" t="s">
        <v>35</v>
      </c>
      <c r="E915" s="1" t="s">
        <v>27</v>
      </c>
      <c r="F915" s="1" t="s">
        <v>56</v>
      </c>
      <c r="G915" s="1">
        <v>1</v>
      </c>
      <c r="H915" s="1" t="s">
        <v>29</v>
      </c>
      <c r="I915" s="1" t="s">
        <v>53</v>
      </c>
      <c r="J915" s="1" t="s">
        <v>31</v>
      </c>
      <c r="K915" s="1" t="s">
        <v>24</v>
      </c>
      <c r="L915" s="1">
        <v>45</v>
      </c>
      <c r="M915" s="1">
        <v>2</v>
      </c>
      <c r="N915" s="1" t="s">
        <v>47</v>
      </c>
      <c r="O915" s="1">
        <v>1</v>
      </c>
      <c r="P915" s="1">
        <v>5</v>
      </c>
      <c r="Q915" s="1">
        <v>2</v>
      </c>
      <c r="R915" s="1">
        <v>18824</v>
      </c>
      <c r="S915" s="1">
        <v>26</v>
      </c>
      <c r="T915" s="1">
        <v>3</v>
      </c>
      <c r="U915" s="1">
        <v>24</v>
      </c>
      <c r="V915" s="1">
        <v>10</v>
      </c>
      <c r="W915" s="1">
        <v>1</v>
      </c>
      <c r="X915" s="1">
        <v>11</v>
      </c>
    </row>
    <row r="916" spans="1:24">
      <c r="A916" s="1">
        <v>915</v>
      </c>
      <c r="B916" s="1" t="s">
        <v>33</v>
      </c>
      <c r="C916" s="1" t="s">
        <v>51</v>
      </c>
      <c r="D916" s="1" t="s">
        <v>46</v>
      </c>
      <c r="E916" s="1" t="s">
        <v>36</v>
      </c>
      <c r="F916" s="1" t="s">
        <v>45</v>
      </c>
      <c r="G916" s="1">
        <v>1</v>
      </c>
      <c r="H916" s="1" t="s">
        <v>37</v>
      </c>
      <c r="I916" s="1" t="s">
        <v>50</v>
      </c>
      <c r="J916" s="1" t="s">
        <v>48</v>
      </c>
      <c r="K916" s="1" t="s">
        <v>24</v>
      </c>
      <c r="L916" s="1">
        <v>55</v>
      </c>
      <c r="M916" s="1">
        <v>8</v>
      </c>
      <c r="N916" s="1" t="s">
        <v>40</v>
      </c>
      <c r="O916" s="1">
        <v>4</v>
      </c>
      <c r="P916" s="1">
        <v>4</v>
      </c>
      <c r="Q916" s="1">
        <v>2</v>
      </c>
      <c r="R916" s="1">
        <v>13577</v>
      </c>
      <c r="S916" s="1">
        <v>34</v>
      </c>
      <c r="T916" s="1">
        <v>3</v>
      </c>
      <c r="U916" s="1">
        <v>33</v>
      </c>
      <c r="V916" s="1">
        <v>9</v>
      </c>
      <c r="W916" s="1">
        <v>15</v>
      </c>
      <c r="X916" s="1">
        <v>0</v>
      </c>
    </row>
    <row r="917" spans="1:24">
      <c r="A917" s="1">
        <v>916</v>
      </c>
      <c r="B917" s="1" t="s">
        <v>24</v>
      </c>
      <c r="C917" s="1" t="s">
        <v>34</v>
      </c>
      <c r="D917" s="1" t="s">
        <v>52</v>
      </c>
      <c r="E917" s="1" t="s">
        <v>36</v>
      </c>
      <c r="F917" s="1" t="s">
        <v>28</v>
      </c>
      <c r="G917" s="1">
        <v>1</v>
      </c>
      <c r="H917" s="1" t="s">
        <v>29</v>
      </c>
      <c r="I917" s="1" t="s">
        <v>42</v>
      </c>
      <c r="J917" s="1" t="s">
        <v>31</v>
      </c>
      <c r="K917" s="1" t="s">
        <v>33</v>
      </c>
      <c r="L917" s="1">
        <v>21</v>
      </c>
      <c r="M917" s="1">
        <v>10</v>
      </c>
      <c r="N917" s="1" t="s">
        <v>32</v>
      </c>
      <c r="O917" s="1">
        <v>1</v>
      </c>
      <c r="P917" s="1">
        <v>1</v>
      </c>
      <c r="Q917" s="1">
        <v>3</v>
      </c>
      <c r="R917" s="1">
        <v>2625</v>
      </c>
      <c r="S917" s="1">
        <v>2</v>
      </c>
      <c r="T917" s="1">
        <v>1</v>
      </c>
      <c r="U917" s="1">
        <v>2</v>
      </c>
      <c r="V917" s="1">
        <v>2</v>
      </c>
      <c r="W917" s="1">
        <v>2</v>
      </c>
      <c r="X917" s="1">
        <v>2</v>
      </c>
    </row>
    <row r="918" spans="1:24">
      <c r="A918" s="1">
        <v>917</v>
      </c>
      <c r="B918" s="1" t="s">
        <v>33</v>
      </c>
      <c r="C918" s="1" t="s">
        <v>25</v>
      </c>
      <c r="D918" s="1" t="s">
        <v>35</v>
      </c>
      <c r="E918" s="1" t="s">
        <v>27</v>
      </c>
      <c r="F918" s="1" t="s">
        <v>56</v>
      </c>
      <c r="G918" s="1">
        <v>1</v>
      </c>
      <c r="H918" s="1" t="s">
        <v>29</v>
      </c>
      <c r="I918" s="1" t="s">
        <v>53</v>
      </c>
      <c r="J918" s="1" t="s">
        <v>39</v>
      </c>
      <c r="K918" s="1" t="s">
        <v>33</v>
      </c>
      <c r="L918" s="1">
        <v>46</v>
      </c>
      <c r="M918" s="1">
        <v>4</v>
      </c>
      <c r="N918" s="1" t="s">
        <v>32</v>
      </c>
      <c r="O918" s="1">
        <v>4</v>
      </c>
      <c r="P918" s="1">
        <v>5</v>
      </c>
      <c r="Q918" s="1">
        <v>2</v>
      </c>
      <c r="R918" s="1">
        <v>18789</v>
      </c>
      <c r="S918" s="1">
        <v>26</v>
      </c>
      <c r="T918" s="1">
        <v>3</v>
      </c>
      <c r="U918" s="1">
        <v>11</v>
      </c>
      <c r="V918" s="1">
        <v>4</v>
      </c>
      <c r="W918" s="1">
        <v>0</v>
      </c>
      <c r="X918" s="1">
        <v>8</v>
      </c>
    </row>
    <row r="919" spans="1:24">
      <c r="A919" s="1">
        <v>918</v>
      </c>
      <c r="B919" s="1" t="s">
        <v>33</v>
      </c>
      <c r="C919" s="1" t="s">
        <v>25</v>
      </c>
      <c r="D919" s="1" t="s">
        <v>43</v>
      </c>
      <c r="E919" s="1" t="s">
        <v>27</v>
      </c>
      <c r="F919" s="1" t="s">
        <v>56</v>
      </c>
      <c r="G919" s="1">
        <v>1</v>
      </c>
      <c r="H919" s="1" t="s">
        <v>29</v>
      </c>
      <c r="I919" s="1" t="s">
        <v>30</v>
      </c>
      <c r="J919" s="1" t="s">
        <v>31</v>
      </c>
      <c r="K919" s="1" t="s">
        <v>24</v>
      </c>
      <c r="L919" s="1">
        <v>34</v>
      </c>
      <c r="M919" s="1">
        <v>2</v>
      </c>
      <c r="N919" s="1" t="s">
        <v>47</v>
      </c>
      <c r="O919" s="1">
        <v>3</v>
      </c>
      <c r="P919" s="1">
        <v>2</v>
      </c>
      <c r="Q919" s="1">
        <v>1</v>
      </c>
      <c r="R919" s="1">
        <v>4538</v>
      </c>
      <c r="S919" s="1">
        <v>4</v>
      </c>
      <c r="T919" s="1">
        <v>3</v>
      </c>
      <c r="U919" s="1">
        <v>3</v>
      </c>
      <c r="V919" s="1">
        <v>2</v>
      </c>
      <c r="W919" s="1">
        <v>0</v>
      </c>
      <c r="X919" s="1">
        <v>2</v>
      </c>
    </row>
    <row r="920" spans="1:24">
      <c r="A920" s="1">
        <v>919</v>
      </c>
      <c r="B920" s="1" t="s">
        <v>33</v>
      </c>
      <c r="C920" s="1" t="s">
        <v>34</v>
      </c>
      <c r="D920" s="1" t="s">
        <v>35</v>
      </c>
      <c r="E920" s="1" t="s">
        <v>27</v>
      </c>
      <c r="F920" s="1" t="s">
        <v>28</v>
      </c>
      <c r="G920" s="1">
        <v>1</v>
      </c>
      <c r="H920" s="1" t="s">
        <v>37</v>
      </c>
      <c r="I920" s="1" t="s">
        <v>53</v>
      </c>
      <c r="J920" s="1" t="s">
        <v>48</v>
      </c>
      <c r="K920" s="1" t="s">
        <v>24</v>
      </c>
      <c r="L920" s="1">
        <v>51</v>
      </c>
      <c r="M920" s="1">
        <v>9</v>
      </c>
      <c r="N920" s="1" t="s">
        <v>47</v>
      </c>
      <c r="O920" s="1">
        <v>4</v>
      </c>
      <c r="P920" s="1">
        <v>5</v>
      </c>
      <c r="Q920" s="1">
        <v>2</v>
      </c>
      <c r="R920" s="1">
        <v>19847</v>
      </c>
      <c r="S920" s="1">
        <v>31</v>
      </c>
      <c r="T920" s="1">
        <v>2</v>
      </c>
      <c r="U920" s="1">
        <v>29</v>
      </c>
      <c r="V920" s="1">
        <v>10</v>
      </c>
      <c r="W920" s="1">
        <v>11</v>
      </c>
      <c r="X920" s="1">
        <v>10</v>
      </c>
    </row>
    <row r="921" spans="1:24">
      <c r="A921" s="1">
        <v>920</v>
      </c>
      <c r="B921" s="1" t="s">
        <v>33</v>
      </c>
      <c r="C921" s="1" t="s">
        <v>25</v>
      </c>
      <c r="D921" s="1" t="s">
        <v>46</v>
      </c>
      <c r="E921" s="1" t="s">
        <v>36</v>
      </c>
      <c r="F921" s="1" t="s">
        <v>45</v>
      </c>
      <c r="G921" s="1">
        <v>1</v>
      </c>
      <c r="H921" s="1" t="s">
        <v>37</v>
      </c>
      <c r="I921" s="1" t="s">
        <v>49</v>
      </c>
      <c r="J921" s="1" t="s">
        <v>31</v>
      </c>
      <c r="K921" s="1" t="s">
        <v>33</v>
      </c>
      <c r="L921" s="1">
        <v>59</v>
      </c>
      <c r="M921" s="1">
        <v>18</v>
      </c>
      <c r="N921" s="1" t="s">
        <v>44</v>
      </c>
      <c r="O921" s="1">
        <v>4</v>
      </c>
      <c r="P921" s="1">
        <v>3</v>
      </c>
      <c r="Q921" s="1">
        <v>4</v>
      </c>
      <c r="R921" s="1">
        <v>10512</v>
      </c>
      <c r="S921" s="1">
        <v>25</v>
      </c>
      <c r="T921" s="1">
        <v>2</v>
      </c>
      <c r="U921" s="1">
        <v>9</v>
      </c>
      <c r="V921" s="1">
        <v>7</v>
      </c>
      <c r="W921" s="1">
        <v>5</v>
      </c>
      <c r="X921" s="1">
        <v>4</v>
      </c>
    </row>
    <row r="922" spans="1:24">
      <c r="A922" s="1">
        <v>921</v>
      </c>
      <c r="B922" s="1" t="s">
        <v>33</v>
      </c>
      <c r="C922" s="1" t="s">
        <v>34</v>
      </c>
      <c r="D922" s="1" t="s">
        <v>43</v>
      </c>
      <c r="E922" s="1" t="s">
        <v>36</v>
      </c>
      <c r="F922" s="1" t="s">
        <v>45</v>
      </c>
      <c r="G922" s="1">
        <v>1</v>
      </c>
      <c r="H922" s="1" t="s">
        <v>29</v>
      </c>
      <c r="I922" s="1" t="s">
        <v>42</v>
      </c>
      <c r="J922" s="1" t="s">
        <v>48</v>
      </c>
      <c r="K922" s="1" t="s">
        <v>33</v>
      </c>
      <c r="L922" s="1">
        <v>34</v>
      </c>
      <c r="M922" s="1">
        <v>19</v>
      </c>
      <c r="N922" s="1" t="s">
        <v>47</v>
      </c>
      <c r="O922" s="1">
        <v>3</v>
      </c>
      <c r="P922" s="1">
        <v>2</v>
      </c>
      <c r="Q922" s="1">
        <v>2</v>
      </c>
      <c r="R922" s="1">
        <v>4444</v>
      </c>
      <c r="S922" s="1">
        <v>15</v>
      </c>
      <c r="T922" s="1">
        <v>4</v>
      </c>
      <c r="U922" s="1">
        <v>11</v>
      </c>
      <c r="V922" s="1">
        <v>8</v>
      </c>
      <c r="W922" s="1">
        <v>5</v>
      </c>
      <c r="X922" s="1">
        <v>10</v>
      </c>
    </row>
    <row r="923" spans="1:24">
      <c r="A923" s="1">
        <v>922</v>
      </c>
      <c r="B923" s="1" t="s">
        <v>33</v>
      </c>
      <c r="C923" s="1" t="s">
        <v>34</v>
      </c>
      <c r="D923" s="1" t="s">
        <v>43</v>
      </c>
      <c r="E923" s="1" t="s">
        <v>36</v>
      </c>
      <c r="F923" s="1" t="s">
        <v>45</v>
      </c>
      <c r="G923" s="1">
        <v>1</v>
      </c>
      <c r="H923" s="1" t="s">
        <v>37</v>
      </c>
      <c r="I923" s="1" t="s">
        <v>42</v>
      </c>
      <c r="J923" s="1" t="s">
        <v>31</v>
      </c>
      <c r="K923" s="1" t="s">
        <v>24</v>
      </c>
      <c r="L923" s="1">
        <v>28</v>
      </c>
      <c r="M923" s="1">
        <v>1</v>
      </c>
      <c r="N923" s="1" t="s">
        <v>44</v>
      </c>
      <c r="O923" s="1">
        <v>4</v>
      </c>
      <c r="P923" s="1">
        <v>1</v>
      </c>
      <c r="Q923" s="1">
        <v>3</v>
      </c>
      <c r="R923" s="1">
        <v>2154</v>
      </c>
      <c r="S923" s="1">
        <v>5</v>
      </c>
      <c r="T923" s="1">
        <v>2</v>
      </c>
      <c r="U923" s="1">
        <v>4</v>
      </c>
      <c r="V923" s="1">
        <v>2</v>
      </c>
      <c r="W923" s="1">
        <v>0</v>
      </c>
      <c r="X923" s="1">
        <v>2</v>
      </c>
    </row>
    <row r="924" spans="1:24">
      <c r="A924" s="1">
        <v>923</v>
      </c>
      <c r="B924" s="1" t="s">
        <v>33</v>
      </c>
      <c r="C924" s="1" t="s">
        <v>25</v>
      </c>
      <c r="D924" s="1" t="s">
        <v>26</v>
      </c>
      <c r="E924" s="1" t="s">
        <v>36</v>
      </c>
      <c r="F924" s="1" t="s">
        <v>28</v>
      </c>
      <c r="G924" s="1">
        <v>1</v>
      </c>
      <c r="H924" s="1" t="s">
        <v>37</v>
      </c>
      <c r="I924" s="1" t="s">
        <v>53</v>
      </c>
      <c r="J924" s="1" t="s">
        <v>48</v>
      </c>
      <c r="K924" s="1" t="s">
        <v>33</v>
      </c>
      <c r="L924" s="1">
        <v>44</v>
      </c>
      <c r="M924" s="1">
        <v>4</v>
      </c>
      <c r="N924" s="1" t="s">
        <v>32</v>
      </c>
      <c r="O924" s="1">
        <v>3</v>
      </c>
      <c r="P924" s="1">
        <v>5</v>
      </c>
      <c r="Q924" s="1">
        <v>1</v>
      </c>
      <c r="R924" s="1">
        <v>19190</v>
      </c>
      <c r="S924" s="1">
        <v>26</v>
      </c>
      <c r="T924" s="1">
        <v>2</v>
      </c>
      <c r="U924" s="1">
        <v>25</v>
      </c>
      <c r="V924" s="1">
        <v>9</v>
      </c>
      <c r="W924" s="1">
        <v>14</v>
      </c>
      <c r="X924" s="1">
        <v>13</v>
      </c>
    </row>
    <row r="925" spans="1:24">
      <c r="A925" s="1">
        <v>924</v>
      </c>
      <c r="B925" s="1" t="s">
        <v>33</v>
      </c>
      <c r="C925" s="1" t="s">
        <v>34</v>
      </c>
      <c r="D925" s="1" t="s">
        <v>43</v>
      </c>
      <c r="E925" s="1" t="s">
        <v>59</v>
      </c>
      <c r="F925" s="1" t="s">
        <v>28</v>
      </c>
      <c r="G925" s="1">
        <v>1</v>
      </c>
      <c r="H925" s="1" t="s">
        <v>37</v>
      </c>
      <c r="I925" s="1" t="s">
        <v>60</v>
      </c>
      <c r="J925" s="1" t="s">
        <v>39</v>
      </c>
      <c r="K925" s="1" t="s">
        <v>33</v>
      </c>
      <c r="L925" s="1">
        <v>34</v>
      </c>
      <c r="M925" s="1">
        <v>11</v>
      </c>
      <c r="N925" s="1" t="s">
        <v>47</v>
      </c>
      <c r="O925" s="1">
        <v>3</v>
      </c>
      <c r="P925" s="1">
        <v>2</v>
      </c>
      <c r="Q925" s="1">
        <v>2</v>
      </c>
      <c r="R925" s="1">
        <v>4490</v>
      </c>
      <c r="S925" s="1">
        <v>14</v>
      </c>
      <c r="T925" s="1">
        <v>4</v>
      </c>
      <c r="U925" s="1">
        <v>10</v>
      </c>
      <c r="V925" s="1">
        <v>9</v>
      </c>
      <c r="W925" s="1">
        <v>1</v>
      </c>
      <c r="X925" s="1">
        <v>8</v>
      </c>
    </row>
    <row r="926" spans="1:24">
      <c r="A926" s="1">
        <v>925</v>
      </c>
      <c r="B926" s="1" t="s">
        <v>33</v>
      </c>
      <c r="C926" s="1" t="s">
        <v>25</v>
      </c>
      <c r="D926" s="1" t="s">
        <v>26</v>
      </c>
      <c r="E926" s="1" t="s">
        <v>36</v>
      </c>
      <c r="F926" s="1" t="s">
        <v>28</v>
      </c>
      <c r="G926" s="1">
        <v>1</v>
      </c>
      <c r="H926" s="1" t="s">
        <v>37</v>
      </c>
      <c r="I926" s="1" t="s">
        <v>38</v>
      </c>
      <c r="J926" s="1" t="s">
        <v>39</v>
      </c>
      <c r="K926" s="1" t="s">
        <v>24</v>
      </c>
      <c r="L926" s="1">
        <v>35</v>
      </c>
      <c r="M926" s="1">
        <v>6</v>
      </c>
      <c r="N926" s="1" t="s">
        <v>40</v>
      </c>
      <c r="O926" s="1">
        <v>3</v>
      </c>
      <c r="P926" s="1">
        <v>1</v>
      </c>
      <c r="Q926" s="1">
        <v>3</v>
      </c>
      <c r="R926" s="1">
        <v>3506</v>
      </c>
      <c r="S926" s="1">
        <v>4</v>
      </c>
      <c r="T926" s="1">
        <v>3</v>
      </c>
      <c r="U926" s="1">
        <v>3</v>
      </c>
      <c r="V926" s="1">
        <v>2</v>
      </c>
      <c r="W926" s="1">
        <v>2</v>
      </c>
      <c r="X926" s="1">
        <v>2</v>
      </c>
    </row>
    <row r="927" spans="1:24">
      <c r="A927" s="1">
        <v>926</v>
      </c>
      <c r="B927" s="1" t="s">
        <v>33</v>
      </c>
      <c r="C927" s="1" t="s">
        <v>25</v>
      </c>
      <c r="D927" s="1" t="s">
        <v>26</v>
      </c>
      <c r="E927" s="1" t="s">
        <v>36</v>
      </c>
      <c r="F927" s="1" t="s">
        <v>45</v>
      </c>
      <c r="G927" s="1">
        <v>1</v>
      </c>
      <c r="H927" s="1" t="s">
        <v>29</v>
      </c>
      <c r="I927" s="1" t="s">
        <v>38</v>
      </c>
      <c r="J927" s="1" t="s">
        <v>39</v>
      </c>
      <c r="K927" s="1" t="s">
        <v>24</v>
      </c>
      <c r="L927" s="1">
        <v>42</v>
      </c>
      <c r="M927" s="1">
        <v>7</v>
      </c>
      <c r="N927" s="1" t="s">
        <v>44</v>
      </c>
      <c r="O927" s="1">
        <v>2</v>
      </c>
      <c r="P927" s="1">
        <v>2</v>
      </c>
      <c r="Q927" s="1">
        <v>2</v>
      </c>
      <c r="R927" s="1">
        <v>2372</v>
      </c>
      <c r="S927" s="1">
        <v>18</v>
      </c>
      <c r="T927" s="1">
        <v>3</v>
      </c>
      <c r="U927" s="1">
        <v>1</v>
      </c>
      <c r="V927" s="1">
        <v>0</v>
      </c>
      <c r="W927" s="1">
        <v>0</v>
      </c>
      <c r="X927" s="1">
        <v>0</v>
      </c>
    </row>
    <row r="928" spans="1:24">
      <c r="A928" s="1">
        <v>927</v>
      </c>
      <c r="B928" s="1" t="s">
        <v>33</v>
      </c>
      <c r="C928" s="1" t="s">
        <v>25</v>
      </c>
      <c r="D928" s="1" t="s">
        <v>26</v>
      </c>
      <c r="E928" s="1" t="s">
        <v>27</v>
      </c>
      <c r="F928" s="1" t="s">
        <v>56</v>
      </c>
      <c r="G928" s="1">
        <v>1</v>
      </c>
      <c r="H928" s="1" t="s">
        <v>29</v>
      </c>
      <c r="I928" s="1" t="s">
        <v>30</v>
      </c>
      <c r="J928" s="1" t="s">
        <v>31</v>
      </c>
      <c r="K928" s="1" t="s">
        <v>33</v>
      </c>
      <c r="L928" s="1">
        <v>43</v>
      </c>
      <c r="M928" s="1">
        <v>4</v>
      </c>
      <c r="N928" s="1" t="s">
        <v>44</v>
      </c>
      <c r="O928" s="1">
        <v>4</v>
      </c>
      <c r="P928" s="1">
        <v>3</v>
      </c>
      <c r="Q928" s="1">
        <v>4</v>
      </c>
      <c r="R928" s="1">
        <v>10231</v>
      </c>
      <c r="S928" s="1">
        <v>23</v>
      </c>
      <c r="T928" s="1">
        <v>4</v>
      </c>
      <c r="U928" s="1">
        <v>21</v>
      </c>
      <c r="V928" s="1">
        <v>7</v>
      </c>
      <c r="W928" s="1">
        <v>15</v>
      </c>
      <c r="X928" s="1">
        <v>17</v>
      </c>
    </row>
    <row r="929" spans="1:24">
      <c r="A929" s="1">
        <v>928</v>
      </c>
      <c r="B929" s="1" t="s">
        <v>33</v>
      </c>
      <c r="C929" s="1" t="s">
        <v>25</v>
      </c>
      <c r="D929" s="1" t="s">
        <v>26</v>
      </c>
      <c r="E929" s="1" t="s">
        <v>36</v>
      </c>
      <c r="F929" s="1" t="s">
        <v>28</v>
      </c>
      <c r="G929" s="1">
        <v>1</v>
      </c>
      <c r="H929" s="1" t="s">
        <v>29</v>
      </c>
      <c r="I929" s="1" t="s">
        <v>49</v>
      </c>
      <c r="J929" s="1" t="s">
        <v>31</v>
      </c>
      <c r="K929" s="1" t="s">
        <v>24</v>
      </c>
      <c r="L929" s="1">
        <v>36</v>
      </c>
      <c r="M929" s="1">
        <v>2</v>
      </c>
      <c r="N929" s="1" t="s">
        <v>44</v>
      </c>
      <c r="O929" s="1">
        <v>3</v>
      </c>
      <c r="P929" s="1">
        <v>2</v>
      </c>
      <c r="Q929" s="1">
        <v>2</v>
      </c>
      <c r="R929" s="1">
        <v>5410</v>
      </c>
      <c r="S929" s="1">
        <v>18</v>
      </c>
      <c r="T929" s="1">
        <v>3</v>
      </c>
      <c r="U929" s="1">
        <v>16</v>
      </c>
      <c r="V929" s="1">
        <v>14</v>
      </c>
      <c r="W929" s="1">
        <v>5</v>
      </c>
      <c r="X929" s="1">
        <v>12</v>
      </c>
    </row>
    <row r="930" spans="1:24">
      <c r="A930" s="1">
        <v>929</v>
      </c>
      <c r="B930" s="1" t="s">
        <v>24</v>
      </c>
      <c r="C930" s="1" t="s">
        <v>25</v>
      </c>
      <c r="D930" s="1" t="s">
        <v>26</v>
      </c>
      <c r="E930" s="1" t="s">
        <v>36</v>
      </c>
      <c r="F930" s="1" t="s">
        <v>45</v>
      </c>
      <c r="G930" s="1">
        <v>1</v>
      </c>
      <c r="H930" s="1" t="s">
        <v>29</v>
      </c>
      <c r="I930" s="1" t="s">
        <v>50</v>
      </c>
      <c r="J930" s="1" t="s">
        <v>39</v>
      </c>
      <c r="K930" s="1" t="s">
        <v>33</v>
      </c>
      <c r="L930" s="1">
        <v>44</v>
      </c>
      <c r="M930" s="1">
        <v>15</v>
      </c>
      <c r="N930" s="1" t="s">
        <v>47</v>
      </c>
      <c r="O930" s="1">
        <v>1</v>
      </c>
      <c r="P930" s="1">
        <v>3</v>
      </c>
      <c r="Q930" s="1">
        <v>4</v>
      </c>
      <c r="R930" s="1">
        <v>7978</v>
      </c>
      <c r="S930" s="1">
        <v>10</v>
      </c>
      <c r="T930" s="1">
        <v>3</v>
      </c>
      <c r="U930" s="1">
        <v>10</v>
      </c>
      <c r="V930" s="1">
        <v>7</v>
      </c>
      <c r="W930" s="1">
        <v>0</v>
      </c>
      <c r="X930" s="1">
        <v>5</v>
      </c>
    </row>
    <row r="931" spans="1:24">
      <c r="A931" s="1">
        <v>930</v>
      </c>
      <c r="B931" s="1" t="s">
        <v>33</v>
      </c>
      <c r="C931" s="1" t="s">
        <v>34</v>
      </c>
      <c r="D931" s="1" t="s">
        <v>43</v>
      </c>
      <c r="E931" s="1" t="s">
        <v>36</v>
      </c>
      <c r="F931" s="1" t="s">
        <v>28</v>
      </c>
      <c r="G931" s="1">
        <v>1</v>
      </c>
      <c r="H931" s="1" t="s">
        <v>37</v>
      </c>
      <c r="I931" s="1" t="s">
        <v>42</v>
      </c>
      <c r="J931" s="1" t="s">
        <v>39</v>
      </c>
      <c r="K931" s="1" t="s">
        <v>24</v>
      </c>
      <c r="L931" s="1">
        <v>28</v>
      </c>
      <c r="M931" s="1">
        <v>2</v>
      </c>
      <c r="N931" s="1" t="s">
        <v>47</v>
      </c>
      <c r="O931" s="1">
        <v>4</v>
      </c>
      <c r="P931" s="1">
        <v>1</v>
      </c>
      <c r="Q931" s="1">
        <v>4</v>
      </c>
      <c r="R931" s="1">
        <v>3867</v>
      </c>
      <c r="S931" s="1">
        <v>2</v>
      </c>
      <c r="T931" s="1">
        <v>3</v>
      </c>
      <c r="U931" s="1">
        <v>2</v>
      </c>
      <c r="V931" s="1">
        <v>2</v>
      </c>
      <c r="W931" s="1">
        <v>2</v>
      </c>
      <c r="X931" s="1">
        <v>2</v>
      </c>
    </row>
    <row r="932" spans="1:24">
      <c r="A932" s="1">
        <v>931</v>
      </c>
      <c r="B932" s="1" t="s">
        <v>33</v>
      </c>
      <c r="C932" s="1" t="s">
        <v>34</v>
      </c>
      <c r="D932" s="1" t="s">
        <v>35</v>
      </c>
      <c r="E932" s="1" t="s">
        <v>36</v>
      </c>
      <c r="F932" s="1" t="s">
        <v>45</v>
      </c>
      <c r="G932" s="1">
        <v>1</v>
      </c>
      <c r="H932" s="1" t="s">
        <v>29</v>
      </c>
      <c r="I932" s="1" t="s">
        <v>42</v>
      </c>
      <c r="J932" s="1" t="s">
        <v>31</v>
      </c>
      <c r="K932" s="1" t="s">
        <v>33</v>
      </c>
      <c r="L932" s="1">
        <v>51</v>
      </c>
      <c r="M932" s="1">
        <v>6</v>
      </c>
      <c r="N932" s="1" t="s">
        <v>32</v>
      </c>
      <c r="O932" s="1">
        <v>2</v>
      </c>
      <c r="P932" s="1">
        <v>1</v>
      </c>
      <c r="Q932" s="1">
        <v>3</v>
      </c>
      <c r="R932" s="1">
        <v>2838</v>
      </c>
      <c r="S932" s="1">
        <v>8</v>
      </c>
      <c r="T932" s="1">
        <v>2</v>
      </c>
      <c r="U932" s="1">
        <v>7</v>
      </c>
      <c r="V932" s="1">
        <v>0</v>
      </c>
      <c r="W932" s="1">
        <v>7</v>
      </c>
      <c r="X932" s="1">
        <v>7</v>
      </c>
    </row>
    <row r="933" spans="1:24">
      <c r="A933" s="1">
        <v>932</v>
      </c>
      <c r="B933" s="1" t="s">
        <v>33</v>
      </c>
      <c r="C933" s="1" t="s">
        <v>51</v>
      </c>
      <c r="D933" s="1" t="s">
        <v>43</v>
      </c>
      <c r="E933" s="1" t="s">
        <v>36</v>
      </c>
      <c r="F933" s="1" t="s">
        <v>45</v>
      </c>
      <c r="G933" s="1">
        <v>1</v>
      </c>
      <c r="H933" s="1" t="s">
        <v>29</v>
      </c>
      <c r="I933" s="1" t="s">
        <v>49</v>
      </c>
      <c r="J933" s="1" t="s">
        <v>31</v>
      </c>
      <c r="K933" s="1" t="s">
        <v>24</v>
      </c>
      <c r="L933" s="1">
        <v>30</v>
      </c>
      <c r="M933" s="1">
        <v>9</v>
      </c>
      <c r="N933" s="1" t="s">
        <v>32</v>
      </c>
      <c r="O933" s="1">
        <v>3</v>
      </c>
      <c r="P933" s="1">
        <v>2</v>
      </c>
      <c r="Q933" s="1">
        <v>3</v>
      </c>
      <c r="R933" s="1">
        <v>4695</v>
      </c>
      <c r="S933" s="1">
        <v>10</v>
      </c>
      <c r="T933" s="1">
        <v>3</v>
      </c>
      <c r="U933" s="1">
        <v>8</v>
      </c>
      <c r="V933" s="1">
        <v>4</v>
      </c>
      <c r="W933" s="1">
        <v>1</v>
      </c>
      <c r="X933" s="1">
        <v>7</v>
      </c>
    </row>
    <row r="934" spans="1:24">
      <c r="A934" s="1">
        <v>933</v>
      </c>
      <c r="B934" s="1" t="s">
        <v>24</v>
      </c>
      <c r="C934" s="1" t="s">
        <v>25</v>
      </c>
      <c r="D934" s="1" t="s">
        <v>43</v>
      </c>
      <c r="E934" s="1" t="s">
        <v>36</v>
      </c>
      <c r="F934" s="1" t="s">
        <v>57</v>
      </c>
      <c r="G934" s="1">
        <v>1</v>
      </c>
      <c r="H934" s="1" t="s">
        <v>29</v>
      </c>
      <c r="I934" s="1" t="s">
        <v>42</v>
      </c>
      <c r="J934" s="1" t="s">
        <v>48</v>
      </c>
      <c r="K934" s="1" t="s">
        <v>24</v>
      </c>
      <c r="L934" s="1">
        <v>29</v>
      </c>
      <c r="M934" s="1">
        <v>7</v>
      </c>
      <c r="N934" s="1" t="s">
        <v>47</v>
      </c>
      <c r="O934" s="1">
        <v>2</v>
      </c>
      <c r="P934" s="1">
        <v>1</v>
      </c>
      <c r="Q934" s="1">
        <v>3</v>
      </c>
      <c r="R934" s="1">
        <v>3339</v>
      </c>
      <c r="S934" s="1">
        <v>10</v>
      </c>
      <c r="T934" s="1">
        <v>3</v>
      </c>
      <c r="U934" s="1">
        <v>7</v>
      </c>
      <c r="V934" s="1">
        <v>7</v>
      </c>
      <c r="W934" s="1">
        <v>7</v>
      </c>
      <c r="X934" s="1">
        <v>7</v>
      </c>
    </row>
    <row r="935" spans="1:24">
      <c r="A935" s="1">
        <v>934</v>
      </c>
      <c r="B935" s="1" t="s">
        <v>33</v>
      </c>
      <c r="C935" s="1" t="s">
        <v>25</v>
      </c>
      <c r="D935" s="1" t="s">
        <v>43</v>
      </c>
      <c r="E935" s="1" t="s">
        <v>36</v>
      </c>
      <c r="F935" s="1" t="s">
        <v>57</v>
      </c>
      <c r="G935" s="1">
        <v>1</v>
      </c>
      <c r="H935" s="1" t="s">
        <v>37</v>
      </c>
      <c r="I935" s="1" t="s">
        <v>38</v>
      </c>
      <c r="J935" s="1" t="s">
        <v>31</v>
      </c>
      <c r="K935" s="1" t="s">
        <v>33</v>
      </c>
      <c r="L935" s="1">
        <v>28</v>
      </c>
      <c r="M935" s="1">
        <v>1</v>
      </c>
      <c r="N935" s="1" t="s">
        <v>47</v>
      </c>
      <c r="O935" s="1">
        <v>4</v>
      </c>
      <c r="P935" s="1">
        <v>1</v>
      </c>
      <c r="Q935" s="1">
        <v>1</v>
      </c>
      <c r="R935" s="1">
        <v>2080</v>
      </c>
      <c r="S935" s="1">
        <v>5</v>
      </c>
      <c r="T935" s="1">
        <v>2</v>
      </c>
      <c r="U935" s="1">
        <v>3</v>
      </c>
      <c r="V935" s="1">
        <v>2</v>
      </c>
      <c r="W935" s="1">
        <v>1</v>
      </c>
      <c r="X935" s="1">
        <v>2</v>
      </c>
    </row>
    <row r="936" spans="1:24">
      <c r="A936" s="1">
        <v>935</v>
      </c>
      <c r="B936" s="1" t="s">
        <v>33</v>
      </c>
      <c r="C936" s="1" t="s">
        <v>25</v>
      </c>
      <c r="D936" s="1" t="s">
        <v>43</v>
      </c>
      <c r="E936" s="1" t="s">
        <v>36</v>
      </c>
      <c r="F936" s="1" t="s">
        <v>45</v>
      </c>
      <c r="G936" s="1">
        <v>1</v>
      </c>
      <c r="H936" s="1" t="s">
        <v>29</v>
      </c>
      <c r="I936" s="1" t="s">
        <v>38</v>
      </c>
      <c r="J936" s="1" t="s">
        <v>31</v>
      </c>
      <c r="K936" s="1" t="s">
        <v>33</v>
      </c>
      <c r="L936" s="1">
        <v>25</v>
      </c>
      <c r="M936" s="1">
        <v>1</v>
      </c>
      <c r="N936" s="1" t="s">
        <v>47</v>
      </c>
      <c r="O936" s="1">
        <v>4</v>
      </c>
      <c r="P936" s="1">
        <v>1</v>
      </c>
      <c r="Q936" s="1">
        <v>2</v>
      </c>
      <c r="R936" s="1">
        <v>2096</v>
      </c>
      <c r="S936" s="1">
        <v>2</v>
      </c>
      <c r="T936" s="1">
        <v>2</v>
      </c>
      <c r="U936" s="1">
        <v>2</v>
      </c>
      <c r="V936" s="1">
        <v>2</v>
      </c>
      <c r="W936" s="1">
        <v>2</v>
      </c>
      <c r="X936" s="1">
        <v>1</v>
      </c>
    </row>
    <row r="937" spans="1:24">
      <c r="A937" s="1">
        <v>936</v>
      </c>
      <c r="B937" s="1" t="s">
        <v>33</v>
      </c>
      <c r="C937" s="1" t="s">
        <v>25</v>
      </c>
      <c r="D937" s="1" t="s">
        <v>43</v>
      </c>
      <c r="E937" s="1" t="s">
        <v>27</v>
      </c>
      <c r="F937" s="1" t="s">
        <v>45</v>
      </c>
      <c r="G937" s="1">
        <v>1</v>
      </c>
      <c r="H937" s="1" t="s">
        <v>37</v>
      </c>
      <c r="I937" s="1" t="s">
        <v>30</v>
      </c>
      <c r="J937" s="1" t="s">
        <v>39</v>
      </c>
      <c r="K937" s="1" t="s">
        <v>33</v>
      </c>
      <c r="L937" s="1">
        <v>32</v>
      </c>
      <c r="M937" s="1">
        <v>8</v>
      </c>
      <c r="N937" s="1" t="s">
        <v>47</v>
      </c>
      <c r="O937" s="1">
        <v>3</v>
      </c>
      <c r="P937" s="1">
        <v>2</v>
      </c>
      <c r="Q937" s="1">
        <v>4</v>
      </c>
      <c r="R937" s="1">
        <v>6209</v>
      </c>
      <c r="S937" s="1">
        <v>10</v>
      </c>
      <c r="T937" s="1">
        <v>4</v>
      </c>
      <c r="U937" s="1">
        <v>10</v>
      </c>
      <c r="V937" s="1">
        <v>7</v>
      </c>
      <c r="W937" s="1">
        <v>0</v>
      </c>
      <c r="X937" s="1">
        <v>8</v>
      </c>
    </row>
    <row r="938" spans="1:24">
      <c r="A938" s="1">
        <v>937</v>
      </c>
      <c r="B938" s="1" t="s">
        <v>33</v>
      </c>
      <c r="C938" s="1" t="s">
        <v>34</v>
      </c>
      <c r="D938" s="1" t="s">
        <v>35</v>
      </c>
      <c r="E938" s="1" t="s">
        <v>36</v>
      </c>
      <c r="F938" s="1" t="s">
        <v>45</v>
      </c>
      <c r="G938" s="1">
        <v>1</v>
      </c>
      <c r="H938" s="1" t="s">
        <v>29</v>
      </c>
      <c r="I938" s="1" t="s">
        <v>53</v>
      </c>
      <c r="J938" s="1" t="s">
        <v>31</v>
      </c>
      <c r="K938" s="1" t="s">
        <v>33</v>
      </c>
      <c r="L938" s="1">
        <v>45</v>
      </c>
      <c r="M938" s="1">
        <v>25</v>
      </c>
      <c r="N938" s="1" t="s">
        <v>47</v>
      </c>
      <c r="O938" s="1">
        <v>2</v>
      </c>
      <c r="P938" s="1">
        <v>5</v>
      </c>
      <c r="Q938" s="1">
        <v>2</v>
      </c>
      <c r="R938" s="1">
        <v>18061</v>
      </c>
      <c r="S938" s="1">
        <v>22</v>
      </c>
      <c r="T938" s="1">
        <v>3</v>
      </c>
      <c r="U938" s="1">
        <v>0</v>
      </c>
      <c r="V938" s="1">
        <v>0</v>
      </c>
      <c r="W938" s="1">
        <v>0</v>
      </c>
      <c r="X938" s="1">
        <v>0</v>
      </c>
    </row>
    <row r="939" spans="1:24">
      <c r="A939" s="1">
        <v>938</v>
      </c>
      <c r="B939" s="1" t="s">
        <v>33</v>
      </c>
      <c r="C939" s="1" t="s">
        <v>25</v>
      </c>
      <c r="D939" s="1" t="s">
        <v>26</v>
      </c>
      <c r="E939" s="1" t="s">
        <v>36</v>
      </c>
      <c r="F939" s="1" t="s">
        <v>45</v>
      </c>
      <c r="G939" s="1">
        <v>1</v>
      </c>
      <c r="H939" s="1" t="s">
        <v>29</v>
      </c>
      <c r="I939" s="1" t="s">
        <v>53</v>
      </c>
      <c r="J939" s="1" t="s">
        <v>48</v>
      </c>
      <c r="K939" s="1" t="s">
        <v>24</v>
      </c>
      <c r="L939" s="1">
        <v>39</v>
      </c>
      <c r="M939" s="1">
        <v>13</v>
      </c>
      <c r="N939" s="1" t="s">
        <v>44</v>
      </c>
      <c r="O939" s="1">
        <v>3</v>
      </c>
      <c r="P939" s="1">
        <v>4</v>
      </c>
      <c r="Q939" s="1">
        <v>2</v>
      </c>
      <c r="R939" s="1">
        <v>17123</v>
      </c>
      <c r="S939" s="1">
        <v>21</v>
      </c>
      <c r="T939" s="1">
        <v>3</v>
      </c>
      <c r="U939" s="1">
        <v>19</v>
      </c>
      <c r="V939" s="1">
        <v>9</v>
      </c>
      <c r="W939" s="1">
        <v>15</v>
      </c>
      <c r="X939" s="1">
        <v>2</v>
      </c>
    </row>
    <row r="940" spans="1:24">
      <c r="A940" s="1">
        <v>939</v>
      </c>
      <c r="B940" s="1" t="s">
        <v>33</v>
      </c>
      <c r="C940" s="1" t="s">
        <v>25</v>
      </c>
      <c r="D940" s="1" t="s">
        <v>46</v>
      </c>
      <c r="E940" s="1" t="s">
        <v>36</v>
      </c>
      <c r="F940" s="1" t="s">
        <v>28</v>
      </c>
      <c r="G940" s="1">
        <v>1</v>
      </c>
      <c r="H940" s="1" t="s">
        <v>37</v>
      </c>
      <c r="I940" s="1" t="s">
        <v>38</v>
      </c>
      <c r="J940" s="1" t="s">
        <v>48</v>
      </c>
      <c r="K940" s="1" t="s">
        <v>33</v>
      </c>
      <c r="L940" s="1">
        <v>58</v>
      </c>
      <c r="M940" s="1">
        <v>23</v>
      </c>
      <c r="N940" s="1" t="s">
        <v>44</v>
      </c>
      <c r="O940" s="1">
        <v>1</v>
      </c>
      <c r="P940" s="1">
        <v>1</v>
      </c>
      <c r="Q940" s="1">
        <v>3</v>
      </c>
      <c r="R940" s="1">
        <v>2372</v>
      </c>
      <c r="S940" s="1">
        <v>2</v>
      </c>
      <c r="T940" s="1">
        <v>3</v>
      </c>
      <c r="U940" s="1">
        <v>2</v>
      </c>
      <c r="V940" s="1">
        <v>2</v>
      </c>
      <c r="W940" s="1">
        <v>2</v>
      </c>
      <c r="X940" s="1">
        <v>2</v>
      </c>
    </row>
    <row r="941" spans="1:24">
      <c r="A941" s="1">
        <v>940</v>
      </c>
      <c r="B941" s="1" t="s">
        <v>24</v>
      </c>
      <c r="C941" s="1" t="s">
        <v>25</v>
      </c>
      <c r="D941" s="1" t="s">
        <v>43</v>
      </c>
      <c r="E941" s="1" t="s">
        <v>36</v>
      </c>
      <c r="F941" s="1" t="s">
        <v>28</v>
      </c>
      <c r="G941" s="1">
        <v>1</v>
      </c>
      <c r="H941" s="1" t="s">
        <v>37</v>
      </c>
      <c r="I941" s="1" t="s">
        <v>42</v>
      </c>
      <c r="J941" s="1" t="s">
        <v>39</v>
      </c>
      <c r="K941" s="1" t="s">
        <v>33</v>
      </c>
      <c r="L941" s="1">
        <v>32</v>
      </c>
      <c r="M941" s="1">
        <v>7</v>
      </c>
      <c r="N941" s="1" t="s">
        <v>32</v>
      </c>
      <c r="O941" s="1">
        <v>4</v>
      </c>
      <c r="P941" s="1">
        <v>2</v>
      </c>
      <c r="Q941" s="1">
        <v>3</v>
      </c>
      <c r="R941" s="1">
        <v>4883</v>
      </c>
      <c r="S941" s="1">
        <v>10</v>
      </c>
      <c r="T941" s="1">
        <v>3</v>
      </c>
      <c r="U941" s="1">
        <v>10</v>
      </c>
      <c r="V941" s="1">
        <v>4</v>
      </c>
      <c r="W941" s="1">
        <v>1</v>
      </c>
      <c r="X941" s="1">
        <v>1</v>
      </c>
    </row>
    <row r="942" spans="1:24">
      <c r="A942" s="1">
        <v>941</v>
      </c>
      <c r="B942" s="1" t="s">
        <v>24</v>
      </c>
      <c r="C942" s="1" t="s">
        <v>25</v>
      </c>
      <c r="D942" s="1" t="s">
        <v>26</v>
      </c>
      <c r="E942" s="1" t="s">
        <v>36</v>
      </c>
      <c r="F942" s="1" t="s">
        <v>45</v>
      </c>
      <c r="G942" s="1">
        <v>1</v>
      </c>
      <c r="H942" s="1" t="s">
        <v>37</v>
      </c>
      <c r="I942" s="1" t="s">
        <v>38</v>
      </c>
      <c r="J942" s="1" t="s">
        <v>31</v>
      </c>
      <c r="K942" s="1" t="s">
        <v>33</v>
      </c>
      <c r="L942" s="1">
        <v>39</v>
      </c>
      <c r="M942" s="1">
        <v>23</v>
      </c>
      <c r="N942" s="1" t="s">
        <v>47</v>
      </c>
      <c r="O942" s="1">
        <v>3</v>
      </c>
      <c r="P942" s="1">
        <v>1</v>
      </c>
      <c r="Q942" s="1">
        <v>1</v>
      </c>
      <c r="R942" s="1">
        <v>3904</v>
      </c>
      <c r="S942" s="1">
        <v>6</v>
      </c>
      <c r="T942" s="1">
        <v>3</v>
      </c>
      <c r="U942" s="1">
        <v>5</v>
      </c>
      <c r="V942" s="1">
        <v>2</v>
      </c>
      <c r="W942" s="1">
        <v>0</v>
      </c>
      <c r="X942" s="1">
        <v>3</v>
      </c>
    </row>
    <row r="943" spans="1:24">
      <c r="A943" s="1">
        <v>942</v>
      </c>
      <c r="B943" s="1" t="s">
        <v>33</v>
      </c>
      <c r="C943" s="1" t="s">
        <v>25</v>
      </c>
      <c r="D943" s="1" t="s">
        <v>43</v>
      </c>
      <c r="E943" s="1" t="s">
        <v>36</v>
      </c>
      <c r="F943" s="1" t="s">
        <v>57</v>
      </c>
      <c r="G943" s="1">
        <v>1</v>
      </c>
      <c r="H943" s="1" t="s">
        <v>29</v>
      </c>
      <c r="I943" s="1" t="s">
        <v>42</v>
      </c>
      <c r="J943" s="1" t="s">
        <v>39</v>
      </c>
      <c r="K943" s="1" t="s">
        <v>33</v>
      </c>
      <c r="L943" s="1">
        <v>30</v>
      </c>
      <c r="M943" s="1">
        <v>6</v>
      </c>
      <c r="N943" s="1" t="s">
        <v>47</v>
      </c>
      <c r="O943" s="1">
        <v>1</v>
      </c>
      <c r="P943" s="1">
        <v>2</v>
      </c>
      <c r="Q943" s="1">
        <v>4</v>
      </c>
      <c r="R943" s="1">
        <v>4627</v>
      </c>
      <c r="S943" s="1">
        <v>10</v>
      </c>
      <c r="T943" s="1">
        <v>3</v>
      </c>
      <c r="U943" s="1">
        <v>9</v>
      </c>
      <c r="V943" s="1">
        <v>2</v>
      </c>
      <c r="W943" s="1">
        <v>6</v>
      </c>
      <c r="X943" s="1">
        <v>7</v>
      </c>
    </row>
    <row r="944" spans="1:24">
      <c r="A944" s="1">
        <v>943</v>
      </c>
      <c r="B944" s="1" t="s">
        <v>33</v>
      </c>
      <c r="C944" s="1" t="s">
        <v>25</v>
      </c>
      <c r="D944" s="1" t="s">
        <v>26</v>
      </c>
      <c r="E944" s="1" t="s">
        <v>36</v>
      </c>
      <c r="F944" s="1" t="s">
        <v>57</v>
      </c>
      <c r="G944" s="1">
        <v>1</v>
      </c>
      <c r="H944" s="1" t="s">
        <v>29</v>
      </c>
      <c r="I944" s="1" t="s">
        <v>50</v>
      </c>
      <c r="J944" s="1" t="s">
        <v>39</v>
      </c>
      <c r="K944" s="1" t="s">
        <v>33</v>
      </c>
      <c r="L944" s="1">
        <v>36</v>
      </c>
      <c r="M944" s="1">
        <v>10</v>
      </c>
      <c r="N944" s="1" t="s">
        <v>44</v>
      </c>
      <c r="O944" s="1">
        <v>4</v>
      </c>
      <c r="P944" s="1">
        <v>3</v>
      </c>
      <c r="Q944" s="1">
        <v>3</v>
      </c>
      <c r="R944" s="1">
        <v>7094</v>
      </c>
      <c r="S944" s="1">
        <v>10</v>
      </c>
      <c r="T944" s="1">
        <v>3</v>
      </c>
      <c r="U944" s="1">
        <v>7</v>
      </c>
      <c r="V944" s="1">
        <v>7</v>
      </c>
      <c r="W944" s="1">
        <v>1</v>
      </c>
      <c r="X944" s="1">
        <v>7</v>
      </c>
    </row>
    <row r="945" spans="1:24">
      <c r="A945" s="1">
        <v>944</v>
      </c>
      <c r="B945" s="1" t="s">
        <v>33</v>
      </c>
      <c r="C945" s="1" t="s">
        <v>25</v>
      </c>
      <c r="D945" s="1" t="s">
        <v>35</v>
      </c>
      <c r="E945" s="1" t="s">
        <v>59</v>
      </c>
      <c r="F945" s="1" t="s">
        <v>28</v>
      </c>
      <c r="G945" s="1">
        <v>1</v>
      </c>
      <c r="H945" s="1" t="s">
        <v>29</v>
      </c>
      <c r="I945" s="1" t="s">
        <v>60</v>
      </c>
      <c r="J945" s="1" t="s">
        <v>31</v>
      </c>
      <c r="K945" s="1" t="s">
        <v>33</v>
      </c>
      <c r="L945" s="1">
        <v>46</v>
      </c>
      <c r="M945" s="1">
        <v>1</v>
      </c>
      <c r="N945" s="1" t="s">
        <v>32</v>
      </c>
      <c r="O945" s="1">
        <v>4</v>
      </c>
      <c r="P945" s="1">
        <v>1</v>
      </c>
      <c r="Q945" s="1">
        <v>1</v>
      </c>
      <c r="R945" s="1">
        <v>3423</v>
      </c>
      <c r="S945" s="1">
        <v>10</v>
      </c>
      <c r="T945" s="1">
        <v>4</v>
      </c>
      <c r="U945" s="1">
        <v>7</v>
      </c>
      <c r="V945" s="1">
        <v>6</v>
      </c>
      <c r="W945" s="1">
        <v>5</v>
      </c>
      <c r="X945" s="1">
        <v>7</v>
      </c>
    </row>
    <row r="946" spans="1:24">
      <c r="A946" s="1">
        <v>945</v>
      </c>
      <c r="B946" s="1" t="s">
        <v>33</v>
      </c>
      <c r="C946" s="1" t="s">
        <v>51</v>
      </c>
      <c r="D946" s="1" t="s">
        <v>43</v>
      </c>
      <c r="E946" s="1" t="s">
        <v>36</v>
      </c>
      <c r="F946" s="1" t="s">
        <v>28</v>
      </c>
      <c r="G946" s="1">
        <v>1</v>
      </c>
      <c r="H946" s="1" t="s">
        <v>29</v>
      </c>
      <c r="I946" s="1" t="s">
        <v>42</v>
      </c>
      <c r="J946" s="1" t="s">
        <v>39</v>
      </c>
      <c r="K946" s="1" t="s">
        <v>33</v>
      </c>
      <c r="L946" s="1">
        <v>28</v>
      </c>
      <c r="M946" s="1">
        <v>1</v>
      </c>
      <c r="N946" s="1" t="s">
        <v>47</v>
      </c>
      <c r="O946" s="1">
        <v>3</v>
      </c>
      <c r="P946" s="1">
        <v>2</v>
      </c>
      <c r="Q946" s="1">
        <v>4</v>
      </c>
      <c r="R946" s="1">
        <v>6674</v>
      </c>
      <c r="S946" s="1">
        <v>10</v>
      </c>
      <c r="T946" s="1">
        <v>3</v>
      </c>
      <c r="U946" s="1">
        <v>9</v>
      </c>
      <c r="V946" s="1">
        <v>8</v>
      </c>
      <c r="W946" s="1">
        <v>7</v>
      </c>
      <c r="X946" s="1">
        <v>5</v>
      </c>
    </row>
    <row r="947" spans="1:24">
      <c r="A947" s="1">
        <v>946</v>
      </c>
      <c r="B947" s="1" t="s">
        <v>33</v>
      </c>
      <c r="C947" s="1" t="s">
        <v>25</v>
      </c>
      <c r="D947" s="1" t="s">
        <v>35</v>
      </c>
      <c r="E947" s="1" t="s">
        <v>36</v>
      </c>
      <c r="F947" s="1" t="s">
        <v>28</v>
      </c>
      <c r="G947" s="1">
        <v>1</v>
      </c>
      <c r="H947" s="1" t="s">
        <v>29</v>
      </c>
      <c r="I947" s="1" t="s">
        <v>55</v>
      </c>
      <c r="J947" s="1" t="s">
        <v>39</v>
      </c>
      <c r="K947" s="1" t="s">
        <v>24</v>
      </c>
      <c r="L947" s="1">
        <v>50</v>
      </c>
      <c r="M947" s="1">
        <v>28</v>
      </c>
      <c r="N947" s="1" t="s">
        <v>47</v>
      </c>
      <c r="O947" s="1">
        <v>4</v>
      </c>
      <c r="P947" s="1">
        <v>4</v>
      </c>
      <c r="Q947" s="1">
        <v>1</v>
      </c>
      <c r="R947" s="1">
        <v>16880</v>
      </c>
      <c r="S947" s="1">
        <v>25</v>
      </c>
      <c r="T947" s="1">
        <v>3</v>
      </c>
      <c r="U947" s="1">
        <v>3</v>
      </c>
      <c r="V947" s="1">
        <v>2</v>
      </c>
      <c r="W947" s="1">
        <v>1</v>
      </c>
      <c r="X947" s="1">
        <v>2</v>
      </c>
    </row>
    <row r="948" spans="1:24">
      <c r="A948" s="1">
        <v>947</v>
      </c>
      <c r="B948" s="1" t="s">
        <v>24</v>
      </c>
      <c r="C948" s="1" t="s">
        <v>25</v>
      </c>
      <c r="D948" s="1" t="s">
        <v>26</v>
      </c>
      <c r="E948" s="1" t="s">
        <v>27</v>
      </c>
      <c r="F948" s="1" t="s">
        <v>56</v>
      </c>
      <c r="G948" s="1">
        <v>1</v>
      </c>
      <c r="H948" s="1" t="s">
        <v>37</v>
      </c>
      <c r="I948" s="1" t="s">
        <v>30</v>
      </c>
      <c r="J948" s="1" t="s">
        <v>31</v>
      </c>
      <c r="K948" s="1" t="s">
        <v>24</v>
      </c>
      <c r="L948" s="1">
        <v>40</v>
      </c>
      <c r="M948" s="1">
        <v>25</v>
      </c>
      <c r="N948" s="1" t="s">
        <v>44</v>
      </c>
      <c r="O948" s="1">
        <v>4</v>
      </c>
      <c r="P948" s="1">
        <v>3</v>
      </c>
      <c r="Q948" s="1">
        <v>2</v>
      </c>
      <c r="R948" s="1">
        <v>9094</v>
      </c>
      <c r="S948" s="1">
        <v>9</v>
      </c>
      <c r="T948" s="1">
        <v>3</v>
      </c>
      <c r="U948" s="1">
        <v>5</v>
      </c>
      <c r="V948" s="1">
        <v>4</v>
      </c>
      <c r="W948" s="1">
        <v>1</v>
      </c>
      <c r="X948" s="1">
        <v>0</v>
      </c>
    </row>
    <row r="949" spans="1:24">
      <c r="A949" s="1">
        <v>948</v>
      </c>
      <c r="B949" s="1" t="s">
        <v>24</v>
      </c>
      <c r="C949" s="1" t="s">
        <v>25</v>
      </c>
      <c r="D949" s="1" t="s">
        <v>35</v>
      </c>
      <c r="E949" s="1" t="s">
        <v>27</v>
      </c>
      <c r="F949" s="1" t="s">
        <v>28</v>
      </c>
      <c r="G949" s="1">
        <v>1</v>
      </c>
      <c r="H949" s="1" t="s">
        <v>37</v>
      </c>
      <c r="I949" s="1" t="s">
        <v>30</v>
      </c>
      <c r="J949" s="1" t="s">
        <v>31</v>
      </c>
      <c r="K949" s="1" t="s">
        <v>24</v>
      </c>
      <c r="L949" s="1">
        <v>52</v>
      </c>
      <c r="M949" s="1">
        <v>5</v>
      </c>
      <c r="N949" s="1" t="s">
        <v>47</v>
      </c>
      <c r="O949" s="1">
        <v>2</v>
      </c>
      <c r="P949" s="1">
        <v>3</v>
      </c>
      <c r="Q949" s="1">
        <v>2</v>
      </c>
      <c r="R949" s="1">
        <v>8446</v>
      </c>
      <c r="S949" s="1">
        <v>10</v>
      </c>
      <c r="T949" s="1">
        <v>2</v>
      </c>
      <c r="U949" s="1">
        <v>8</v>
      </c>
      <c r="V949" s="1">
        <v>7</v>
      </c>
      <c r="W949" s="1">
        <v>7</v>
      </c>
      <c r="X949" s="1">
        <v>7</v>
      </c>
    </row>
    <row r="950" spans="1:24">
      <c r="A950" s="1">
        <v>949</v>
      </c>
      <c r="B950" s="1" t="s">
        <v>33</v>
      </c>
      <c r="C950" s="1" t="s">
        <v>25</v>
      </c>
      <c r="D950" s="1" t="s">
        <v>43</v>
      </c>
      <c r="E950" s="1" t="s">
        <v>36</v>
      </c>
      <c r="F950" s="1" t="s">
        <v>45</v>
      </c>
      <c r="G950" s="1">
        <v>1</v>
      </c>
      <c r="H950" s="1" t="s">
        <v>29</v>
      </c>
      <c r="I950" s="1" t="s">
        <v>53</v>
      </c>
      <c r="J950" s="1" t="s">
        <v>39</v>
      </c>
      <c r="K950" s="1" t="s">
        <v>24</v>
      </c>
      <c r="L950" s="1">
        <v>30</v>
      </c>
      <c r="M950" s="1">
        <v>17</v>
      </c>
      <c r="N950" s="1" t="s">
        <v>44</v>
      </c>
      <c r="O950" s="1">
        <v>2</v>
      </c>
      <c r="P950" s="1">
        <v>3</v>
      </c>
      <c r="Q950" s="1">
        <v>1</v>
      </c>
      <c r="R950" s="1">
        <v>11916</v>
      </c>
      <c r="S950" s="1">
        <v>9</v>
      </c>
      <c r="T950" s="1">
        <v>3</v>
      </c>
      <c r="U950" s="1">
        <v>9</v>
      </c>
      <c r="V950" s="1">
        <v>1</v>
      </c>
      <c r="W950" s="1">
        <v>0</v>
      </c>
      <c r="X950" s="1">
        <v>8</v>
      </c>
    </row>
    <row r="951" spans="1:24">
      <c r="A951" s="1">
        <v>950</v>
      </c>
      <c r="B951" s="1" t="s">
        <v>33</v>
      </c>
      <c r="C951" s="1" t="s">
        <v>25</v>
      </c>
      <c r="D951" s="1" t="s">
        <v>26</v>
      </c>
      <c r="E951" s="1" t="s">
        <v>36</v>
      </c>
      <c r="F951" s="1" t="s">
        <v>28</v>
      </c>
      <c r="G951" s="1">
        <v>1</v>
      </c>
      <c r="H951" s="1" t="s">
        <v>37</v>
      </c>
      <c r="I951" s="1" t="s">
        <v>49</v>
      </c>
      <c r="J951" s="1" t="s">
        <v>31</v>
      </c>
      <c r="K951" s="1" t="s">
        <v>33</v>
      </c>
      <c r="L951" s="1">
        <v>39</v>
      </c>
      <c r="M951" s="1">
        <v>18</v>
      </c>
      <c r="N951" s="1" t="s">
        <v>32</v>
      </c>
      <c r="O951" s="1">
        <v>1</v>
      </c>
      <c r="P951" s="1">
        <v>2</v>
      </c>
      <c r="Q951" s="1">
        <v>3</v>
      </c>
      <c r="R951" s="1">
        <v>4534</v>
      </c>
      <c r="S951" s="1">
        <v>9</v>
      </c>
      <c r="T951" s="1">
        <v>3</v>
      </c>
      <c r="U951" s="1">
        <v>8</v>
      </c>
      <c r="V951" s="1">
        <v>7</v>
      </c>
      <c r="W951" s="1">
        <v>1</v>
      </c>
      <c r="X951" s="1">
        <v>7</v>
      </c>
    </row>
    <row r="952" spans="1:24">
      <c r="A952" s="1">
        <v>951</v>
      </c>
      <c r="B952" s="1" t="s">
        <v>33</v>
      </c>
      <c r="C952" s="1" t="s">
        <v>51</v>
      </c>
      <c r="D952" s="1" t="s">
        <v>43</v>
      </c>
      <c r="E952" s="1" t="s">
        <v>27</v>
      </c>
      <c r="F952" s="1" t="s">
        <v>28</v>
      </c>
      <c r="G952" s="1">
        <v>1</v>
      </c>
      <c r="H952" s="1" t="s">
        <v>29</v>
      </c>
      <c r="I952" s="1" t="s">
        <v>30</v>
      </c>
      <c r="J952" s="1" t="s">
        <v>48</v>
      </c>
      <c r="K952" s="1" t="s">
        <v>24</v>
      </c>
      <c r="L952" s="1">
        <v>31</v>
      </c>
      <c r="M952" s="1">
        <v>2</v>
      </c>
      <c r="N952" s="1" t="s">
        <v>44</v>
      </c>
      <c r="O952" s="1">
        <v>4</v>
      </c>
      <c r="P952" s="1">
        <v>3</v>
      </c>
      <c r="Q952" s="1">
        <v>3</v>
      </c>
      <c r="R952" s="1">
        <v>9852</v>
      </c>
      <c r="S952" s="1">
        <v>10</v>
      </c>
      <c r="T952" s="1">
        <v>2</v>
      </c>
      <c r="U952" s="1">
        <v>10</v>
      </c>
      <c r="V952" s="1">
        <v>8</v>
      </c>
      <c r="W952" s="1">
        <v>9</v>
      </c>
      <c r="X952" s="1">
        <v>6</v>
      </c>
    </row>
    <row r="953" spans="1:24">
      <c r="A953" s="1">
        <v>952</v>
      </c>
      <c r="B953" s="1" t="s">
        <v>33</v>
      </c>
      <c r="C953" s="1" t="s">
        <v>51</v>
      </c>
      <c r="D953" s="1" t="s">
        <v>26</v>
      </c>
      <c r="E953" s="1" t="s">
        <v>27</v>
      </c>
      <c r="F953" s="1" t="s">
        <v>45</v>
      </c>
      <c r="G953" s="1">
        <v>1</v>
      </c>
      <c r="H953" s="1" t="s">
        <v>37</v>
      </c>
      <c r="I953" s="1" t="s">
        <v>30</v>
      </c>
      <c r="J953" s="1" t="s">
        <v>31</v>
      </c>
      <c r="K953" s="1" t="s">
        <v>33</v>
      </c>
      <c r="L953" s="1">
        <v>41</v>
      </c>
      <c r="M953" s="1">
        <v>10</v>
      </c>
      <c r="N953" s="1" t="s">
        <v>32</v>
      </c>
      <c r="O953" s="1">
        <v>3</v>
      </c>
      <c r="P953" s="1">
        <v>2</v>
      </c>
      <c r="Q953" s="1">
        <v>2</v>
      </c>
      <c r="R953" s="1">
        <v>6151</v>
      </c>
      <c r="S953" s="1">
        <v>19</v>
      </c>
      <c r="T953" s="1">
        <v>3</v>
      </c>
      <c r="U953" s="1">
        <v>19</v>
      </c>
      <c r="V953" s="1">
        <v>2</v>
      </c>
      <c r="W953" s="1">
        <v>11</v>
      </c>
      <c r="X953" s="1">
        <v>9</v>
      </c>
    </row>
    <row r="954" spans="1:24">
      <c r="A954" s="1">
        <v>953</v>
      </c>
      <c r="B954" s="1" t="s">
        <v>24</v>
      </c>
      <c r="C954" s="1" t="s">
        <v>34</v>
      </c>
      <c r="D954" s="1" t="s">
        <v>43</v>
      </c>
      <c r="E954" s="1" t="s">
        <v>27</v>
      </c>
      <c r="F954" s="1" t="s">
        <v>28</v>
      </c>
      <c r="G954" s="1">
        <v>1</v>
      </c>
      <c r="H954" s="1" t="s">
        <v>29</v>
      </c>
      <c r="I954" s="1" t="s">
        <v>54</v>
      </c>
      <c r="J954" s="1" t="s">
        <v>31</v>
      </c>
      <c r="K954" s="1" t="s">
        <v>24</v>
      </c>
      <c r="L954" s="1">
        <v>31</v>
      </c>
      <c r="M954" s="1">
        <v>1</v>
      </c>
      <c r="N954" s="1" t="s">
        <v>47</v>
      </c>
      <c r="O954" s="1">
        <v>4</v>
      </c>
      <c r="P954" s="1">
        <v>1</v>
      </c>
      <c r="Q954" s="1">
        <v>2</v>
      </c>
      <c r="R954" s="1">
        <v>2302</v>
      </c>
      <c r="S954" s="1">
        <v>3</v>
      </c>
      <c r="T954" s="1">
        <v>4</v>
      </c>
      <c r="U954" s="1">
        <v>3</v>
      </c>
      <c r="V954" s="1">
        <v>2</v>
      </c>
      <c r="W954" s="1">
        <v>2</v>
      </c>
      <c r="X954" s="1">
        <v>2</v>
      </c>
    </row>
    <row r="955" spans="1:24">
      <c r="A955" s="1">
        <v>954</v>
      </c>
      <c r="B955" s="1" t="s">
        <v>24</v>
      </c>
      <c r="C955" s="1" t="s">
        <v>25</v>
      </c>
      <c r="D955" s="1" t="s">
        <v>26</v>
      </c>
      <c r="E955" s="1" t="s">
        <v>36</v>
      </c>
      <c r="F955" s="1" t="s">
        <v>28</v>
      </c>
      <c r="G955" s="1">
        <v>1</v>
      </c>
      <c r="H955" s="1" t="s">
        <v>37</v>
      </c>
      <c r="I955" s="1" t="s">
        <v>42</v>
      </c>
      <c r="J955" s="1" t="s">
        <v>39</v>
      </c>
      <c r="K955" s="1" t="s">
        <v>33</v>
      </c>
      <c r="L955" s="1">
        <v>44</v>
      </c>
      <c r="M955" s="1">
        <v>3</v>
      </c>
      <c r="N955" s="1" t="s">
        <v>47</v>
      </c>
      <c r="O955" s="1">
        <v>1</v>
      </c>
      <c r="P955" s="1">
        <v>1</v>
      </c>
      <c r="Q955" s="1">
        <v>1</v>
      </c>
      <c r="R955" s="1">
        <v>2362</v>
      </c>
      <c r="S955" s="1">
        <v>10</v>
      </c>
      <c r="T955" s="1">
        <v>4</v>
      </c>
      <c r="U955" s="1">
        <v>3</v>
      </c>
      <c r="V955" s="1">
        <v>2</v>
      </c>
      <c r="W955" s="1">
        <v>1</v>
      </c>
      <c r="X955" s="1">
        <v>2</v>
      </c>
    </row>
    <row r="956" spans="1:24">
      <c r="A956" s="1">
        <v>955</v>
      </c>
      <c r="B956" s="1" t="s">
        <v>33</v>
      </c>
      <c r="C956" s="1" t="s">
        <v>51</v>
      </c>
      <c r="D956" s="1" t="s">
        <v>26</v>
      </c>
      <c r="E956" s="1" t="s">
        <v>36</v>
      </c>
      <c r="F956" s="1" t="s">
        <v>28</v>
      </c>
      <c r="G956" s="1">
        <v>1</v>
      </c>
      <c r="H956" s="1" t="s">
        <v>37</v>
      </c>
      <c r="I956" s="1" t="s">
        <v>53</v>
      </c>
      <c r="J956" s="1" t="s">
        <v>39</v>
      </c>
      <c r="K956" s="1" t="s">
        <v>24</v>
      </c>
      <c r="L956" s="1">
        <v>42</v>
      </c>
      <c r="M956" s="1">
        <v>2</v>
      </c>
      <c r="N956" s="1" t="s">
        <v>40</v>
      </c>
      <c r="O956" s="1">
        <v>3</v>
      </c>
      <c r="P956" s="1">
        <v>4</v>
      </c>
      <c r="Q956" s="1">
        <v>3</v>
      </c>
      <c r="R956" s="1">
        <v>17861</v>
      </c>
      <c r="S956" s="1">
        <v>21</v>
      </c>
      <c r="T956" s="1">
        <v>2</v>
      </c>
      <c r="U956" s="1">
        <v>20</v>
      </c>
      <c r="V956" s="1">
        <v>8</v>
      </c>
      <c r="W956" s="1">
        <v>2</v>
      </c>
      <c r="X956" s="1">
        <v>10</v>
      </c>
    </row>
    <row r="957" spans="1:24">
      <c r="A957" s="1">
        <v>956</v>
      </c>
      <c r="B957" s="1" t="s">
        <v>33</v>
      </c>
      <c r="C957" s="1" t="s">
        <v>25</v>
      </c>
      <c r="D957" s="1" t="s">
        <v>46</v>
      </c>
      <c r="E957" s="1" t="s">
        <v>36</v>
      </c>
      <c r="F957" s="1" t="s">
        <v>45</v>
      </c>
      <c r="G957" s="1">
        <v>1</v>
      </c>
      <c r="H957" s="1" t="s">
        <v>29</v>
      </c>
      <c r="I957" s="1" t="s">
        <v>53</v>
      </c>
      <c r="J957" s="1" t="s">
        <v>39</v>
      </c>
      <c r="K957" s="1" t="s">
        <v>33</v>
      </c>
      <c r="L957" s="1">
        <v>55</v>
      </c>
      <c r="M957" s="1">
        <v>2</v>
      </c>
      <c r="N957" s="1" t="s">
        <v>32</v>
      </c>
      <c r="O957" s="1">
        <v>4</v>
      </c>
      <c r="P957" s="1">
        <v>5</v>
      </c>
      <c r="Q957" s="1">
        <v>3</v>
      </c>
      <c r="R957" s="1">
        <v>19187</v>
      </c>
      <c r="S957" s="1">
        <v>23</v>
      </c>
      <c r="T957" s="1">
        <v>3</v>
      </c>
      <c r="U957" s="1">
        <v>19</v>
      </c>
      <c r="V957" s="1">
        <v>9</v>
      </c>
      <c r="W957" s="1">
        <v>9</v>
      </c>
      <c r="X957" s="1">
        <v>11</v>
      </c>
    </row>
    <row r="958" spans="1:24">
      <c r="A958" s="1">
        <v>957</v>
      </c>
      <c r="B958" s="1" t="s">
        <v>33</v>
      </c>
      <c r="C958" s="1" t="s">
        <v>25</v>
      </c>
      <c r="D958" s="1" t="s">
        <v>46</v>
      </c>
      <c r="E958" s="1" t="s">
        <v>59</v>
      </c>
      <c r="F958" s="1" t="s">
        <v>28</v>
      </c>
      <c r="G958" s="1">
        <v>1</v>
      </c>
      <c r="H958" s="1" t="s">
        <v>37</v>
      </c>
      <c r="I958" s="1" t="s">
        <v>53</v>
      </c>
      <c r="J958" s="1" t="s">
        <v>31</v>
      </c>
      <c r="K958" s="1" t="s">
        <v>33</v>
      </c>
      <c r="L958" s="1">
        <v>56</v>
      </c>
      <c r="M958" s="1">
        <v>8</v>
      </c>
      <c r="N958" s="1" t="s">
        <v>44</v>
      </c>
      <c r="O958" s="1">
        <v>4</v>
      </c>
      <c r="P958" s="1">
        <v>5</v>
      </c>
      <c r="Q958" s="1">
        <v>2</v>
      </c>
      <c r="R958" s="1">
        <v>19717</v>
      </c>
      <c r="S958" s="1">
        <v>36</v>
      </c>
      <c r="T958" s="1">
        <v>3</v>
      </c>
      <c r="U958" s="1">
        <v>7</v>
      </c>
      <c r="V958" s="1">
        <v>3</v>
      </c>
      <c r="W958" s="1">
        <v>7</v>
      </c>
      <c r="X958" s="1">
        <v>7</v>
      </c>
    </row>
    <row r="959" spans="1:24">
      <c r="A959" s="1">
        <v>958</v>
      </c>
      <c r="B959" s="1" t="s">
        <v>33</v>
      </c>
      <c r="C959" s="1" t="s">
        <v>51</v>
      </c>
      <c r="D959" s="1" t="s">
        <v>26</v>
      </c>
      <c r="E959" s="1" t="s">
        <v>36</v>
      </c>
      <c r="F959" s="1" t="s">
        <v>28</v>
      </c>
      <c r="G959" s="1">
        <v>1</v>
      </c>
      <c r="H959" s="1" t="s">
        <v>37</v>
      </c>
      <c r="I959" s="1" t="s">
        <v>38</v>
      </c>
      <c r="J959" s="1" t="s">
        <v>48</v>
      </c>
      <c r="K959" s="1" t="s">
        <v>33</v>
      </c>
      <c r="L959" s="1">
        <v>40</v>
      </c>
      <c r="M959" s="1">
        <v>16</v>
      </c>
      <c r="N959" s="1" t="s">
        <v>32</v>
      </c>
      <c r="O959" s="1">
        <v>3</v>
      </c>
      <c r="P959" s="1">
        <v>1</v>
      </c>
      <c r="Q959" s="1">
        <v>3</v>
      </c>
      <c r="R959" s="1">
        <v>3544</v>
      </c>
      <c r="S959" s="1">
        <v>6</v>
      </c>
      <c r="T959" s="1">
        <v>3</v>
      </c>
      <c r="U959" s="1">
        <v>4</v>
      </c>
      <c r="V959" s="1">
        <v>2</v>
      </c>
      <c r="W959" s="1">
        <v>0</v>
      </c>
      <c r="X959" s="1">
        <v>0</v>
      </c>
    </row>
    <row r="960" spans="1:24">
      <c r="A960" s="1">
        <v>959</v>
      </c>
      <c r="B960" s="1" t="s">
        <v>33</v>
      </c>
      <c r="C960" s="1" t="s">
        <v>25</v>
      </c>
      <c r="D960" s="1" t="s">
        <v>43</v>
      </c>
      <c r="E960" s="1" t="s">
        <v>36</v>
      </c>
      <c r="F960" s="1" t="s">
        <v>28</v>
      </c>
      <c r="G960" s="1">
        <v>1</v>
      </c>
      <c r="H960" s="1" t="s">
        <v>37</v>
      </c>
      <c r="I960" s="1" t="s">
        <v>50</v>
      </c>
      <c r="J960" s="1" t="s">
        <v>48</v>
      </c>
      <c r="K960" s="1" t="s">
        <v>33</v>
      </c>
      <c r="L960" s="1">
        <v>34</v>
      </c>
      <c r="M960" s="1">
        <v>9</v>
      </c>
      <c r="N960" s="1" t="s">
        <v>47</v>
      </c>
      <c r="O960" s="1">
        <v>4</v>
      </c>
      <c r="P960" s="1">
        <v>3</v>
      </c>
      <c r="Q960" s="1">
        <v>4</v>
      </c>
      <c r="R960" s="1">
        <v>8500</v>
      </c>
      <c r="S960" s="1">
        <v>10</v>
      </c>
      <c r="T960" s="1">
        <v>2</v>
      </c>
      <c r="U960" s="1">
        <v>9</v>
      </c>
      <c r="V960" s="1">
        <v>7</v>
      </c>
      <c r="W960" s="1">
        <v>1</v>
      </c>
      <c r="X960" s="1">
        <v>6</v>
      </c>
    </row>
    <row r="961" spans="1:24">
      <c r="A961" s="1">
        <v>960</v>
      </c>
      <c r="B961" s="1" t="s">
        <v>33</v>
      </c>
      <c r="C961" s="1" t="s">
        <v>25</v>
      </c>
      <c r="D961" s="1" t="s">
        <v>26</v>
      </c>
      <c r="E961" s="1" t="s">
        <v>36</v>
      </c>
      <c r="F961" s="1" t="s">
        <v>28</v>
      </c>
      <c r="G961" s="1">
        <v>1</v>
      </c>
      <c r="H961" s="1" t="s">
        <v>37</v>
      </c>
      <c r="I961" s="1" t="s">
        <v>38</v>
      </c>
      <c r="J961" s="1" t="s">
        <v>31</v>
      </c>
      <c r="K961" s="1" t="s">
        <v>33</v>
      </c>
      <c r="L961" s="1">
        <v>40</v>
      </c>
      <c r="M961" s="1">
        <v>2</v>
      </c>
      <c r="N961" s="1" t="s">
        <v>47</v>
      </c>
      <c r="O961" s="1">
        <v>3</v>
      </c>
      <c r="P961" s="1">
        <v>2</v>
      </c>
      <c r="Q961" s="1">
        <v>4</v>
      </c>
      <c r="R961" s="1">
        <v>4661</v>
      </c>
      <c r="S961" s="1">
        <v>9</v>
      </c>
      <c r="T961" s="1">
        <v>3</v>
      </c>
      <c r="U961" s="1">
        <v>9</v>
      </c>
      <c r="V961" s="1">
        <v>8</v>
      </c>
      <c r="W961" s="1">
        <v>8</v>
      </c>
      <c r="X961" s="1">
        <v>8</v>
      </c>
    </row>
    <row r="962" spans="1:24">
      <c r="A962" s="1">
        <v>961</v>
      </c>
      <c r="B962" s="1" t="s">
        <v>33</v>
      </c>
      <c r="C962" s="1" t="s">
        <v>34</v>
      </c>
      <c r="D962" s="1" t="s">
        <v>26</v>
      </c>
      <c r="E962" s="1" t="s">
        <v>27</v>
      </c>
      <c r="F962" s="1" t="s">
        <v>56</v>
      </c>
      <c r="G962" s="1">
        <v>1</v>
      </c>
      <c r="H962" s="1" t="s">
        <v>29</v>
      </c>
      <c r="I962" s="1" t="s">
        <v>30</v>
      </c>
      <c r="J962" s="1" t="s">
        <v>48</v>
      </c>
      <c r="K962" s="1" t="s">
        <v>33</v>
      </c>
      <c r="L962" s="1">
        <v>41</v>
      </c>
      <c r="M962" s="1">
        <v>1</v>
      </c>
      <c r="N962" s="1" t="s">
        <v>47</v>
      </c>
      <c r="O962" s="1">
        <v>3</v>
      </c>
      <c r="P962" s="1">
        <v>2</v>
      </c>
      <c r="Q962" s="1">
        <v>1</v>
      </c>
      <c r="R962" s="1">
        <v>4103</v>
      </c>
      <c r="S962" s="1">
        <v>10</v>
      </c>
      <c r="T962" s="1">
        <v>3</v>
      </c>
      <c r="U962" s="1">
        <v>9</v>
      </c>
      <c r="V962" s="1">
        <v>3</v>
      </c>
      <c r="W962" s="1">
        <v>1</v>
      </c>
      <c r="X962" s="1">
        <v>7</v>
      </c>
    </row>
    <row r="963" spans="1:24">
      <c r="A963" s="1">
        <v>962</v>
      </c>
      <c r="B963" s="1" t="s">
        <v>33</v>
      </c>
      <c r="C963" s="1" t="s">
        <v>34</v>
      </c>
      <c r="D963" s="1" t="s">
        <v>26</v>
      </c>
      <c r="E963" s="1" t="s">
        <v>36</v>
      </c>
      <c r="F963" s="1" t="s">
        <v>28</v>
      </c>
      <c r="G963" s="1">
        <v>1</v>
      </c>
      <c r="H963" s="1" t="s">
        <v>37</v>
      </c>
      <c r="I963" s="1" t="s">
        <v>38</v>
      </c>
      <c r="J963" s="1" t="s">
        <v>31</v>
      </c>
      <c r="K963" s="1" t="s">
        <v>24</v>
      </c>
      <c r="L963" s="1">
        <v>35</v>
      </c>
      <c r="M963" s="1">
        <v>4</v>
      </c>
      <c r="N963" s="1" t="s">
        <v>44</v>
      </c>
      <c r="O963" s="1">
        <v>3</v>
      </c>
      <c r="P963" s="1">
        <v>2</v>
      </c>
      <c r="Q963" s="1">
        <v>3</v>
      </c>
      <c r="R963" s="1">
        <v>4249</v>
      </c>
      <c r="S963" s="1">
        <v>9</v>
      </c>
      <c r="T963" s="1">
        <v>3</v>
      </c>
      <c r="U963" s="1">
        <v>9</v>
      </c>
      <c r="V963" s="1">
        <v>6</v>
      </c>
      <c r="W963" s="1">
        <v>1</v>
      </c>
      <c r="X963" s="1">
        <v>1</v>
      </c>
    </row>
    <row r="964" spans="1:24">
      <c r="A964" s="1">
        <v>963</v>
      </c>
      <c r="B964" s="1" t="s">
        <v>33</v>
      </c>
      <c r="C964" s="1" t="s">
        <v>25</v>
      </c>
      <c r="D964" s="1" t="s">
        <v>35</v>
      </c>
      <c r="E964" s="1" t="s">
        <v>59</v>
      </c>
      <c r="F964" s="1" t="s">
        <v>28</v>
      </c>
      <c r="G964" s="1">
        <v>1</v>
      </c>
      <c r="H964" s="1" t="s">
        <v>37</v>
      </c>
      <c r="I964" s="1" t="s">
        <v>53</v>
      </c>
      <c r="J964" s="1" t="s">
        <v>48</v>
      </c>
      <c r="K964" s="1" t="s">
        <v>24</v>
      </c>
      <c r="L964" s="1">
        <v>51</v>
      </c>
      <c r="M964" s="1">
        <v>5</v>
      </c>
      <c r="N964" s="1" t="s">
        <v>47</v>
      </c>
      <c r="O964" s="1">
        <v>3</v>
      </c>
      <c r="P964" s="1">
        <v>4</v>
      </c>
      <c r="Q964" s="1">
        <v>2</v>
      </c>
      <c r="R964" s="1">
        <v>14026</v>
      </c>
      <c r="S964" s="1">
        <v>33</v>
      </c>
      <c r="T964" s="1">
        <v>3</v>
      </c>
      <c r="U964" s="1">
        <v>33</v>
      </c>
      <c r="V964" s="1">
        <v>9</v>
      </c>
      <c r="W964" s="1">
        <v>0</v>
      </c>
      <c r="X964" s="1">
        <v>10</v>
      </c>
    </row>
    <row r="965" spans="1:24">
      <c r="A965" s="1">
        <v>964</v>
      </c>
      <c r="B965" s="1" t="s">
        <v>33</v>
      </c>
      <c r="C965" s="1" t="s">
        <v>25</v>
      </c>
      <c r="D965" s="1" t="s">
        <v>26</v>
      </c>
      <c r="E965" s="1" t="s">
        <v>27</v>
      </c>
      <c r="F965" s="1" t="s">
        <v>28</v>
      </c>
      <c r="G965" s="1">
        <v>1</v>
      </c>
      <c r="H965" s="1" t="s">
        <v>29</v>
      </c>
      <c r="I965" s="1" t="s">
        <v>30</v>
      </c>
      <c r="J965" s="1" t="s">
        <v>48</v>
      </c>
      <c r="K965" s="1" t="s">
        <v>33</v>
      </c>
      <c r="L965" s="1">
        <v>38</v>
      </c>
      <c r="M965" s="1">
        <v>2</v>
      </c>
      <c r="N965" s="1" t="s">
        <v>32</v>
      </c>
      <c r="O965" s="1">
        <v>2</v>
      </c>
      <c r="P965" s="1">
        <v>2</v>
      </c>
      <c r="Q965" s="1">
        <v>1</v>
      </c>
      <c r="R965" s="1">
        <v>6893</v>
      </c>
      <c r="S965" s="1">
        <v>11</v>
      </c>
      <c r="T965" s="1">
        <v>3</v>
      </c>
      <c r="U965" s="1">
        <v>7</v>
      </c>
      <c r="V965" s="1">
        <v>7</v>
      </c>
      <c r="W965" s="1">
        <v>1</v>
      </c>
      <c r="X965" s="1">
        <v>7</v>
      </c>
    </row>
    <row r="966" spans="1:24">
      <c r="A966" s="1">
        <v>965</v>
      </c>
      <c r="B966" s="1" t="s">
        <v>33</v>
      </c>
      <c r="C966" s="1" t="s">
        <v>25</v>
      </c>
      <c r="D966" s="1" t="s">
        <v>43</v>
      </c>
      <c r="E966" s="1" t="s">
        <v>27</v>
      </c>
      <c r="F966" s="1" t="s">
        <v>45</v>
      </c>
      <c r="G966" s="1">
        <v>1</v>
      </c>
      <c r="H966" s="1" t="s">
        <v>29</v>
      </c>
      <c r="I966" s="1" t="s">
        <v>30</v>
      </c>
      <c r="J966" s="1" t="s">
        <v>31</v>
      </c>
      <c r="K966" s="1" t="s">
        <v>33</v>
      </c>
      <c r="L966" s="1">
        <v>34</v>
      </c>
      <c r="M966" s="1">
        <v>15</v>
      </c>
      <c r="N966" s="1" t="s">
        <v>32</v>
      </c>
      <c r="O966" s="1">
        <v>3</v>
      </c>
      <c r="P966" s="1">
        <v>2</v>
      </c>
      <c r="Q966" s="1">
        <v>1</v>
      </c>
      <c r="R966" s="1">
        <v>6125</v>
      </c>
      <c r="S966" s="1">
        <v>10</v>
      </c>
      <c r="T966" s="1">
        <v>4</v>
      </c>
      <c r="U966" s="1">
        <v>10</v>
      </c>
      <c r="V966" s="1">
        <v>8</v>
      </c>
      <c r="W966" s="1">
        <v>9</v>
      </c>
      <c r="X966" s="1">
        <v>6</v>
      </c>
    </row>
    <row r="967" spans="1:24">
      <c r="A967" s="1">
        <v>966</v>
      </c>
      <c r="B967" s="1" t="s">
        <v>33</v>
      </c>
      <c r="C967" s="1" t="s">
        <v>25</v>
      </c>
      <c r="D967" s="1" t="s">
        <v>43</v>
      </c>
      <c r="E967" s="1" t="s">
        <v>36</v>
      </c>
      <c r="F967" s="1" t="s">
        <v>45</v>
      </c>
      <c r="G967" s="1">
        <v>1</v>
      </c>
      <c r="H967" s="1" t="s">
        <v>37</v>
      </c>
      <c r="I967" s="1" t="s">
        <v>42</v>
      </c>
      <c r="J967" s="1" t="s">
        <v>39</v>
      </c>
      <c r="K967" s="1" t="s">
        <v>33</v>
      </c>
      <c r="L967" s="1">
        <v>25</v>
      </c>
      <c r="M967" s="1">
        <v>19</v>
      </c>
      <c r="N967" s="1" t="s">
        <v>40</v>
      </c>
      <c r="O967" s="1">
        <v>4</v>
      </c>
      <c r="P967" s="1">
        <v>1</v>
      </c>
      <c r="Q967" s="1">
        <v>4</v>
      </c>
      <c r="R967" s="1">
        <v>3669</v>
      </c>
      <c r="S967" s="1">
        <v>7</v>
      </c>
      <c r="T967" s="1">
        <v>2</v>
      </c>
      <c r="U967" s="1">
        <v>3</v>
      </c>
      <c r="V967" s="1">
        <v>2</v>
      </c>
      <c r="W967" s="1">
        <v>1</v>
      </c>
      <c r="X967" s="1">
        <v>2</v>
      </c>
    </row>
    <row r="968" spans="1:24">
      <c r="A968" s="1">
        <v>967</v>
      </c>
      <c r="B968" s="1" t="s">
        <v>24</v>
      </c>
      <c r="C968" s="1" t="s">
        <v>25</v>
      </c>
      <c r="D968" s="1" t="s">
        <v>46</v>
      </c>
      <c r="E968" s="1" t="s">
        <v>36</v>
      </c>
      <c r="F968" s="1" t="s">
        <v>45</v>
      </c>
      <c r="G968" s="1">
        <v>1</v>
      </c>
      <c r="H968" s="1" t="s">
        <v>29</v>
      </c>
      <c r="I968" s="1" t="s">
        <v>49</v>
      </c>
      <c r="J968" s="1" t="s">
        <v>39</v>
      </c>
      <c r="K968" s="1" t="s">
        <v>24</v>
      </c>
      <c r="L968" s="1">
        <v>58</v>
      </c>
      <c r="M968" s="1">
        <v>7</v>
      </c>
      <c r="N968" s="1" t="s">
        <v>44</v>
      </c>
      <c r="O968" s="1">
        <v>3</v>
      </c>
      <c r="P968" s="1">
        <v>3</v>
      </c>
      <c r="Q968" s="1">
        <v>1</v>
      </c>
      <c r="R968" s="1">
        <v>10008</v>
      </c>
      <c r="S968" s="1">
        <v>31</v>
      </c>
      <c r="T968" s="1">
        <v>2</v>
      </c>
      <c r="U968" s="1">
        <v>10</v>
      </c>
      <c r="V968" s="1">
        <v>9</v>
      </c>
      <c r="W968" s="1">
        <v>5</v>
      </c>
      <c r="X968" s="1">
        <v>9</v>
      </c>
    </row>
    <row r="969" spans="1:24">
      <c r="A969" s="1">
        <v>968</v>
      </c>
      <c r="B969" s="1" t="s">
        <v>33</v>
      </c>
      <c r="C969" s="1" t="s">
        <v>25</v>
      </c>
      <c r="D969" s="1" t="s">
        <v>26</v>
      </c>
      <c r="E969" s="1" t="s">
        <v>36</v>
      </c>
      <c r="F969" s="1" t="s">
        <v>28</v>
      </c>
      <c r="G969" s="1">
        <v>1</v>
      </c>
      <c r="H969" s="1" t="s">
        <v>37</v>
      </c>
      <c r="I969" s="1" t="s">
        <v>42</v>
      </c>
      <c r="J969" s="1" t="s">
        <v>39</v>
      </c>
      <c r="K969" s="1" t="s">
        <v>33</v>
      </c>
      <c r="L969" s="1">
        <v>40</v>
      </c>
      <c r="M969" s="1">
        <v>1</v>
      </c>
      <c r="N969" s="1" t="s">
        <v>44</v>
      </c>
      <c r="O969" s="1">
        <v>2</v>
      </c>
      <c r="P969" s="1">
        <v>1</v>
      </c>
      <c r="Q969" s="1">
        <v>2</v>
      </c>
      <c r="R969" s="1">
        <v>2387</v>
      </c>
      <c r="S969" s="1">
        <v>7</v>
      </c>
      <c r="T969" s="1">
        <v>3</v>
      </c>
      <c r="U969" s="1">
        <v>4</v>
      </c>
      <c r="V969" s="1">
        <v>2</v>
      </c>
      <c r="W969" s="1">
        <v>0</v>
      </c>
      <c r="X969" s="1">
        <v>3</v>
      </c>
    </row>
    <row r="970" spans="1:24">
      <c r="A970" s="1">
        <v>969</v>
      </c>
      <c r="B970" s="1" t="s">
        <v>33</v>
      </c>
      <c r="C970" s="1" t="s">
        <v>34</v>
      </c>
      <c r="D970" s="1" t="s">
        <v>26</v>
      </c>
      <c r="E970" s="1" t="s">
        <v>27</v>
      </c>
      <c r="F970" s="1" t="s">
        <v>56</v>
      </c>
      <c r="G970" s="1">
        <v>1</v>
      </c>
      <c r="H970" s="1" t="s">
        <v>29</v>
      </c>
      <c r="I970" s="1" t="s">
        <v>30</v>
      </c>
      <c r="J970" s="1" t="s">
        <v>39</v>
      </c>
      <c r="K970" s="1" t="s">
        <v>33</v>
      </c>
      <c r="L970" s="1">
        <v>36</v>
      </c>
      <c r="M970" s="1">
        <v>7</v>
      </c>
      <c r="N970" s="1" t="s">
        <v>47</v>
      </c>
      <c r="O970" s="1">
        <v>1</v>
      </c>
      <c r="P970" s="1">
        <v>2</v>
      </c>
      <c r="Q970" s="1">
        <v>1</v>
      </c>
      <c r="R970" s="1">
        <v>4639</v>
      </c>
      <c r="S970" s="1">
        <v>17</v>
      </c>
      <c r="T970" s="1">
        <v>2</v>
      </c>
      <c r="U970" s="1">
        <v>15</v>
      </c>
      <c r="V970" s="1">
        <v>7</v>
      </c>
      <c r="W970" s="1">
        <v>6</v>
      </c>
      <c r="X970" s="1">
        <v>13</v>
      </c>
    </row>
    <row r="971" spans="1:24">
      <c r="A971" s="1">
        <v>970</v>
      </c>
      <c r="B971" s="1" t="s">
        <v>33</v>
      </c>
      <c r="C971" s="1" t="s">
        <v>25</v>
      </c>
      <c r="D971" s="1" t="s">
        <v>35</v>
      </c>
      <c r="E971" s="1" t="s">
        <v>36</v>
      </c>
      <c r="F971" s="1" t="s">
        <v>28</v>
      </c>
      <c r="G971" s="1">
        <v>1</v>
      </c>
      <c r="H971" s="1" t="s">
        <v>37</v>
      </c>
      <c r="I971" s="1" t="s">
        <v>49</v>
      </c>
      <c r="J971" s="1" t="s">
        <v>31</v>
      </c>
      <c r="K971" s="1" t="s">
        <v>33</v>
      </c>
      <c r="L971" s="1">
        <v>48</v>
      </c>
      <c r="M971" s="1">
        <v>4</v>
      </c>
      <c r="N971" s="1" t="s">
        <v>47</v>
      </c>
      <c r="O971" s="1">
        <v>4</v>
      </c>
      <c r="P971" s="1">
        <v>3</v>
      </c>
      <c r="Q971" s="1">
        <v>4</v>
      </c>
      <c r="R971" s="1">
        <v>7898</v>
      </c>
      <c r="S971" s="1">
        <v>11</v>
      </c>
      <c r="T971" s="1">
        <v>3</v>
      </c>
      <c r="U971" s="1">
        <v>10</v>
      </c>
      <c r="V971" s="1">
        <v>9</v>
      </c>
      <c r="W971" s="1">
        <v>0</v>
      </c>
      <c r="X971" s="1">
        <v>8</v>
      </c>
    </row>
    <row r="972" spans="1:24">
      <c r="A972" s="1">
        <v>971</v>
      </c>
      <c r="B972" s="1" t="s">
        <v>33</v>
      </c>
      <c r="C972" s="1" t="s">
        <v>25</v>
      </c>
      <c r="D972" s="1" t="s">
        <v>43</v>
      </c>
      <c r="E972" s="1" t="s">
        <v>27</v>
      </c>
      <c r="F972" s="1" t="s">
        <v>45</v>
      </c>
      <c r="G972" s="1">
        <v>1</v>
      </c>
      <c r="H972" s="1" t="s">
        <v>29</v>
      </c>
      <c r="I972" s="1" t="s">
        <v>54</v>
      </c>
      <c r="J972" s="1" t="s">
        <v>39</v>
      </c>
      <c r="K972" s="1" t="s">
        <v>33</v>
      </c>
      <c r="L972" s="1">
        <v>27</v>
      </c>
      <c r="M972" s="1">
        <v>11</v>
      </c>
      <c r="N972" s="1" t="s">
        <v>47</v>
      </c>
      <c r="O972" s="1">
        <v>3</v>
      </c>
      <c r="P972" s="1">
        <v>1</v>
      </c>
      <c r="Q972" s="1">
        <v>4</v>
      </c>
      <c r="R972" s="1">
        <v>2534</v>
      </c>
      <c r="S972" s="1">
        <v>5</v>
      </c>
      <c r="T972" s="1">
        <v>3</v>
      </c>
      <c r="U972" s="1">
        <v>1</v>
      </c>
      <c r="V972" s="1">
        <v>0</v>
      </c>
      <c r="W972" s="1">
        <v>0</v>
      </c>
      <c r="X972" s="1">
        <v>0</v>
      </c>
    </row>
    <row r="973" spans="1:24">
      <c r="A973" s="1">
        <v>972</v>
      </c>
      <c r="B973" s="1" t="s">
        <v>33</v>
      </c>
      <c r="C973" s="1" t="s">
        <v>25</v>
      </c>
      <c r="D973" s="1" t="s">
        <v>35</v>
      </c>
      <c r="E973" s="1" t="s">
        <v>36</v>
      </c>
      <c r="F973" s="1" t="s">
        <v>57</v>
      </c>
      <c r="G973" s="1">
        <v>1</v>
      </c>
      <c r="H973" s="1" t="s">
        <v>29</v>
      </c>
      <c r="I973" s="1" t="s">
        <v>49</v>
      </c>
      <c r="J973" s="1" t="s">
        <v>31</v>
      </c>
      <c r="K973" s="1" t="s">
        <v>33</v>
      </c>
      <c r="L973" s="1">
        <v>51</v>
      </c>
      <c r="M973" s="1">
        <v>11</v>
      </c>
      <c r="N973" s="1" t="s">
        <v>32</v>
      </c>
      <c r="O973" s="1">
        <v>4</v>
      </c>
      <c r="P973" s="1">
        <v>4</v>
      </c>
      <c r="Q973" s="1">
        <v>2</v>
      </c>
      <c r="R973" s="1">
        <v>13142</v>
      </c>
      <c r="S973" s="1">
        <v>29</v>
      </c>
      <c r="T973" s="1">
        <v>2</v>
      </c>
      <c r="U973" s="1">
        <v>5</v>
      </c>
      <c r="V973" s="1">
        <v>2</v>
      </c>
      <c r="W973" s="1">
        <v>0</v>
      </c>
      <c r="X973" s="1">
        <v>3</v>
      </c>
    </row>
    <row r="974" spans="1:24">
      <c r="A974" s="1">
        <v>973</v>
      </c>
      <c r="B974" s="1" t="s">
        <v>33</v>
      </c>
      <c r="C974" s="1" t="s">
        <v>51</v>
      </c>
      <c r="D974" s="1" t="s">
        <v>52</v>
      </c>
      <c r="E974" s="1" t="s">
        <v>36</v>
      </c>
      <c r="F974" s="1" t="s">
        <v>28</v>
      </c>
      <c r="G974" s="1">
        <v>1</v>
      </c>
      <c r="H974" s="1" t="s">
        <v>29</v>
      </c>
      <c r="I974" s="1" t="s">
        <v>42</v>
      </c>
      <c r="J974" s="1" t="s">
        <v>31</v>
      </c>
      <c r="K974" s="1" t="s">
        <v>33</v>
      </c>
      <c r="L974" s="1">
        <v>18</v>
      </c>
      <c r="M974" s="1">
        <v>1</v>
      </c>
      <c r="N974" s="1" t="s">
        <v>47</v>
      </c>
      <c r="O974" s="1">
        <v>4</v>
      </c>
      <c r="P974" s="1">
        <v>1</v>
      </c>
      <c r="Q974" s="1">
        <v>4</v>
      </c>
      <c r="R974" s="1">
        <v>1611</v>
      </c>
      <c r="S974" s="1">
        <v>0</v>
      </c>
      <c r="T974" s="1">
        <v>4</v>
      </c>
      <c r="U974" s="1">
        <v>0</v>
      </c>
      <c r="V974" s="1">
        <v>0</v>
      </c>
      <c r="W974" s="1">
        <v>0</v>
      </c>
      <c r="X974" s="1">
        <v>0</v>
      </c>
    </row>
    <row r="975" spans="1:24">
      <c r="A975" s="1">
        <v>974</v>
      </c>
      <c r="B975" s="1" t="s">
        <v>33</v>
      </c>
      <c r="C975" s="1" t="s">
        <v>25</v>
      </c>
      <c r="D975" s="1" t="s">
        <v>26</v>
      </c>
      <c r="E975" s="1" t="s">
        <v>36</v>
      </c>
      <c r="F975" s="1" t="s">
        <v>45</v>
      </c>
      <c r="G975" s="1">
        <v>1</v>
      </c>
      <c r="H975" s="1" t="s">
        <v>29</v>
      </c>
      <c r="I975" s="1" t="s">
        <v>42</v>
      </c>
      <c r="J975" s="1" t="s">
        <v>39</v>
      </c>
      <c r="K975" s="1" t="s">
        <v>33</v>
      </c>
      <c r="L975" s="1">
        <v>35</v>
      </c>
      <c r="M975" s="1">
        <v>1</v>
      </c>
      <c r="N975" s="1" t="s">
        <v>47</v>
      </c>
      <c r="O975" s="1">
        <v>4</v>
      </c>
      <c r="P975" s="1">
        <v>2</v>
      </c>
      <c r="Q975" s="1">
        <v>4</v>
      </c>
      <c r="R975" s="1">
        <v>5363</v>
      </c>
      <c r="S975" s="1">
        <v>10</v>
      </c>
      <c r="T975" s="1">
        <v>3</v>
      </c>
      <c r="U975" s="1">
        <v>9</v>
      </c>
      <c r="V975" s="1">
        <v>7</v>
      </c>
      <c r="W975" s="1">
        <v>0</v>
      </c>
      <c r="X975" s="1">
        <v>0</v>
      </c>
    </row>
    <row r="976" spans="1:24">
      <c r="A976" s="1">
        <v>975</v>
      </c>
      <c r="B976" s="1" t="s">
        <v>33</v>
      </c>
      <c r="C976" s="1" t="s">
        <v>34</v>
      </c>
      <c r="D976" s="1" t="s">
        <v>43</v>
      </c>
      <c r="E976" s="1" t="s">
        <v>27</v>
      </c>
      <c r="F976" s="1" t="s">
        <v>28</v>
      </c>
      <c r="G976" s="1">
        <v>1</v>
      </c>
      <c r="H976" s="1" t="s">
        <v>37</v>
      </c>
      <c r="I976" s="1" t="s">
        <v>30</v>
      </c>
      <c r="J976" s="1" t="s">
        <v>31</v>
      </c>
      <c r="K976" s="1" t="s">
        <v>33</v>
      </c>
      <c r="L976" s="1">
        <v>27</v>
      </c>
      <c r="M976" s="1">
        <v>2</v>
      </c>
      <c r="N976" s="1" t="s">
        <v>40</v>
      </c>
      <c r="O976" s="1">
        <v>4</v>
      </c>
      <c r="P976" s="1">
        <v>2</v>
      </c>
      <c r="Q976" s="1">
        <v>4</v>
      </c>
      <c r="R976" s="1">
        <v>5071</v>
      </c>
      <c r="S976" s="1">
        <v>8</v>
      </c>
      <c r="T976" s="1">
        <v>3</v>
      </c>
      <c r="U976" s="1">
        <v>6</v>
      </c>
      <c r="V976" s="1">
        <v>2</v>
      </c>
      <c r="W976" s="1">
        <v>0</v>
      </c>
      <c r="X976" s="1">
        <v>0</v>
      </c>
    </row>
    <row r="977" spans="1:24">
      <c r="A977" s="1">
        <v>976</v>
      </c>
      <c r="B977" s="1" t="s">
        <v>24</v>
      </c>
      <c r="C977" s="1" t="s">
        <v>25</v>
      </c>
      <c r="D977" s="1" t="s">
        <v>46</v>
      </c>
      <c r="E977" s="1" t="s">
        <v>27</v>
      </c>
      <c r="F977" s="1" t="s">
        <v>56</v>
      </c>
      <c r="G977" s="1">
        <v>1</v>
      </c>
      <c r="H977" s="1" t="s">
        <v>37</v>
      </c>
      <c r="I977" s="1" t="s">
        <v>30</v>
      </c>
      <c r="J977" s="1" t="s">
        <v>31</v>
      </c>
      <c r="K977" s="1" t="s">
        <v>24</v>
      </c>
      <c r="L977" s="1">
        <v>55</v>
      </c>
      <c r="M977" s="1">
        <v>13</v>
      </c>
      <c r="N977" s="1" t="s">
        <v>44</v>
      </c>
      <c r="O977" s="1">
        <v>1</v>
      </c>
      <c r="P977" s="1">
        <v>4</v>
      </c>
      <c r="Q977" s="1">
        <v>3</v>
      </c>
      <c r="R977" s="1">
        <v>13695</v>
      </c>
      <c r="S977" s="1">
        <v>24</v>
      </c>
      <c r="T977" s="1">
        <v>2</v>
      </c>
      <c r="U977" s="1">
        <v>19</v>
      </c>
      <c r="V977" s="1">
        <v>7</v>
      </c>
      <c r="W977" s="1">
        <v>3</v>
      </c>
      <c r="X977" s="1">
        <v>8</v>
      </c>
    </row>
    <row r="978" spans="1:24">
      <c r="A978" s="1">
        <v>977</v>
      </c>
      <c r="B978" s="1" t="s">
        <v>33</v>
      </c>
      <c r="C978" s="1" t="s">
        <v>25</v>
      </c>
      <c r="D978" s="1" t="s">
        <v>46</v>
      </c>
      <c r="E978" s="1" t="s">
        <v>36</v>
      </c>
      <c r="F978" s="1" t="s">
        <v>28</v>
      </c>
      <c r="G978" s="1">
        <v>1</v>
      </c>
      <c r="H978" s="1" t="s">
        <v>37</v>
      </c>
      <c r="I978" s="1" t="s">
        <v>49</v>
      </c>
      <c r="J978" s="1" t="s">
        <v>39</v>
      </c>
      <c r="K978" s="1" t="s">
        <v>24</v>
      </c>
      <c r="L978" s="1">
        <v>56</v>
      </c>
      <c r="M978" s="1">
        <v>23</v>
      </c>
      <c r="N978" s="1" t="s">
        <v>47</v>
      </c>
      <c r="O978" s="1">
        <v>4</v>
      </c>
      <c r="P978" s="1">
        <v>4</v>
      </c>
      <c r="Q978" s="1">
        <v>2</v>
      </c>
      <c r="R978" s="1">
        <v>13402</v>
      </c>
      <c r="S978" s="1">
        <v>33</v>
      </c>
      <c r="T978" s="1">
        <v>3</v>
      </c>
      <c r="U978" s="1">
        <v>19</v>
      </c>
      <c r="V978" s="1">
        <v>16</v>
      </c>
      <c r="W978" s="1">
        <v>15</v>
      </c>
      <c r="X978" s="1">
        <v>9</v>
      </c>
    </row>
    <row r="979" spans="1:24">
      <c r="A979" s="1">
        <v>978</v>
      </c>
      <c r="B979" s="1" t="s">
        <v>33</v>
      </c>
      <c r="C979" s="1" t="s">
        <v>51</v>
      </c>
      <c r="D979" s="1" t="s">
        <v>43</v>
      </c>
      <c r="E979" s="1" t="s">
        <v>36</v>
      </c>
      <c r="F979" s="1" t="s">
        <v>57</v>
      </c>
      <c r="G979" s="1">
        <v>1</v>
      </c>
      <c r="H979" s="1" t="s">
        <v>29</v>
      </c>
      <c r="I979" s="1" t="s">
        <v>38</v>
      </c>
      <c r="J979" s="1" t="s">
        <v>48</v>
      </c>
      <c r="K979" s="1" t="s">
        <v>33</v>
      </c>
      <c r="L979" s="1">
        <v>34</v>
      </c>
      <c r="M979" s="1">
        <v>26</v>
      </c>
      <c r="N979" s="1" t="s">
        <v>40</v>
      </c>
      <c r="O979" s="1">
        <v>1</v>
      </c>
      <c r="P979" s="1">
        <v>1</v>
      </c>
      <c r="Q979" s="1">
        <v>3</v>
      </c>
      <c r="R979" s="1">
        <v>2029</v>
      </c>
      <c r="S979" s="1">
        <v>5</v>
      </c>
      <c r="T979" s="1">
        <v>3</v>
      </c>
      <c r="U979" s="1">
        <v>5</v>
      </c>
      <c r="V979" s="1">
        <v>4</v>
      </c>
      <c r="W979" s="1">
        <v>0</v>
      </c>
      <c r="X979" s="1">
        <v>0</v>
      </c>
    </row>
    <row r="980" spans="1:24">
      <c r="A980" s="1">
        <v>979</v>
      </c>
      <c r="B980" s="1" t="s">
        <v>33</v>
      </c>
      <c r="C980" s="1" t="s">
        <v>25</v>
      </c>
      <c r="D980" s="1" t="s">
        <v>26</v>
      </c>
      <c r="E980" s="1" t="s">
        <v>36</v>
      </c>
      <c r="F980" s="1" t="s">
        <v>45</v>
      </c>
      <c r="G980" s="1">
        <v>1</v>
      </c>
      <c r="H980" s="1" t="s">
        <v>29</v>
      </c>
      <c r="I980" s="1" t="s">
        <v>50</v>
      </c>
      <c r="J980" s="1" t="s">
        <v>48</v>
      </c>
      <c r="K980" s="1" t="s">
        <v>33</v>
      </c>
      <c r="L980" s="1">
        <v>40</v>
      </c>
      <c r="M980" s="1">
        <v>2</v>
      </c>
      <c r="N980" s="1" t="s">
        <v>40</v>
      </c>
      <c r="O980" s="1">
        <v>2</v>
      </c>
      <c r="P980" s="1">
        <v>2</v>
      </c>
      <c r="Q980" s="1">
        <v>3</v>
      </c>
      <c r="R980" s="1">
        <v>6377</v>
      </c>
      <c r="S980" s="1">
        <v>15</v>
      </c>
      <c r="T980" s="1">
        <v>3</v>
      </c>
      <c r="U980" s="1">
        <v>12</v>
      </c>
      <c r="V980" s="1">
        <v>11</v>
      </c>
      <c r="W980" s="1">
        <v>11</v>
      </c>
      <c r="X980" s="1">
        <v>8</v>
      </c>
    </row>
    <row r="981" spans="1:24">
      <c r="A981" s="1">
        <v>980</v>
      </c>
      <c r="B981" s="1" t="s">
        <v>33</v>
      </c>
      <c r="C981" s="1" t="s">
        <v>25</v>
      </c>
      <c r="D981" s="1" t="s">
        <v>43</v>
      </c>
      <c r="E981" s="1" t="s">
        <v>36</v>
      </c>
      <c r="F981" s="1" t="s">
        <v>45</v>
      </c>
      <c r="G981" s="1">
        <v>1</v>
      </c>
      <c r="H981" s="1" t="s">
        <v>37</v>
      </c>
      <c r="I981" s="1" t="s">
        <v>42</v>
      </c>
      <c r="J981" s="1" t="s">
        <v>39</v>
      </c>
      <c r="K981" s="1" t="s">
        <v>33</v>
      </c>
      <c r="L981" s="1">
        <v>34</v>
      </c>
      <c r="M981" s="1">
        <v>29</v>
      </c>
      <c r="N981" s="1" t="s">
        <v>47</v>
      </c>
      <c r="O981" s="1">
        <v>2</v>
      </c>
      <c r="P981" s="1">
        <v>2</v>
      </c>
      <c r="Q981" s="1">
        <v>3</v>
      </c>
      <c r="R981" s="1">
        <v>5429</v>
      </c>
      <c r="S981" s="1">
        <v>10</v>
      </c>
      <c r="T981" s="1">
        <v>3</v>
      </c>
      <c r="U981" s="1">
        <v>8</v>
      </c>
      <c r="V981" s="1">
        <v>7</v>
      </c>
      <c r="W981" s="1">
        <v>7</v>
      </c>
      <c r="X981" s="1">
        <v>7</v>
      </c>
    </row>
    <row r="982" spans="1:24">
      <c r="A982" s="1">
        <v>981</v>
      </c>
      <c r="B982" s="1" t="s">
        <v>24</v>
      </c>
      <c r="C982" s="1" t="s">
        <v>34</v>
      </c>
      <c r="D982" s="1" t="s">
        <v>43</v>
      </c>
      <c r="E982" s="1" t="s">
        <v>27</v>
      </c>
      <c r="F982" s="1" t="s">
        <v>28</v>
      </c>
      <c r="G982" s="1">
        <v>1</v>
      </c>
      <c r="H982" s="1" t="s">
        <v>29</v>
      </c>
      <c r="I982" s="1" t="s">
        <v>54</v>
      </c>
      <c r="J982" s="1" t="s">
        <v>31</v>
      </c>
      <c r="K982" s="1" t="s">
        <v>33</v>
      </c>
      <c r="L982" s="1">
        <v>31</v>
      </c>
      <c r="M982" s="1">
        <v>2</v>
      </c>
      <c r="N982" s="1" t="s">
        <v>47</v>
      </c>
      <c r="O982" s="1">
        <v>3</v>
      </c>
      <c r="P982" s="1">
        <v>1</v>
      </c>
      <c r="Q982" s="1">
        <v>4</v>
      </c>
      <c r="R982" s="1">
        <v>2785</v>
      </c>
      <c r="S982" s="1">
        <v>3</v>
      </c>
      <c r="T982" s="1">
        <v>4</v>
      </c>
      <c r="U982" s="1">
        <v>1</v>
      </c>
      <c r="V982" s="1">
        <v>0</v>
      </c>
      <c r="W982" s="1">
        <v>0</v>
      </c>
      <c r="X982" s="1">
        <v>0</v>
      </c>
    </row>
    <row r="983" spans="1:24">
      <c r="A983" s="1">
        <v>982</v>
      </c>
      <c r="B983" s="1" t="s">
        <v>24</v>
      </c>
      <c r="C983" s="1" t="s">
        <v>34</v>
      </c>
      <c r="D983" s="1" t="s">
        <v>26</v>
      </c>
      <c r="E983" s="1" t="s">
        <v>27</v>
      </c>
      <c r="F983" s="1" t="s">
        <v>56</v>
      </c>
      <c r="G983" s="1">
        <v>1</v>
      </c>
      <c r="H983" s="1" t="s">
        <v>29</v>
      </c>
      <c r="I983" s="1" t="s">
        <v>30</v>
      </c>
      <c r="J983" s="1" t="s">
        <v>39</v>
      </c>
      <c r="K983" s="1" t="s">
        <v>24</v>
      </c>
      <c r="L983" s="1">
        <v>35</v>
      </c>
      <c r="M983" s="1">
        <v>18</v>
      </c>
      <c r="N983" s="1" t="s">
        <v>44</v>
      </c>
      <c r="O983" s="1">
        <v>4</v>
      </c>
      <c r="P983" s="1">
        <v>2</v>
      </c>
      <c r="Q983" s="1">
        <v>3</v>
      </c>
      <c r="R983" s="1">
        <v>4614</v>
      </c>
      <c r="S983" s="1">
        <v>5</v>
      </c>
      <c r="T983" s="1">
        <v>2</v>
      </c>
      <c r="U983" s="1">
        <v>4</v>
      </c>
      <c r="V983" s="1">
        <v>2</v>
      </c>
      <c r="W983" s="1">
        <v>3</v>
      </c>
      <c r="X983" s="1">
        <v>2</v>
      </c>
    </row>
    <row r="984" spans="1:24">
      <c r="A984" s="1">
        <v>983</v>
      </c>
      <c r="B984" s="1" t="s">
        <v>33</v>
      </c>
      <c r="C984" s="1" t="s">
        <v>34</v>
      </c>
      <c r="D984" s="1" t="s">
        <v>26</v>
      </c>
      <c r="E984" s="1" t="s">
        <v>36</v>
      </c>
      <c r="F984" s="1" t="s">
        <v>28</v>
      </c>
      <c r="G984" s="1">
        <v>1</v>
      </c>
      <c r="H984" s="1" t="s">
        <v>37</v>
      </c>
      <c r="I984" s="1" t="s">
        <v>38</v>
      </c>
      <c r="J984" s="1" t="s">
        <v>48</v>
      </c>
      <c r="K984" s="1" t="s">
        <v>33</v>
      </c>
      <c r="L984" s="1">
        <v>38</v>
      </c>
      <c r="M984" s="1">
        <v>7</v>
      </c>
      <c r="N984" s="1" t="s">
        <v>47</v>
      </c>
      <c r="O984" s="1">
        <v>4</v>
      </c>
      <c r="P984" s="1">
        <v>1</v>
      </c>
      <c r="Q984" s="1">
        <v>3</v>
      </c>
      <c r="R984" s="1">
        <v>2610</v>
      </c>
      <c r="S984" s="1">
        <v>4</v>
      </c>
      <c r="T984" s="1">
        <v>3</v>
      </c>
      <c r="U984" s="1">
        <v>4</v>
      </c>
      <c r="V984" s="1">
        <v>2</v>
      </c>
      <c r="W984" s="1">
        <v>0</v>
      </c>
      <c r="X984" s="1">
        <v>3</v>
      </c>
    </row>
    <row r="985" spans="1:24">
      <c r="A985" s="1">
        <v>984</v>
      </c>
      <c r="B985" s="1" t="s">
        <v>33</v>
      </c>
      <c r="C985" s="1" t="s">
        <v>25</v>
      </c>
      <c r="D985" s="1" t="s">
        <v>43</v>
      </c>
      <c r="E985" s="1" t="s">
        <v>36</v>
      </c>
      <c r="F985" s="1" t="s">
        <v>57</v>
      </c>
      <c r="G985" s="1">
        <v>1</v>
      </c>
      <c r="H985" s="1" t="s">
        <v>29</v>
      </c>
      <c r="I985" s="1" t="s">
        <v>50</v>
      </c>
      <c r="J985" s="1" t="s">
        <v>31</v>
      </c>
      <c r="K985" s="1" t="s">
        <v>33</v>
      </c>
      <c r="L985" s="1">
        <v>34</v>
      </c>
      <c r="M985" s="1">
        <v>2</v>
      </c>
      <c r="N985" s="1" t="s">
        <v>44</v>
      </c>
      <c r="O985" s="1">
        <v>3</v>
      </c>
      <c r="P985" s="1">
        <v>2</v>
      </c>
      <c r="Q985" s="1">
        <v>4</v>
      </c>
      <c r="R985" s="1">
        <v>6687</v>
      </c>
      <c r="S985" s="1">
        <v>14</v>
      </c>
      <c r="T985" s="1">
        <v>4</v>
      </c>
      <c r="U985" s="1">
        <v>14</v>
      </c>
      <c r="V985" s="1">
        <v>11</v>
      </c>
      <c r="W985" s="1">
        <v>4</v>
      </c>
      <c r="X985" s="1">
        <v>11</v>
      </c>
    </row>
    <row r="986" spans="1:24">
      <c r="A986" s="1">
        <v>985</v>
      </c>
      <c r="B986" s="1" t="s">
        <v>33</v>
      </c>
      <c r="C986" s="1" t="s">
        <v>25</v>
      </c>
      <c r="D986" s="1" t="s">
        <v>43</v>
      </c>
      <c r="E986" s="1" t="s">
        <v>27</v>
      </c>
      <c r="F986" s="1" t="s">
        <v>28</v>
      </c>
      <c r="G986" s="1">
        <v>1</v>
      </c>
      <c r="H986" s="1" t="s">
        <v>37</v>
      </c>
      <c r="I986" s="1" t="s">
        <v>30</v>
      </c>
      <c r="J986" s="1" t="s">
        <v>39</v>
      </c>
      <c r="K986" s="1" t="s">
        <v>33</v>
      </c>
      <c r="L986" s="1">
        <v>28</v>
      </c>
      <c r="M986" s="1">
        <v>26</v>
      </c>
      <c r="N986" s="1" t="s">
        <v>47</v>
      </c>
      <c r="O986" s="1">
        <v>3</v>
      </c>
      <c r="P986" s="1">
        <v>2</v>
      </c>
      <c r="Q986" s="1">
        <v>1</v>
      </c>
      <c r="R986" s="1">
        <v>4724</v>
      </c>
      <c r="S986" s="1">
        <v>5</v>
      </c>
      <c r="T986" s="1">
        <v>3</v>
      </c>
      <c r="U986" s="1">
        <v>5</v>
      </c>
      <c r="V986" s="1">
        <v>3</v>
      </c>
      <c r="W986" s="1">
        <v>0</v>
      </c>
      <c r="X986" s="1">
        <v>4</v>
      </c>
    </row>
    <row r="987" spans="1:24">
      <c r="A987" s="1">
        <v>986</v>
      </c>
      <c r="B987" s="1" t="s">
        <v>24</v>
      </c>
      <c r="C987" s="1" t="s">
        <v>25</v>
      </c>
      <c r="D987" s="1" t="s">
        <v>43</v>
      </c>
      <c r="E987" s="1" t="s">
        <v>36</v>
      </c>
      <c r="F987" s="1" t="s">
        <v>45</v>
      </c>
      <c r="G987" s="1">
        <v>1</v>
      </c>
      <c r="H987" s="1" t="s">
        <v>37</v>
      </c>
      <c r="I987" s="1" t="s">
        <v>49</v>
      </c>
      <c r="J987" s="1" t="s">
        <v>39</v>
      </c>
      <c r="K987" s="1" t="s">
        <v>24</v>
      </c>
      <c r="L987" s="1">
        <v>31</v>
      </c>
      <c r="M987" s="1">
        <v>22</v>
      </c>
      <c r="N987" s="1" t="s">
        <v>44</v>
      </c>
      <c r="O987" s="1">
        <v>4</v>
      </c>
      <c r="P987" s="1">
        <v>2</v>
      </c>
      <c r="Q987" s="1">
        <v>3</v>
      </c>
      <c r="R987" s="1">
        <v>6179</v>
      </c>
      <c r="S987" s="1">
        <v>10</v>
      </c>
      <c r="T987" s="1">
        <v>2</v>
      </c>
      <c r="U987" s="1">
        <v>10</v>
      </c>
      <c r="V987" s="1">
        <v>2</v>
      </c>
      <c r="W987" s="1">
        <v>6</v>
      </c>
      <c r="X987" s="1">
        <v>7</v>
      </c>
    </row>
    <row r="988" spans="1:24">
      <c r="A988" s="1">
        <v>987</v>
      </c>
      <c r="B988" s="1" t="s">
        <v>33</v>
      </c>
      <c r="C988" s="1" t="s">
        <v>25</v>
      </c>
      <c r="D988" s="1" t="s">
        <v>26</v>
      </c>
      <c r="E988" s="1" t="s">
        <v>27</v>
      </c>
      <c r="F988" s="1" t="s">
        <v>28</v>
      </c>
      <c r="G988" s="1">
        <v>1</v>
      </c>
      <c r="H988" s="1" t="s">
        <v>37</v>
      </c>
      <c r="I988" s="1" t="s">
        <v>30</v>
      </c>
      <c r="J988" s="1" t="s">
        <v>39</v>
      </c>
      <c r="K988" s="1" t="s">
        <v>24</v>
      </c>
      <c r="L988" s="1">
        <v>39</v>
      </c>
      <c r="M988" s="1">
        <v>21</v>
      </c>
      <c r="N988" s="1" t="s">
        <v>44</v>
      </c>
      <c r="O988" s="1">
        <v>1</v>
      </c>
      <c r="P988" s="1">
        <v>2</v>
      </c>
      <c r="Q988" s="1">
        <v>4</v>
      </c>
      <c r="R988" s="1">
        <v>6120</v>
      </c>
      <c r="S988" s="1">
        <v>8</v>
      </c>
      <c r="T988" s="1">
        <v>4</v>
      </c>
      <c r="U988" s="1">
        <v>5</v>
      </c>
      <c r="V988" s="1">
        <v>4</v>
      </c>
      <c r="W988" s="1">
        <v>1</v>
      </c>
      <c r="X988" s="1">
        <v>4</v>
      </c>
    </row>
    <row r="989" spans="1:24">
      <c r="A989" s="1">
        <v>988</v>
      </c>
      <c r="B989" s="1" t="s">
        <v>33</v>
      </c>
      <c r="C989" s="1" t="s">
        <v>34</v>
      </c>
      <c r="D989" s="1" t="s">
        <v>35</v>
      </c>
      <c r="E989" s="1" t="s">
        <v>27</v>
      </c>
      <c r="F989" s="1" t="s">
        <v>56</v>
      </c>
      <c r="G989" s="1">
        <v>1</v>
      </c>
      <c r="H989" s="1" t="s">
        <v>37</v>
      </c>
      <c r="I989" s="1" t="s">
        <v>30</v>
      </c>
      <c r="J989" s="1" t="s">
        <v>39</v>
      </c>
      <c r="K989" s="1" t="s">
        <v>33</v>
      </c>
      <c r="L989" s="1">
        <v>51</v>
      </c>
      <c r="M989" s="1">
        <v>2</v>
      </c>
      <c r="N989" s="1" t="s">
        <v>47</v>
      </c>
      <c r="O989" s="1">
        <v>2</v>
      </c>
      <c r="P989" s="1">
        <v>3</v>
      </c>
      <c r="Q989" s="1">
        <v>2</v>
      </c>
      <c r="R989" s="1">
        <v>10596</v>
      </c>
      <c r="S989" s="1">
        <v>14</v>
      </c>
      <c r="T989" s="1">
        <v>3</v>
      </c>
      <c r="U989" s="1">
        <v>4</v>
      </c>
      <c r="V989" s="1">
        <v>2</v>
      </c>
      <c r="W989" s="1">
        <v>3</v>
      </c>
      <c r="X989" s="1">
        <v>2</v>
      </c>
    </row>
    <row r="990" spans="1:24">
      <c r="A990" s="1">
        <v>989</v>
      </c>
      <c r="B990" s="1" t="s">
        <v>33</v>
      </c>
      <c r="C990" s="1" t="s">
        <v>34</v>
      </c>
      <c r="D990" s="1" t="s">
        <v>26</v>
      </c>
      <c r="E990" s="1" t="s">
        <v>36</v>
      </c>
      <c r="F990" s="1" t="s">
        <v>28</v>
      </c>
      <c r="G990" s="1">
        <v>1</v>
      </c>
      <c r="H990" s="1" t="s">
        <v>29</v>
      </c>
      <c r="I990" s="1" t="s">
        <v>38</v>
      </c>
      <c r="J990" s="1" t="s">
        <v>48</v>
      </c>
      <c r="K990" s="1" t="s">
        <v>24</v>
      </c>
      <c r="L990" s="1">
        <v>41</v>
      </c>
      <c r="M990" s="1">
        <v>22</v>
      </c>
      <c r="N990" s="1" t="s">
        <v>47</v>
      </c>
      <c r="O990" s="1">
        <v>4</v>
      </c>
      <c r="P990" s="1">
        <v>2</v>
      </c>
      <c r="Q990" s="1">
        <v>4</v>
      </c>
      <c r="R990" s="1">
        <v>5467</v>
      </c>
      <c r="S990" s="1">
        <v>12</v>
      </c>
      <c r="T990" s="1">
        <v>2</v>
      </c>
      <c r="U990" s="1">
        <v>6</v>
      </c>
      <c r="V990" s="1">
        <v>2</v>
      </c>
      <c r="W990" s="1">
        <v>3</v>
      </c>
      <c r="X990" s="1">
        <v>3</v>
      </c>
    </row>
    <row r="991" spans="1:24">
      <c r="A991" s="1">
        <v>990</v>
      </c>
      <c r="B991" s="1" t="s">
        <v>33</v>
      </c>
      <c r="C991" s="1" t="s">
        <v>25</v>
      </c>
      <c r="D991" s="1" t="s">
        <v>26</v>
      </c>
      <c r="E991" s="1" t="s">
        <v>36</v>
      </c>
      <c r="F991" s="1" t="s">
        <v>28</v>
      </c>
      <c r="G991" s="1">
        <v>1</v>
      </c>
      <c r="H991" s="1" t="s">
        <v>37</v>
      </c>
      <c r="I991" s="1" t="s">
        <v>38</v>
      </c>
      <c r="J991" s="1" t="s">
        <v>39</v>
      </c>
      <c r="K991" s="1" t="s">
        <v>24</v>
      </c>
      <c r="L991" s="1">
        <v>37</v>
      </c>
      <c r="M991" s="1">
        <v>4</v>
      </c>
      <c r="N991" s="1" t="s">
        <v>40</v>
      </c>
      <c r="O991" s="1">
        <v>3</v>
      </c>
      <c r="P991" s="1">
        <v>1</v>
      </c>
      <c r="Q991" s="1">
        <v>3</v>
      </c>
      <c r="R991" s="1">
        <v>2996</v>
      </c>
      <c r="S991" s="1">
        <v>8</v>
      </c>
      <c r="T991" s="1">
        <v>3</v>
      </c>
      <c r="U991" s="1">
        <v>6</v>
      </c>
      <c r="V991" s="1">
        <v>4</v>
      </c>
      <c r="W991" s="1">
        <v>1</v>
      </c>
      <c r="X991" s="1">
        <v>3</v>
      </c>
    </row>
    <row r="992" spans="1:24">
      <c r="A992" s="1">
        <v>991</v>
      </c>
      <c r="B992" s="1" t="s">
        <v>33</v>
      </c>
      <c r="C992" s="1" t="s">
        <v>34</v>
      </c>
      <c r="D992" s="1" t="s">
        <v>43</v>
      </c>
      <c r="E992" s="1" t="s">
        <v>27</v>
      </c>
      <c r="F992" s="1" t="s">
        <v>28</v>
      </c>
      <c r="G992" s="1">
        <v>1</v>
      </c>
      <c r="H992" s="1" t="s">
        <v>37</v>
      </c>
      <c r="I992" s="1" t="s">
        <v>30</v>
      </c>
      <c r="J992" s="1" t="s">
        <v>39</v>
      </c>
      <c r="K992" s="1" t="s">
        <v>33</v>
      </c>
      <c r="L992" s="1">
        <v>33</v>
      </c>
      <c r="M992" s="1">
        <v>5</v>
      </c>
      <c r="N992" s="1" t="s">
        <v>40</v>
      </c>
      <c r="O992" s="1">
        <v>2</v>
      </c>
      <c r="P992" s="1">
        <v>2</v>
      </c>
      <c r="Q992" s="1">
        <v>4</v>
      </c>
      <c r="R992" s="1">
        <v>9998</v>
      </c>
      <c r="S992" s="1">
        <v>8</v>
      </c>
      <c r="T992" s="1">
        <v>4</v>
      </c>
      <c r="U992" s="1">
        <v>5</v>
      </c>
      <c r="V992" s="1">
        <v>4</v>
      </c>
      <c r="W992" s="1">
        <v>1</v>
      </c>
      <c r="X992" s="1">
        <v>2</v>
      </c>
    </row>
    <row r="993" spans="1:24">
      <c r="A993" s="1">
        <v>992</v>
      </c>
      <c r="B993" s="1" t="s">
        <v>33</v>
      </c>
      <c r="C993" s="1" t="s">
        <v>25</v>
      </c>
      <c r="D993" s="1" t="s">
        <v>43</v>
      </c>
      <c r="E993" s="1" t="s">
        <v>27</v>
      </c>
      <c r="F993" s="1" t="s">
        <v>56</v>
      </c>
      <c r="G993" s="1">
        <v>1</v>
      </c>
      <c r="H993" s="1" t="s">
        <v>37</v>
      </c>
      <c r="I993" s="1" t="s">
        <v>30</v>
      </c>
      <c r="J993" s="1" t="s">
        <v>39</v>
      </c>
      <c r="K993" s="1" t="s">
        <v>24</v>
      </c>
      <c r="L993" s="1">
        <v>32</v>
      </c>
      <c r="M993" s="1">
        <v>2</v>
      </c>
      <c r="N993" s="1" t="s">
        <v>40</v>
      </c>
      <c r="O993" s="1">
        <v>3</v>
      </c>
      <c r="P993" s="1">
        <v>2</v>
      </c>
      <c r="Q993" s="1">
        <v>2</v>
      </c>
      <c r="R993" s="1">
        <v>4078</v>
      </c>
      <c r="S993" s="1">
        <v>4</v>
      </c>
      <c r="T993" s="1">
        <v>2</v>
      </c>
      <c r="U993" s="1">
        <v>3</v>
      </c>
      <c r="V993" s="1">
        <v>2</v>
      </c>
      <c r="W993" s="1">
        <v>1</v>
      </c>
      <c r="X993" s="1">
        <v>2</v>
      </c>
    </row>
    <row r="994" spans="1:24">
      <c r="A994" s="1">
        <v>993</v>
      </c>
      <c r="B994" s="1" t="s">
        <v>33</v>
      </c>
      <c r="C994" s="1" t="s">
        <v>51</v>
      </c>
      <c r="D994" s="1" t="s">
        <v>26</v>
      </c>
      <c r="E994" s="1" t="s">
        <v>36</v>
      </c>
      <c r="F994" s="1" t="s">
        <v>28</v>
      </c>
      <c r="G994" s="1">
        <v>1</v>
      </c>
      <c r="H994" s="1" t="s">
        <v>37</v>
      </c>
      <c r="I994" s="1" t="s">
        <v>50</v>
      </c>
      <c r="J994" s="1" t="s">
        <v>39</v>
      </c>
      <c r="K994" s="1" t="s">
        <v>33</v>
      </c>
      <c r="L994" s="1">
        <v>39</v>
      </c>
      <c r="M994" s="1">
        <v>25</v>
      </c>
      <c r="N994" s="1" t="s">
        <v>32</v>
      </c>
      <c r="O994" s="1">
        <v>3</v>
      </c>
      <c r="P994" s="1">
        <v>3</v>
      </c>
      <c r="Q994" s="1">
        <v>3</v>
      </c>
      <c r="R994" s="1">
        <v>10920</v>
      </c>
      <c r="S994" s="1">
        <v>13</v>
      </c>
      <c r="T994" s="1">
        <v>3</v>
      </c>
      <c r="U994" s="1">
        <v>6</v>
      </c>
      <c r="V994" s="1">
        <v>4</v>
      </c>
      <c r="W994" s="1">
        <v>0</v>
      </c>
      <c r="X994" s="1">
        <v>5</v>
      </c>
    </row>
    <row r="995" spans="1:24">
      <c r="A995" s="1">
        <v>994</v>
      </c>
      <c r="B995" s="1" t="s">
        <v>33</v>
      </c>
      <c r="C995" s="1" t="s">
        <v>25</v>
      </c>
      <c r="D995" s="1" t="s">
        <v>43</v>
      </c>
      <c r="E995" s="1" t="s">
        <v>27</v>
      </c>
      <c r="F995" s="1" t="s">
        <v>28</v>
      </c>
      <c r="G995" s="1">
        <v>1</v>
      </c>
      <c r="H995" s="1" t="s">
        <v>37</v>
      </c>
      <c r="I995" s="1" t="s">
        <v>30</v>
      </c>
      <c r="J995" s="1" t="s">
        <v>39</v>
      </c>
      <c r="K995" s="1" t="s">
        <v>33</v>
      </c>
      <c r="L995" s="1">
        <v>25</v>
      </c>
      <c r="M995" s="1">
        <v>18</v>
      </c>
      <c r="N995" s="1" t="s">
        <v>40</v>
      </c>
      <c r="O995" s="1">
        <v>1</v>
      </c>
      <c r="P995" s="1">
        <v>2</v>
      </c>
      <c r="Q995" s="1">
        <v>3</v>
      </c>
      <c r="R995" s="1">
        <v>6232</v>
      </c>
      <c r="S995" s="1">
        <v>6</v>
      </c>
      <c r="T995" s="1">
        <v>2</v>
      </c>
      <c r="U995" s="1">
        <v>3</v>
      </c>
      <c r="V995" s="1">
        <v>2</v>
      </c>
      <c r="W995" s="1">
        <v>1</v>
      </c>
      <c r="X995" s="1">
        <v>2</v>
      </c>
    </row>
    <row r="996" spans="1:24">
      <c r="A996" s="1">
        <v>995</v>
      </c>
      <c r="B996" s="1" t="s">
        <v>33</v>
      </c>
      <c r="C996" s="1" t="s">
        <v>34</v>
      </c>
      <c r="D996" s="1" t="s">
        <v>35</v>
      </c>
      <c r="E996" s="1" t="s">
        <v>36</v>
      </c>
      <c r="F996" s="1" t="s">
        <v>45</v>
      </c>
      <c r="G996" s="1">
        <v>1</v>
      </c>
      <c r="H996" s="1" t="s">
        <v>29</v>
      </c>
      <c r="I996" s="1" t="s">
        <v>49</v>
      </c>
      <c r="J996" s="1" t="s">
        <v>39</v>
      </c>
      <c r="K996" s="1" t="s">
        <v>24</v>
      </c>
      <c r="L996" s="1">
        <v>52</v>
      </c>
      <c r="M996" s="1">
        <v>28</v>
      </c>
      <c r="N996" s="1" t="s">
        <v>32</v>
      </c>
      <c r="O996" s="1">
        <v>4</v>
      </c>
      <c r="P996" s="1">
        <v>4</v>
      </c>
      <c r="Q996" s="1">
        <v>3</v>
      </c>
      <c r="R996" s="1">
        <v>13247</v>
      </c>
      <c r="S996" s="1">
        <v>24</v>
      </c>
      <c r="T996" s="1">
        <v>2</v>
      </c>
      <c r="U996" s="1">
        <v>5</v>
      </c>
      <c r="V996" s="1">
        <v>3</v>
      </c>
      <c r="W996" s="1">
        <v>0</v>
      </c>
      <c r="X996" s="1">
        <v>2</v>
      </c>
    </row>
    <row r="997" spans="1:24">
      <c r="A997" s="1">
        <v>996</v>
      </c>
      <c r="B997" s="1" t="s">
        <v>33</v>
      </c>
      <c r="C997" s="1" t="s">
        <v>25</v>
      </c>
      <c r="D997" s="1" t="s">
        <v>26</v>
      </c>
      <c r="E997" s="1" t="s">
        <v>36</v>
      </c>
      <c r="F997" s="1" t="s">
        <v>45</v>
      </c>
      <c r="G997" s="1">
        <v>1</v>
      </c>
      <c r="H997" s="1" t="s">
        <v>29</v>
      </c>
      <c r="I997" s="1" t="s">
        <v>38</v>
      </c>
      <c r="J997" s="1" t="s">
        <v>31</v>
      </c>
      <c r="K997" s="1" t="s">
        <v>24</v>
      </c>
      <c r="L997" s="1">
        <v>43</v>
      </c>
      <c r="M997" s="1">
        <v>6</v>
      </c>
      <c r="N997" s="1" t="s">
        <v>47</v>
      </c>
      <c r="O997" s="1">
        <v>1</v>
      </c>
      <c r="P997" s="1">
        <v>2</v>
      </c>
      <c r="Q997" s="1">
        <v>3</v>
      </c>
      <c r="R997" s="1">
        <v>4081</v>
      </c>
      <c r="S997" s="1">
        <v>20</v>
      </c>
      <c r="T997" s="1">
        <v>1</v>
      </c>
      <c r="U997" s="1">
        <v>20</v>
      </c>
      <c r="V997" s="1">
        <v>7</v>
      </c>
      <c r="W997" s="1">
        <v>1</v>
      </c>
      <c r="X997" s="1">
        <v>8</v>
      </c>
    </row>
    <row r="998" spans="1:24">
      <c r="A998" s="1">
        <v>997</v>
      </c>
      <c r="B998" s="1" t="s">
        <v>33</v>
      </c>
      <c r="C998" s="1" t="s">
        <v>25</v>
      </c>
      <c r="D998" s="1" t="s">
        <v>43</v>
      </c>
      <c r="E998" s="1" t="s">
        <v>27</v>
      </c>
      <c r="F998" s="1" t="s">
        <v>56</v>
      </c>
      <c r="G998" s="1">
        <v>1</v>
      </c>
      <c r="H998" s="1" t="s">
        <v>29</v>
      </c>
      <c r="I998" s="1" t="s">
        <v>30</v>
      </c>
      <c r="J998" s="1" t="s">
        <v>39</v>
      </c>
      <c r="K998" s="1" t="s">
        <v>24</v>
      </c>
      <c r="L998" s="1">
        <v>27</v>
      </c>
      <c r="M998" s="1">
        <v>10</v>
      </c>
      <c r="N998" s="1" t="s">
        <v>47</v>
      </c>
      <c r="O998" s="1">
        <v>4</v>
      </c>
      <c r="P998" s="1">
        <v>2</v>
      </c>
      <c r="Q998" s="1">
        <v>4</v>
      </c>
      <c r="R998" s="1">
        <v>5769</v>
      </c>
      <c r="S998" s="1">
        <v>6</v>
      </c>
      <c r="T998" s="1">
        <v>3</v>
      </c>
      <c r="U998" s="1">
        <v>6</v>
      </c>
      <c r="V998" s="1">
        <v>2</v>
      </c>
      <c r="W998" s="1">
        <v>4</v>
      </c>
      <c r="X998" s="1">
        <v>4</v>
      </c>
    </row>
    <row r="999" spans="1:24">
      <c r="A999" s="1">
        <v>998</v>
      </c>
      <c r="B999" s="1" t="s">
        <v>24</v>
      </c>
      <c r="C999" s="1" t="s">
        <v>25</v>
      </c>
      <c r="D999" s="1" t="s">
        <v>43</v>
      </c>
      <c r="E999" s="1" t="s">
        <v>36</v>
      </c>
      <c r="F999" s="1" t="s">
        <v>28</v>
      </c>
      <c r="G999" s="1">
        <v>1</v>
      </c>
      <c r="H999" s="1" t="s">
        <v>29</v>
      </c>
      <c r="I999" s="1" t="s">
        <v>38</v>
      </c>
      <c r="J999" s="1" t="s">
        <v>31</v>
      </c>
      <c r="K999" s="1" t="s">
        <v>24</v>
      </c>
      <c r="L999" s="1">
        <v>27</v>
      </c>
      <c r="M999" s="1">
        <v>17</v>
      </c>
      <c r="N999" s="1" t="s">
        <v>44</v>
      </c>
      <c r="O999" s="1">
        <v>4</v>
      </c>
      <c r="P999" s="1">
        <v>1</v>
      </c>
      <c r="Q999" s="1">
        <v>3</v>
      </c>
      <c r="R999" s="1">
        <v>2394</v>
      </c>
      <c r="S999" s="1">
        <v>8</v>
      </c>
      <c r="T999" s="1">
        <v>3</v>
      </c>
      <c r="U999" s="1">
        <v>8</v>
      </c>
      <c r="V999" s="1">
        <v>2</v>
      </c>
      <c r="W999" s="1">
        <v>7</v>
      </c>
      <c r="X999" s="1">
        <v>7</v>
      </c>
    </row>
    <row r="1000" spans="1:24">
      <c r="A1000" s="1">
        <v>999</v>
      </c>
      <c r="B1000" s="1" t="s">
        <v>33</v>
      </c>
      <c r="C1000" s="1" t="s">
        <v>25</v>
      </c>
      <c r="D1000" s="1" t="s">
        <v>43</v>
      </c>
      <c r="E1000" s="1" t="s">
        <v>36</v>
      </c>
      <c r="F1000" s="1" t="s">
        <v>45</v>
      </c>
      <c r="G1000" s="1">
        <v>1</v>
      </c>
      <c r="H1000" s="1" t="s">
        <v>37</v>
      </c>
      <c r="I1000" s="1" t="s">
        <v>38</v>
      </c>
      <c r="J1000" s="1" t="s">
        <v>31</v>
      </c>
      <c r="K1000" s="1" t="s">
        <v>33</v>
      </c>
      <c r="L1000" s="1">
        <v>26</v>
      </c>
      <c r="M1000" s="1">
        <v>2</v>
      </c>
      <c r="N1000" s="1" t="s">
        <v>40</v>
      </c>
      <c r="O1000" s="1">
        <v>1</v>
      </c>
      <c r="P1000" s="1">
        <v>1</v>
      </c>
      <c r="Q1000" s="1">
        <v>4</v>
      </c>
      <c r="R1000" s="1">
        <v>3904</v>
      </c>
      <c r="S1000" s="1">
        <v>5</v>
      </c>
      <c r="T1000" s="1">
        <v>3</v>
      </c>
      <c r="U1000" s="1">
        <v>4</v>
      </c>
      <c r="V1000" s="1">
        <v>3</v>
      </c>
      <c r="W1000" s="1">
        <v>1</v>
      </c>
      <c r="X1000" s="1">
        <v>1</v>
      </c>
    </row>
    <row r="1001" spans="1:24">
      <c r="A1001" s="1">
        <v>1000</v>
      </c>
      <c r="B1001" s="1" t="s">
        <v>33</v>
      </c>
      <c r="C1001" s="1" t="s">
        <v>25</v>
      </c>
      <c r="D1001" s="1" t="s">
        <v>26</v>
      </c>
      <c r="E1001" s="1" t="s">
        <v>59</v>
      </c>
      <c r="F1001" s="1" t="s">
        <v>60</v>
      </c>
      <c r="G1001" s="1">
        <v>1</v>
      </c>
      <c r="H1001" s="1" t="s">
        <v>29</v>
      </c>
      <c r="I1001" s="1" t="s">
        <v>53</v>
      </c>
      <c r="J1001" s="1" t="s">
        <v>39</v>
      </c>
      <c r="K1001" s="1" t="s">
        <v>33</v>
      </c>
      <c r="L1001" s="1">
        <v>42</v>
      </c>
      <c r="M1001" s="1">
        <v>10</v>
      </c>
      <c r="N1001" s="1" t="s">
        <v>47</v>
      </c>
      <c r="O1001" s="1">
        <v>3</v>
      </c>
      <c r="P1001" s="1">
        <v>4</v>
      </c>
      <c r="Q1001" s="1">
        <v>1</v>
      </c>
      <c r="R1001" s="1">
        <v>16799</v>
      </c>
      <c r="S1001" s="1">
        <v>21</v>
      </c>
      <c r="T1001" s="1">
        <v>3</v>
      </c>
      <c r="U1001" s="1">
        <v>20</v>
      </c>
      <c r="V1001" s="1">
        <v>7</v>
      </c>
      <c r="W1001" s="1">
        <v>0</v>
      </c>
      <c r="X1001" s="1">
        <v>9</v>
      </c>
    </row>
    <row r="1002" spans="1:24">
      <c r="A1002" s="1">
        <v>1001</v>
      </c>
      <c r="B1002" s="1" t="s">
        <v>33</v>
      </c>
      <c r="C1002" s="1" t="s">
        <v>51</v>
      </c>
      <c r="D1002" s="1" t="s">
        <v>43</v>
      </c>
      <c r="E1002" s="1" t="s">
        <v>36</v>
      </c>
      <c r="F1002" s="1" t="s">
        <v>45</v>
      </c>
      <c r="G1002" s="1">
        <v>1</v>
      </c>
      <c r="H1002" s="1" t="s">
        <v>29</v>
      </c>
      <c r="I1002" s="1" t="s">
        <v>50</v>
      </c>
      <c r="J1002" s="1" t="s">
        <v>48</v>
      </c>
      <c r="K1002" s="1" t="s">
        <v>33</v>
      </c>
      <c r="L1002" s="1">
        <v>32</v>
      </c>
      <c r="M1002" s="1">
        <v>15</v>
      </c>
      <c r="N1002" s="1" t="s">
        <v>44</v>
      </c>
      <c r="O1002" s="1">
        <v>3</v>
      </c>
      <c r="P1002" s="1">
        <v>2</v>
      </c>
      <c r="Q1002" s="1">
        <v>4</v>
      </c>
      <c r="R1002" s="1">
        <v>6667</v>
      </c>
      <c r="S1002" s="1">
        <v>9</v>
      </c>
      <c r="T1002" s="1">
        <v>3</v>
      </c>
      <c r="U1002" s="1">
        <v>5</v>
      </c>
      <c r="V1002" s="1">
        <v>1</v>
      </c>
      <c r="W1002" s="1">
        <v>1</v>
      </c>
      <c r="X1002" s="1">
        <v>2</v>
      </c>
    </row>
    <row r="1003" spans="1:24">
      <c r="A1003" s="1">
        <v>1002</v>
      </c>
      <c r="B1003" s="1" t="s">
        <v>33</v>
      </c>
      <c r="C1003" s="1" t="s">
        <v>51</v>
      </c>
      <c r="D1003" s="1" t="s">
        <v>26</v>
      </c>
      <c r="E1003" s="1" t="s">
        <v>36</v>
      </c>
      <c r="F1003" s="1" t="s">
        <v>45</v>
      </c>
      <c r="G1003" s="1">
        <v>1</v>
      </c>
      <c r="H1003" s="1" t="s">
        <v>29</v>
      </c>
      <c r="I1003" s="1" t="s">
        <v>49</v>
      </c>
      <c r="J1003" s="1" t="s">
        <v>39</v>
      </c>
      <c r="K1003" s="1" t="s">
        <v>33</v>
      </c>
      <c r="L1003" s="1">
        <v>36</v>
      </c>
      <c r="M1003" s="1">
        <v>1</v>
      </c>
      <c r="N1003" s="1" t="s">
        <v>44</v>
      </c>
      <c r="O1003" s="1">
        <v>4</v>
      </c>
      <c r="P1003" s="1">
        <v>2</v>
      </c>
      <c r="Q1003" s="1">
        <v>3</v>
      </c>
      <c r="R1003" s="1">
        <v>4374</v>
      </c>
      <c r="S1003" s="1">
        <v>4</v>
      </c>
      <c r="T1003" s="1">
        <v>3</v>
      </c>
      <c r="U1003" s="1">
        <v>3</v>
      </c>
      <c r="V1003" s="1">
        <v>2</v>
      </c>
      <c r="W1003" s="1">
        <v>1</v>
      </c>
      <c r="X1003" s="1">
        <v>2</v>
      </c>
    </row>
    <row r="1004" spans="1:24">
      <c r="A1004" s="1">
        <v>1003</v>
      </c>
      <c r="B1004" s="1" t="s">
        <v>33</v>
      </c>
      <c r="C1004" s="1" t="s">
        <v>51</v>
      </c>
      <c r="D1004" s="1" t="s">
        <v>26</v>
      </c>
      <c r="E1004" s="1" t="s">
        <v>36</v>
      </c>
      <c r="F1004" s="1" t="s">
        <v>28</v>
      </c>
      <c r="G1004" s="1">
        <v>1</v>
      </c>
      <c r="H1004" s="1" t="s">
        <v>29</v>
      </c>
      <c r="I1004" s="1" t="s">
        <v>50</v>
      </c>
      <c r="J1004" s="1" t="s">
        <v>39</v>
      </c>
      <c r="K1004" s="1" t="s">
        <v>33</v>
      </c>
      <c r="L1004" s="1">
        <v>35</v>
      </c>
      <c r="M1004" s="1">
        <v>8</v>
      </c>
      <c r="N1004" s="1" t="s">
        <v>44</v>
      </c>
      <c r="O1004" s="1">
        <v>3</v>
      </c>
      <c r="P1004" s="1">
        <v>2</v>
      </c>
      <c r="Q1004" s="1">
        <v>3</v>
      </c>
      <c r="R1004" s="1">
        <v>4148</v>
      </c>
      <c r="S1004" s="1">
        <v>15</v>
      </c>
      <c r="T1004" s="1">
        <v>3</v>
      </c>
      <c r="U1004" s="1">
        <v>14</v>
      </c>
      <c r="V1004" s="1">
        <v>11</v>
      </c>
      <c r="W1004" s="1">
        <v>2</v>
      </c>
      <c r="X1004" s="1">
        <v>9</v>
      </c>
    </row>
    <row r="1005" spans="1:24">
      <c r="A1005" s="1">
        <v>1004</v>
      </c>
      <c r="B1005" s="1" t="s">
        <v>33</v>
      </c>
      <c r="C1005" s="1" t="s">
        <v>51</v>
      </c>
      <c r="D1005" s="1" t="s">
        <v>35</v>
      </c>
      <c r="E1005" s="1" t="s">
        <v>36</v>
      </c>
      <c r="F1005" s="1" t="s">
        <v>45</v>
      </c>
      <c r="G1005" s="1">
        <v>1</v>
      </c>
      <c r="H1005" s="1" t="s">
        <v>29</v>
      </c>
      <c r="I1005" s="1" t="s">
        <v>55</v>
      </c>
      <c r="J1005" s="1" t="s">
        <v>39</v>
      </c>
      <c r="K1005" s="1" t="s">
        <v>33</v>
      </c>
      <c r="L1005" s="1">
        <v>47</v>
      </c>
      <c r="M1005" s="1">
        <v>1</v>
      </c>
      <c r="N1005" s="1" t="s">
        <v>40</v>
      </c>
      <c r="O1005" s="1">
        <v>3</v>
      </c>
      <c r="P1005" s="1">
        <v>3</v>
      </c>
      <c r="Q1005" s="1">
        <v>2</v>
      </c>
      <c r="R1005" s="1">
        <v>11957</v>
      </c>
      <c r="S1005" s="1">
        <v>14</v>
      </c>
      <c r="T1005" s="1">
        <v>1</v>
      </c>
      <c r="U1005" s="1">
        <v>13</v>
      </c>
      <c r="V1005" s="1">
        <v>8</v>
      </c>
      <c r="W1005" s="1">
        <v>5</v>
      </c>
      <c r="X1005" s="1">
        <v>12</v>
      </c>
    </row>
    <row r="1006" spans="1:24">
      <c r="A1006" s="1">
        <v>1005</v>
      </c>
      <c r="B1006" s="1" t="s">
        <v>33</v>
      </c>
      <c r="C1006" s="1" t="s">
        <v>51</v>
      </c>
      <c r="D1006" s="1" t="s">
        <v>52</v>
      </c>
      <c r="E1006" s="1" t="s">
        <v>36</v>
      </c>
      <c r="F1006" s="1" t="s">
        <v>45</v>
      </c>
      <c r="G1006" s="1">
        <v>1</v>
      </c>
      <c r="H1006" s="1" t="s">
        <v>29</v>
      </c>
      <c r="I1006" s="1" t="s">
        <v>38</v>
      </c>
      <c r="J1006" s="1" t="s">
        <v>31</v>
      </c>
      <c r="K1006" s="1" t="s">
        <v>33</v>
      </c>
      <c r="L1006" s="1">
        <v>18</v>
      </c>
      <c r="M1006" s="1">
        <v>14</v>
      </c>
      <c r="N1006" s="1" t="s">
        <v>47</v>
      </c>
      <c r="O1006" s="1">
        <v>2</v>
      </c>
      <c r="P1006" s="1">
        <v>1</v>
      </c>
      <c r="Q1006" s="1">
        <v>3</v>
      </c>
      <c r="R1006" s="1">
        <v>1514</v>
      </c>
      <c r="S1006" s="1">
        <v>0</v>
      </c>
      <c r="T1006" s="1">
        <v>1</v>
      </c>
      <c r="U1006" s="1">
        <v>0</v>
      </c>
      <c r="V1006" s="1">
        <v>0</v>
      </c>
      <c r="W1006" s="1">
        <v>0</v>
      </c>
      <c r="X1006" s="1">
        <v>0</v>
      </c>
    </row>
    <row r="1007" spans="1:24">
      <c r="A1007" s="1">
        <v>1006</v>
      </c>
      <c r="B1007" s="1" t="s">
        <v>33</v>
      </c>
      <c r="C1007" s="1" t="s">
        <v>51</v>
      </c>
      <c r="D1007" s="1" t="s">
        <v>26</v>
      </c>
      <c r="E1007" s="1" t="s">
        <v>27</v>
      </c>
      <c r="F1007" s="1" t="s">
        <v>28</v>
      </c>
      <c r="G1007" s="1">
        <v>1</v>
      </c>
      <c r="H1007" s="1" t="s">
        <v>29</v>
      </c>
      <c r="I1007" s="1" t="s">
        <v>30</v>
      </c>
      <c r="J1007" s="1" t="s">
        <v>39</v>
      </c>
      <c r="K1007" s="1" t="s">
        <v>33</v>
      </c>
      <c r="L1007" s="1">
        <v>39</v>
      </c>
      <c r="M1007" s="1">
        <v>21</v>
      </c>
      <c r="N1007" s="1" t="s">
        <v>44</v>
      </c>
      <c r="O1007" s="1">
        <v>1</v>
      </c>
      <c r="P1007" s="1">
        <v>2</v>
      </c>
      <c r="Q1007" s="1">
        <v>3</v>
      </c>
      <c r="R1007" s="1">
        <v>5736</v>
      </c>
      <c r="S1007" s="1">
        <v>10</v>
      </c>
      <c r="T1007" s="1">
        <v>3</v>
      </c>
      <c r="U1007" s="1">
        <v>3</v>
      </c>
      <c r="V1007" s="1">
        <v>2</v>
      </c>
      <c r="W1007" s="1">
        <v>1</v>
      </c>
      <c r="X1007" s="1">
        <v>2</v>
      </c>
    </row>
    <row r="1008" spans="1:24">
      <c r="A1008" s="1">
        <v>1007</v>
      </c>
      <c r="B1008" s="1" t="s">
        <v>33</v>
      </c>
      <c r="C1008" s="1" t="s">
        <v>51</v>
      </c>
      <c r="D1008" s="1" t="s">
        <v>52</v>
      </c>
      <c r="E1008" s="1" t="s">
        <v>27</v>
      </c>
      <c r="F1008" s="1" t="s">
        <v>28</v>
      </c>
      <c r="G1008" s="1">
        <v>1</v>
      </c>
      <c r="H1008" s="1" t="s">
        <v>29</v>
      </c>
      <c r="I1008" s="1" t="s">
        <v>54</v>
      </c>
      <c r="J1008" s="1" t="s">
        <v>39</v>
      </c>
      <c r="K1008" s="1" t="s">
        <v>33</v>
      </c>
      <c r="L1008" s="1">
        <v>24</v>
      </c>
      <c r="M1008" s="1">
        <v>13</v>
      </c>
      <c r="N1008" s="1" t="s">
        <v>32</v>
      </c>
      <c r="O1008" s="1">
        <v>4</v>
      </c>
      <c r="P1008" s="1">
        <v>1</v>
      </c>
      <c r="Q1008" s="1">
        <v>2</v>
      </c>
      <c r="R1008" s="1">
        <v>2033</v>
      </c>
      <c r="S1008" s="1">
        <v>1</v>
      </c>
      <c r="T1008" s="1">
        <v>3</v>
      </c>
      <c r="U1008" s="1">
        <v>1</v>
      </c>
      <c r="V1008" s="1">
        <v>0</v>
      </c>
      <c r="W1008" s="1">
        <v>0</v>
      </c>
      <c r="X1008" s="1">
        <v>0</v>
      </c>
    </row>
    <row r="1009" spans="1:24">
      <c r="A1009" s="1">
        <v>1008</v>
      </c>
      <c r="B1009" s="1" t="s">
        <v>33</v>
      </c>
      <c r="C1009" s="1" t="s">
        <v>51</v>
      </c>
      <c r="D1009" s="1" t="s">
        <v>43</v>
      </c>
      <c r="E1009" s="1" t="s">
        <v>27</v>
      </c>
      <c r="F1009" s="1" t="s">
        <v>56</v>
      </c>
      <c r="G1009" s="1">
        <v>1</v>
      </c>
      <c r="H1009" s="1" t="s">
        <v>29</v>
      </c>
      <c r="I1009" s="1" t="s">
        <v>30</v>
      </c>
      <c r="J1009" s="1" t="s">
        <v>31</v>
      </c>
      <c r="K1009" s="1" t="s">
        <v>33</v>
      </c>
      <c r="L1009" s="1">
        <v>33</v>
      </c>
      <c r="M1009" s="1">
        <v>2</v>
      </c>
      <c r="N1009" s="1" t="s">
        <v>47</v>
      </c>
      <c r="O1009" s="1">
        <v>4</v>
      </c>
      <c r="P1009" s="1">
        <v>2</v>
      </c>
      <c r="Q1009" s="1">
        <v>2</v>
      </c>
      <c r="R1009" s="1">
        <v>5147</v>
      </c>
      <c r="S1009" s="1">
        <v>13</v>
      </c>
      <c r="T1009" s="1">
        <v>2</v>
      </c>
      <c r="U1009" s="1">
        <v>11</v>
      </c>
      <c r="V1009" s="1">
        <v>7</v>
      </c>
      <c r="W1009" s="1">
        <v>1</v>
      </c>
      <c r="X1009" s="1">
        <v>7</v>
      </c>
    </row>
    <row r="1010" spans="1:24">
      <c r="A1010" s="1">
        <v>1009</v>
      </c>
      <c r="B1010" s="1" t="s">
        <v>33</v>
      </c>
      <c r="C1010" s="1" t="s">
        <v>34</v>
      </c>
      <c r="D1010" s="1" t="s">
        <v>35</v>
      </c>
      <c r="E1010" s="1" t="s">
        <v>36</v>
      </c>
      <c r="F1010" s="1" t="s">
        <v>45</v>
      </c>
      <c r="G1010" s="1">
        <v>1</v>
      </c>
      <c r="H1010" s="1" t="s">
        <v>29</v>
      </c>
      <c r="I1010" s="1" t="s">
        <v>53</v>
      </c>
      <c r="J1010" s="1" t="s">
        <v>48</v>
      </c>
      <c r="K1010" s="1" t="s">
        <v>33</v>
      </c>
      <c r="L1010" s="1">
        <v>48</v>
      </c>
      <c r="M1010" s="1">
        <v>22</v>
      </c>
      <c r="N1010" s="1" t="s">
        <v>47</v>
      </c>
      <c r="O1010" s="1">
        <v>4</v>
      </c>
      <c r="P1010" s="1">
        <v>4</v>
      </c>
      <c r="Q1010" s="1">
        <v>4</v>
      </c>
      <c r="R1010" s="1">
        <v>17174</v>
      </c>
      <c r="S1010" s="1">
        <v>24</v>
      </c>
      <c r="T1010" s="1">
        <v>3</v>
      </c>
      <c r="U1010" s="1">
        <v>22</v>
      </c>
      <c r="V1010" s="1">
        <v>17</v>
      </c>
      <c r="W1010" s="1">
        <v>4</v>
      </c>
      <c r="X1010" s="1">
        <v>7</v>
      </c>
    </row>
    <row r="1011" spans="1:24">
      <c r="A1011" s="1">
        <v>1010</v>
      </c>
      <c r="B1011" s="1" t="s">
        <v>33</v>
      </c>
      <c r="C1011" s="1" t="s">
        <v>34</v>
      </c>
      <c r="D1011" s="1" t="s">
        <v>26</v>
      </c>
      <c r="E1011" s="1" t="s">
        <v>36</v>
      </c>
      <c r="F1011" s="1" t="s">
        <v>28</v>
      </c>
      <c r="G1011" s="1">
        <v>1</v>
      </c>
      <c r="H1011" s="1" t="s">
        <v>29</v>
      </c>
      <c r="I1011" s="1" t="s">
        <v>49</v>
      </c>
      <c r="J1011" s="1" t="s">
        <v>48</v>
      </c>
      <c r="K1011" s="1" t="s">
        <v>33</v>
      </c>
      <c r="L1011" s="1">
        <v>36</v>
      </c>
      <c r="M1011" s="1">
        <v>4</v>
      </c>
      <c r="N1011" s="1" t="s">
        <v>32</v>
      </c>
      <c r="O1011" s="1">
        <v>4</v>
      </c>
      <c r="P1011" s="1">
        <v>2</v>
      </c>
      <c r="Q1011" s="1">
        <v>2</v>
      </c>
      <c r="R1011" s="1">
        <v>5131</v>
      </c>
      <c r="S1011" s="1">
        <v>18</v>
      </c>
      <c r="T1011" s="1">
        <v>3</v>
      </c>
      <c r="U1011" s="1">
        <v>4</v>
      </c>
      <c r="V1011" s="1">
        <v>2</v>
      </c>
      <c r="W1011" s="1">
        <v>0</v>
      </c>
      <c r="X1011" s="1">
        <v>2</v>
      </c>
    </row>
    <row r="1012" spans="1:24">
      <c r="A1012" s="1">
        <v>1011</v>
      </c>
      <c r="B1012" s="1" t="s">
        <v>33</v>
      </c>
      <c r="C1012" s="1" t="s">
        <v>34</v>
      </c>
      <c r="D1012" s="1" t="s">
        <v>26</v>
      </c>
      <c r="E1012" s="1" t="s">
        <v>36</v>
      </c>
      <c r="F1012" s="1" t="s">
        <v>45</v>
      </c>
      <c r="G1012" s="1">
        <v>1</v>
      </c>
      <c r="H1012" s="1" t="s">
        <v>29</v>
      </c>
      <c r="I1012" s="1" t="s">
        <v>42</v>
      </c>
      <c r="J1012" s="1" t="s">
        <v>39</v>
      </c>
      <c r="K1012" s="1" t="s">
        <v>33</v>
      </c>
      <c r="L1012" s="1">
        <v>38</v>
      </c>
      <c r="M1012" s="1">
        <v>2</v>
      </c>
      <c r="N1012" s="1" t="s">
        <v>32</v>
      </c>
      <c r="O1012" s="1">
        <v>3</v>
      </c>
      <c r="P1012" s="1">
        <v>1</v>
      </c>
      <c r="Q1012" s="1">
        <v>2</v>
      </c>
      <c r="R1012" s="1">
        <v>2468</v>
      </c>
      <c r="S1012" s="1">
        <v>9</v>
      </c>
      <c r="T1012" s="1">
        <v>2</v>
      </c>
      <c r="U1012" s="1">
        <v>6</v>
      </c>
      <c r="V1012" s="1">
        <v>1</v>
      </c>
      <c r="W1012" s="1">
        <v>0</v>
      </c>
      <c r="X1012" s="1">
        <v>5</v>
      </c>
    </row>
    <row r="1013" spans="1:24">
      <c r="A1013" s="1">
        <v>1012</v>
      </c>
      <c r="B1013" s="1" t="s">
        <v>33</v>
      </c>
      <c r="C1013" s="1" t="s">
        <v>34</v>
      </c>
      <c r="D1013" s="1" t="s">
        <v>43</v>
      </c>
      <c r="E1013" s="1" t="s">
        <v>36</v>
      </c>
      <c r="F1013" s="1" t="s">
        <v>28</v>
      </c>
      <c r="G1013" s="1">
        <v>1</v>
      </c>
      <c r="H1013" s="1" t="s">
        <v>29</v>
      </c>
      <c r="I1013" s="1" t="s">
        <v>38</v>
      </c>
      <c r="J1013" s="1" t="s">
        <v>39</v>
      </c>
      <c r="K1013" s="1" t="s">
        <v>33</v>
      </c>
      <c r="L1013" s="1">
        <v>27</v>
      </c>
      <c r="M1013" s="1">
        <v>15</v>
      </c>
      <c r="N1013" s="1" t="s">
        <v>47</v>
      </c>
      <c r="O1013" s="1">
        <v>4</v>
      </c>
      <c r="P1013" s="1">
        <v>1</v>
      </c>
      <c r="Q1013" s="1">
        <v>1</v>
      </c>
      <c r="R1013" s="1">
        <v>4774</v>
      </c>
      <c r="S1013" s="1">
        <v>8</v>
      </c>
      <c r="T1013" s="1">
        <v>2</v>
      </c>
      <c r="U1013" s="1">
        <v>7</v>
      </c>
      <c r="V1013" s="1">
        <v>6</v>
      </c>
      <c r="W1013" s="1">
        <v>7</v>
      </c>
      <c r="X1013" s="1">
        <v>3</v>
      </c>
    </row>
    <row r="1014" spans="1:24">
      <c r="A1014" s="1">
        <v>1013</v>
      </c>
      <c r="B1014" s="1" t="s">
        <v>33</v>
      </c>
      <c r="C1014" s="1" t="s">
        <v>34</v>
      </c>
      <c r="D1014" s="1" t="s">
        <v>26</v>
      </c>
      <c r="E1014" s="1" t="s">
        <v>36</v>
      </c>
      <c r="F1014" s="1" t="s">
        <v>57</v>
      </c>
      <c r="G1014" s="1">
        <v>1</v>
      </c>
      <c r="H1014" s="1" t="s">
        <v>29</v>
      </c>
      <c r="I1014" s="1" t="s">
        <v>42</v>
      </c>
      <c r="J1014" s="1" t="s">
        <v>39</v>
      </c>
      <c r="K1014" s="1" t="s">
        <v>33</v>
      </c>
      <c r="L1014" s="1">
        <v>40</v>
      </c>
      <c r="M1014" s="1">
        <v>11</v>
      </c>
      <c r="N1014" s="1" t="s">
        <v>47</v>
      </c>
      <c r="O1014" s="1">
        <v>4</v>
      </c>
      <c r="P1014" s="1">
        <v>2</v>
      </c>
      <c r="Q1014" s="1">
        <v>3</v>
      </c>
      <c r="R1014" s="1">
        <v>6323</v>
      </c>
      <c r="S1014" s="1">
        <v>10</v>
      </c>
      <c r="T1014" s="1">
        <v>4</v>
      </c>
      <c r="U1014" s="1">
        <v>10</v>
      </c>
      <c r="V1014" s="1">
        <v>9</v>
      </c>
      <c r="W1014" s="1">
        <v>9</v>
      </c>
      <c r="X1014" s="1">
        <v>4</v>
      </c>
    </row>
    <row r="1015" spans="1:24">
      <c r="A1015" s="1">
        <v>1014</v>
      </c>
      <c r="B1015" s="1" t="s">
        <v>33</v>
      </c>
      <c r="C1015" s="1" t="s">
        <v>34</v>
      </c>
      <c r="D1015" s="1" t="s">
        <v>43</v>
      </c>
      <c r="E1015" s="1" t="s">
        <v>36</v>
      </c>
      <c r="F1015" s="1" t="s">
        <v>28</v>
      </c>
      <c r="G1015" s="1">
        <v>1</v>
      </c>
      <c r="H1015" s="1" t="s">
        <v>29</v>
      </c>
      <c r="I1015" s="1" t="s">
        <v>42</v>
      </c>
      <c r="J1015" s="1" t="s">
        <v>39</v>
      </c>
      <c r="K1015" s="1" t="s">
        <v>33</v>
      </c>
      <c r="L1015" s="1">
        <v>29</v>
      </c>
      <c r="M1015" s="1">
        <v>2</v>
      </c>
      <c r="N1015" s="1" t="s">
        <v>40</v>
      </c>
      <c r="O1015" s="1">
        <v>4</v>
      </c>
      <c r="P1015" s="1">
        <v>1</v>
      </c>
      <c r="Q1015" s="1">
        <v>2</v>
      </c>
      <c r="R1015" s="1">
        <v>3180</v>
      </c>
      <c r="S1015" s="1">
        <v>4</v>
      </c>
      <c r="T1015" s="1">
        <v>3</v>
      </c>
      <c r="U1015" s="1">
        <v>3</v>
      </c>
      <c r="V1015" s="1">
        <v>2</v>
      </c>
      <c r="W1015" s="1">
        <v>0</v>
      </c>
      <c r="X1015" s="1">
        <v>2</v>
      </c>
    </row>
    <row r="1016" spans="1:24">
      <c r="A1016" s="1">
        <v>1015</v>
      </c>
      <c r="B1016" s="1" t="s">
        <v>33</v>
      </c>
      <c r="C1016" s="1" t="s">
        <v>34</v>
      </c>
      <c r="D1016" s="1" t="s">
        <v>26</v>
      </c>
      <c r="E1016" s="1" t="s">
        <v>36</v>
      </c>
      <c r="F1016" s="1" t="s">
        <v>45</v>
      </c>
      <c r="G1016" s="1">
        <v>1</v>
      </c>
      <c r="H1016" s="1" t="s">
        <v>29</v>
      </c>
      <c r="I1016" s="1" t="s">
        <v>49</v>
      </c>
      <c r="J1016" s="1" t="s">
        <v>31</v>
      </c>
      <c r="K1016" s="1" t="s">
        <v>33</v>
      </c>
      <c r="L1016" s="1">
        <v>39</v>
      </c>
      <c r="M1016" s="1">
        <v>4</v>
      </c>
      <c r="N1016" s="1" t="s">
        <v>47</v>
      </c>
      <c r="O1016" s="1">
        <v>1</v>
      </c>
      <c r="P1016" s="1">
        <v>2</v>
      </c>
      <c r="Q1016" s="1">
        <v>3</v>
      </c>
      <c r="R1016" s="1">
        <v>5042</v>
      </c>
      <c r="S1016" s="1">
        <v>10</v>
      </c>
      <c r="T1016" s="1">
        <v>1</v>
      </c>
      <c r="U1016" s="1">
        <v>9</v>
      </c>
      <c r="V1016" s="1">
        <v>2</v>
      </c>
      <c r="W1016" s="1">
        <v>3</v>
      </c>
      <c r="X1016" s="1">
        <v>8</v>
      </c>
    </row>
    <row r="1017" spans="1:24">
      <c r="A1017" s="1">
        <v>1016</v>
      </c>
      <c r="B1017" s="1" t="s">
        <v>33</v>
      </c>
      <c r="C1017" s="1" t="s">
        <v>34</v>
      </c>
      <c r="D1017" s="1" t="s">
        <v>26</v>
      </c>
      <c r="E1017" s="1" t="s">
        <v>36</v>
      </c>
      <c r="F1017" s="1" t="s">
        <v>45</v>
      </c>
      <c r="G1017" s="1">
        <v>1</v>
      </c>
      <c r="H1017" s="1" t="s">
        <v>29</v>
      </c>
      <c r="I1017" s="1" t="s">
        <v>42</v>
      </c>
      <c r="J1017" s="1" t="s">
        <v>31</v>
      </c>
      <c r="K1017" s="1" t="s">
        <v>33</v>
      </c>
      <c r="L1017" s="1">
        <v>42</v>
      </c>
      <c r="M1017" s="1">
        <v>9</v>
      </c>
      <c r="N1017" s="1" t="s">
        <v>32</v>
      </c>
      <c r="O1017" s="1">
        <v>1</v>
      </c>
      <c r="P1017" s="1">
        <v>1</v>
      </c>
      <c r="Q1017" s="1">
        <v>4</v>
      </c>
      <c r="R1017" s="1">
        <v>3673</v>
      </c>
      <c r="S1017" s="1">
        <v>12</v>
      </c>
      <c r="T1017" s="1">
        <v>3</v>
      </c>
      <c r="U1017" s="1">
        <v>12</v>
      </c>
      <c r="V1017" s="1">
        <v>9</v>
      </c>
      <c r="W1017" s="1">
        <v>5</v>
      </c>
      <c r="X1017" s="1">
        <v>8</v>
      </c>
    </row>
    <row r="1018" spans="1:24">
      <c r="A1018" s="1">
        <v>1017</v>
      </c>
      <c r="B1018" s="1" t="s">
        <v>33</v>
      </c>
      <c r="C1018" s="1" t="s">
        <v>34</v>
      </c>
      <c r="D1018" s="1" t="s">
        <v>43</v>
      </c>
      <c r="E1018" s="1" t="s">
        <v>36</v>
      </c>
      <c r="F1018" s="1" t="s">
        <v>57</v>
      </c>
      <c r="G1018" s="1">
        <v>1</v>
      </c>
      <c r="H1018" s="1" t="s">
        <v>29</v>
      </c>
      <c r="I1018" s="1" t="s">
        <v>38</v>
      </c>
      <c r="J1018" s="1" t="s">
        <v>31</v>
      </c>
      <c r="K1018" s="1" t="s">
        <v>33</v>
      </c>
      <c r="L1018" s="1">
        <v>30</v>
      </c>
      <c r="M1018" s="1">
        <v>2</v>
      </c>
      <c r="N1018" s="1" t="s">
        <v>44</v>
      </c>
      <c r="O1018" s="1">
        <v>4</v>
      </c>
      <c r="P1018" s="1">
        <v>1</v>
      </c>
      <c r="Q1018" s="1">
        <v>1</v>
      </c>
      <c r="R1018" s="1">
        <v>4968</v>
      </c>
      <c r="S1018" s="1">
        <v>10</v>
      </c>
      <c r="T1018" s="1">
        <v>3</v>
      </c>
      <c r="U1018" s="1">
        <v>9</v>
      </c>
      <c r="V1018" s="1">
        <v>7</v>
      </c>
      <c r="W1018" s="1">
        <v>0</v>
      </c>
      <c r="X1018" s="1">
        <v>7</v>
      </c>
    </row>
    <row r="1019" spans="1:24">
      <c r="A1019" s="1">
        <v>1018</v>
      </c>
      <c r="B1019" s="1" t="s">
        <v>33</v>
      </c>
      <c r="C1019" s="1" t="s">
        <v>34</v>
      </c>
      <c r="D1019" s="1" t="s">
        <v>26</v>
      </c>
      <c r="E1019" s="1" t="s">
        <v>27</v>
      </c>
      <c r="F1019" s="1" t="s">
        <v>56</v>
      </c>
      <c r="G1019" s="1">
        <v>1</v>
      </c>
      <c r="H1019" s="1" t="s">
        <v>29</v>
      </c>
      <c r="I1019" s="1" t="s">
        <v>30</v>
      </c>
      <c r="J1019" s="1" t="s">
        <v>39</v>
      </c>
      <c r="K1019" s="1" t="s">
        <v>33</v>
      </c>
      <c r="L1019" s="1">
        <v>44</v>
      </c>
      <c r="M1019" s="1">
        <v>1</v>
      </c>
      <c r="N1019" s="1" t="s">
        <v>58</v>
      </c>
      <c r="O1019" s="1">
        <v>1</v>
      </c>
      <c r="P1019" s="1">
        <v>2</v>
      </c>
      <c r="Q1019" s="1">
        <v>3</v>
      </c>
      <c r="R1019" s="1">
        <v>4768</v>
      </c>
      <c r="S1019" s="1">
        <v>11</v>
      </c>
      <c r="T1019" s="1">
        <v>2</v>
      </c>
      <c r="U1019" s="1">
        <v>1</v>
      </c>
      <c r="V1019" s="1">
        <v>0</v>
      </c>
      <c r="W1019" s="1">
        <v>0</v>
      </c>
      <c r="X1019" s="1">
        <v>0</v>
      </c>
    </row>
    <row r="1020" spans="1:24">
      <c r="A1020" s="1">
        <v>1019</v>
      </c>
      <c r="B1020" s="1" t="s">
        <v>33</v>
      </c>
      <c r="C1020" s="1" t="s">
        <v>34</v>
      </c>
      <c r="D1020" s="1" t="s">
        <v>43</v>
      </c>
      <c r="E1020" s="1" t="s">
        <v>27</v>
      </c>
      <c r="F1020" s="1" t="s">
        <v>56</v>
      </c>
      <c r="G1020" s="1">
        <v>1</v>
      </c>
      <c r="H1020" s="1" t="s">
        <v>29</v>
      </c>
      <c r="I1020" s="1" t="s">
        <v>30</v>
      </c>
      <c r="J1020" s="1" t="s">
        <v>39</v>
      </c>
      <c r="K1020" s="1" t="s">
        <v>33</v>
      </c>
      <c r="L1020" s="1">
        <v>31</v>
      </c>
      <c r="M1020" s="1">
        <v>7</v>
      </c>
      <c r="N1020" s="1" t="s">
        <v>44</v>
      </c>
      <c r="O1020" s="1">
        <v>1</v>
      </c>
      <c r="P1020" s="1">
        <v>3</v>
      </c>
      <c r="Q1020" s="1">
        <v>1</v>
      </c>
      <c r="R1020" s="1">
        <v>9637</v>
      </c>
      <c r="S1020" s="1">
        <v>9</v>
      </c>
      <c r="T1020" s="1">
        <v>3</v>
      </c>
      <c r="U1020" s="1">
        <v>3</v>
      </c>
      <c r="V1020" s="1">
        <v>2</v>
      </c>
      <c r="W1020" s="1">
        <v>2</v>
      </c>
      <c r="X1020" s="1">
        <v>2</v>
      </c>
    </row>
    <row r="1021" spans="1:24">
      <c r="A1021" s="1">
        <v>1020</v>
      </c>
      <c r="B1021" s="1" t="s">
        <v>33</v>
      </c>
      <c r="C1021" s="1" t="s">
        <v>25</v>
      </c>
      <c r="D1021" s="1" t="s">
        <v>43</v>
      </c>
      <c r="E1021" s="1" t="s">
        <v>59</v>
      </c>
      <c r="F1021" s="1" t="s">
        <v>60</v>
      </c>
      <c r="G1021" s="1">
        <v>1</v>
      </c>
      <c r="H1021" s="1" t="s">
        <v>29</v>
      </c>
      <c r="I1021" s="1" t="s">
        <v>60</v>
      </c>
      <c r="J1021" s="1" t="s">
        <v>39</v>
      </c>
      <c r="K1021" s="1" t="s">
        <v>33</v>
      </c>
      <c r="L1021" s="1">
        <v>25</v>
      </c>
      <c r="M1021" s="1">
        <v>2</v>
      </c>
      <c r="N1021" s="1" t="s">
        <v>47</v>
      </c>
      <c r="O1021" s="1">
        <v>3</v>
      </c>
      <c r="P1021" s="1">
        <v>1</v>
      </c>
      <c r="Q1021" s="1">
        <v>2</v>
      </c>
      <c r="R1021" s="1">
        <v>2187</v>
      </c>
      <c r="S1021" s="1">
        <v>6</v>
      </c>
      <c r="T1021" s="1">
        <v>3</v>
      </c>
      <c r="U1021" s="1">
        <v>2</v>
      </c>
      <c r="V1021" s="1">
        <v>0</v>
      </c>
      <c r="W1021" s="1">
        <v>1</v>
      </c>
      <c r="X1021" s="1">
        <v>2</v>
      </c>
    </row>
    <row r="1022" spans="1:24">
      <c r="A1022" s="1">
        <v>1021</v>
      </c>
      <c r="B1022" s="1" t="s">
        <v>33</v>
      </c>
      <c r="C1022" s="1" t="s">
        <v>25</v>
      </c>
      <c r="D1022" s="1" t="s">
        <v>35</v>
      </c>
      <c r="E1022" s="1" t="s">
        <v>59</v>
      </c>
      <c r="F1022" s="1" t="s">
        <v>28</v>
      </c>
      <c r="G1022" s="1">
        <v>1</v>
      </c>
      <c r="H1022" s="1" t="s">
        <v>29</v>
      </c>
      <c r="I1022" s="1" t="s">
        <v>53</v>
      </c>
      <c r="J1022" s="1" t="s">
        <v>39</v>
      </c>
      <c r="K1022" s="1" t="s">
        <v>33</v>
      </c>
      <c r="L1022" s="1">
        <v>47</v>
      </c>
      <c r="M1022" s="1">
        <v>26</v>
      </c>
      <c r="N1022" s="1" t="s">
        <v>44</v>
      </c>
      <c r="O1022" s="1">
        <v>4</v>
      </c>
      <c r="P1022" s="1">
        <v>5</v>
      </c>
      <c r="Q1022" s="1">
        <v>3</v>
      </c>
      <c r="R1022" s="1">
        <v>19658</v>
      </c>
      <c r="S1022" s="1">
        <v>27</v>
      </c>
      <c r="T1022" s="1">
        <v>3</v>
      </c>
      <c r="U1022" s="1">
        <v>5</v>
      </c>
      <c r="V1022" s="1">
        <v>2</v>
      </c>
      <c r="W1022" s="1">
        <v>1</v>
      </c>
      <c r="X1022" s="1">
        <v>0</v>
      </c>
    </row>
    <row r="1023" spans="1:24">
      <c r="A1023" s="1">
        <v>1022</v>
      </c>
      <c r="B1023" s="1" t="s">
        <v>33</v>
      </c>
      <c r="C1023" s="1" t="s">
        <v>25</v>
      </c>
      <c r="D1023" s="1" t="s">
        <v>43</v>
      </c>
      <c r="E1023" s="1" t="s">
        <v>59</v>
      </c>
      <c r="F1023" s="1" t="s">
        <v>45</v>
      </c>
      <c r="G1023" s="1">
        <v>1</v>
      </c>
      <c r="H1023" s="1" t="s">
        <v>29</v>
      </c>
      <c r="I1023" s="1" t="s">
        <v>60</v>
      </c>
      <c r="J1023" s="1" t="s">
        <v>31</v>
      </c>
      <c r="K1023" s="1" t="s">
        <v>33</v>
      </c>
      <c r="L1023" s="1">
        <v>31</v>
      </c>
      <c r="M1023" s="1">
        <v>8</v>
      </c>
      <c r="N1023" s="1" t="s">
        <v>32</v>
      </c>
      <c r="O1023" s="1">
        <v>4</v>
      </c>
      <c r="P1023" s="1">
        <v>1</v>
      </c>
      <c r="Q1023" s="1">
        <v>2</v>
      </c>
      <c r="R1023" s="1">
        <v>2109</v>
      </c>
      <c r="S1023" s="1">
        <v>8</v>
      </c>
      <c r="T1023" s="1">
        <v>3</v>
      </c>
      <c r="U1023" s="1">
        <v>3</v>
      </c>
      <c r="V1023" s="1">
        <v>2</v>
      </c>
      <c r="W1023" s="1">
        <v>0</v>
      </c>
      <c r="X1023" s="1">
        <v>2</v>
      </c>
    </row>
    <row r="1024" spans="1:24">
      <c r="A1024" s="1">
        <v>1023</v>
      </c>
      <c r="B1024" s="1" t="s">
        <v>33</v>
      </c>
      <c r="C1024" s="1" t="s">
        <v>25</v>
      </c>
      <c r="D1024" s="1" t="s">
        <v>43</v>
      </c>
      <c r="E1024" s="1" t="s">
        <v>36</v>
      </c>
      <c r="F1024" s="1" t="s">
        <v>45</v>
      </c>
      <c r="G1024" s="1">
        <v>1</v>
      </c>
      <c r="H1024" s="1" t="s">
        <v>29</v>
      </c>
      <c r="I1024" s="1" t="s">
        <v>42</v>
      </c>
      <c r="J1024" s="1" t="s">
        <v>48</v>
      </c>
      <c r="K1024" s="1" t="s">
        <v>33</v>
      </c>
      <c r="L1024" s="1">
        <v>31</v>
      </c>
      <c r="M1024" s="1">
        <v>4</v>
      </c>
      <c r="N1024" s="1" t="s">
        <v>47</v>
      </c>
      <c r="O1024" s="1">
        <v>1</v>
      </c>
      <c r="P1024" s="1">
        <v>1</v>
      </c>
      <c r="Q1024" s="1">
        <v>3</v>
      </c>
      <c r="R1024" s="1">
        <v>3978</v>
      </c>
      <c r="S1024" s="1">
        <v>4</v>
      </c>
      <c r="T1024" s="1">
        <v>2</v>
      </c>
      <c r="U1024" s="1">
        <v>2</v>
      </c>
      <c r="V1024" s="1">
        <v>2</v>
      </c>
      <c r="W1024" s="1">
        <v>2</v>
      </c>
      <c r="X1024" s="1">
        <v>2</v>
      </c>
    </row>
    <row r="1025" spans="1:24">
      <c r="A1025" s="1">
        <v>1024</v>
      </c>
      <c r="B1025" s="1" t="s">
        <v>33</v>
      </c>
      <c r="C1025" s="1" t="s">
        <v>25</v>
      </c>
      <c r="D1025" s="1" t="s">
        <v>26</v>
      </c>
      <c r="E1025" s="1" t="s">
        <v>36</v>
      </c>
      <c r="F1025" s="1" t="s">
        <v>28</v>
      </c>
      <c r="G1025" s="1">
        <v>1</v>
      </c>
      <c r="H1025" s="1" t="s">
        <v>29</v>
      </c>
      <c r="I1025" s="1" t="s">
        <v>50</v>
      </c>
      <c r="J1025" s="1" t="s">
        <v>48</v>
      </c>
      <c r="K1025" s="1" t="s">
        <v>33</v>
      </c>
      <c r="L1025" s="1">
        <v>40</v>
      </c>
      <c r="M1025" s="1">
        <v>12</v>
      </c>
      <c r="N1025" s="1" t="s">
        <v>47</v>
      </c>
      <c r="O1025" s="1">
        <v>2</v>
      </c>
      <c r="P1025" s="1">
        <v>2</v>
      </c>
      <c r="Q1025" s="1">
        <v>1</v>
      </c>
      <c r="R1025" s="1">
        <v>4448</v>
      </c>
      <c r="S1025" s="1">
        <v>15</v>
      </c>
      <c r="T1025" s="1">
        <v>3</v>
      </c>
      <c r="U1025" s="1">
        <v>7</v>
      </c>
      <c r="V1025" s="1">
        <v>4</v>
      </c>
      <c r="W1025" s="1">
        <v>7</v>
      </c>
      <c r="X1025" s="1">
        <v>7</v>
      </c>
    </row>
    <row r="1026" spans="1:24">
      <c r="A1026" s="1">
        <v>1025</v>
      </c>
      <c r="B1026" s="1" t="s">
        <v>33</v>
      </c>
      <c r="C1026" s="1" t="s">
        <v>25</v>
      </c>
      <c r="D1026" s="1" t="s">
        <v>26</v>
      </c>
      <c r="E1026" s="1" t="s">
        <v>36</v>
      </c>
      <c r="F1026" s="1" t="s">
        <v>28</v>
      </c>
      <c r="G1026" s="1">
        <v>1</v>
      </c>
      <c r="H1026" s="1" t="s">
        <v>29</v>
      </c>
      <c r="I1026" s="1" t="s">
        <v>50</v>
      </c>
      <c r="J1026" s="1" t="s">
        <v>48</v>
      </c>
      <c r="K1026" s="1" t="s">
        <v>33</v>
      </c>
      <c r="L1026" s="1">
        <v>40</v>
      </c>
      <c r="M1026" s="1">
        <v>1</v>
      </c>
      <c r="N1026" s="1" t="s">
        <v>47</v>
      </c>
      <c r="O1026" s="1">
        <v>3</v>
      </c>
      <c r="P1026" s="1">
        <v>2</v>
      </c>
      <c r="Q1026" s="1">
        <v>4</v>
      </c>
      <c r="R1026" s="1">
        <v>6513</v>
      </c>
      <c r="S1026" s="1">
        <v>12</v>
      </c>
      <c r="T1026" s="1">
        <v>3</v>
      </c>
      <c r="U1026" s="1">
        <v>5</v>
      </c>
      <c r="V1026" s="1">
        <v>3</v>
      </c>
      <c r="W1026" s="1">
        <v>0</v>
      </c>
      <c r="X1026" s="1">
        <v>3</v>
      </c>
    </row>
    <row r="1027" spans="1:24">
      <c r="A1027" s="1">
        <v>1026</v>
      </c>
      <c r="B1027" s="1" t="s">
        <v>33</v>
      </c>
      <c r="C1027" s="1" t="s">
        <v>25</v>
      </c>
      <c r="D1027" s="1" t="s">
        <v>43</v>
      </c>
      <c r="E1027" s="1" t="s">
        <v>36</v>
      </c>
      <c r="F1027" s="1" t="s">
        <v>57</v>
      </c>
      <c r="G1027" s="1">
        <v>1</v>
      </c>
      <c r="H1027" s="1" t="s">
        <v>29</v>
      </c>
      <c r="I1027" s="1" t="s">
        <v>38</v>
      </c>
      <c r="J1027" s="1" t="s">
        <v>48</v>
      </c>
      <c r="K1027" s="1" t="s">
        <v>33</v>
      </c>
      <c r="L1027" s="1">
        <v>29</v>
      </c>
      <c r="M1027" s="1">
        <v>4</v>
      </c>
      <c r="N1027" s="1" t="s">
        <v>47</v>
      </c>
      <c r="O1027" s="1">
        <v>4</v>
      </c>
      <c r="P1027" s="1">
        <v>1</v>
      </c>
      <c r="Q1027" s="1">
        <v>1</v>
      </c>
      <c r="R1027" s="1">
        <v>2109</v>
      </c>
      <c r="S1027" s="1">
        <v>1</v>
      </c>
      <c r="T1027" s="1">
        <v>3</v>
      </c>
      <c r="U1027" s="1">
        <v>1</v>
      </c>
      <c r="V1027" s="1">
        <v>0</v>
      </c>
      <c r="W1027" s="1">
        <v>0</v>
      </c>
      <c r="X1027" s="1">
        <v>0</v>
      </c>
    </row>
    <row r="1028" spans="1:24">
      <c r="A1028" s="1">
        <v>1027</v>
      </c>
      <c r="B1028" s="1" t="s">
        <v>33</v>
      </c>
      <c r="C1028" s="1" t="s">
        <v>25</v>
      </c>
      <c r="D1028" s="1" t="s">
        <v>43</v>
      </c>
      <c r="E1028" s="1" t="s">
        <v>36</v>
      </c>
      <c r="F1028" s="1" t="s">
        <v>28</v>
      </c>
      <c r="G1028" s="1">
        <v>1</v>
      </c>
      <c r="H1028" s="1" t="s">
        <v>29</v>
      </c>
      <c r="I1028" s="1" t="s">
        <v>38</v>
      </c>
      <c r="J1028" s="1" t="s">
        <v>48</v>
      </c>
      <c r="K1028" s="1" t="s">
        <v>33</v>
      </c>
      <c r="L1028" s="1">
        <v>34</v>
      </c>
      <c r="M1028" s="1">
        <v>3</v>
      </c>
      <c r="N1028" s="1" t="s">
        <v>47</v>
      </c>
      <c r="O1028" s="1">
        <v>4</v>
      </c>
      <c r="P1028" s="1">
        <v>2</v>
      </c>
      <c r="Q1028" s="1">
        <v>2</v>
      </c>
      <c r="R1028" s="1">
        <v>5433</v>
      </c>
      <c r="S1028" s="1">
        <v>11</v>
      </c>
      <c r="T1028" s="1">
        <v>3</v>
      </c>
      <c r="U1028" s="1">
        <v>11</v>
      </c>
      <c r="V1028" s="1">
        <v>8</v>
      </c>
      <c r="W1028" s="1">
        <v>7</v>
      </c>
      <c r="X1028" s="1">
        <v>9</v>
      </c>
    </row>
    <row r="1029" spans="1:24">
      <c r="A1029" s="1">
        <v>1028</v>
      </c>
      <c r="B1029" s="1" t="s">
        <v>33</v>
      </c>
      <c r="C1029" s="1" t="s">
        <v>25</v>
      </c>
      <c r="D1029" s="1" t="s">
        <v>35</v>
      </c>
      <c r="E1029" s="1" t="s">
        <v>36</v>
      </c>
      <c r="F1029" s="1" t="s">
        <v>41</v>
      </c>
      <c r="G1029" s="1">
        <v>1</v>
      </c>
      <c r="H1029" s="1" t="s">
        <v>29</v>
      </c>
      <c r="I1029" s="1" t="s">
        <v>49</v>
      </c>
      <c r="J1029" s="1" t="s">
        <v>48</v>
      </c>
      <c r="K1029" s="1" t="s">
        <v>33</v>
      </c>
      <c r="L1029" s="1">
        <v>45</v>
      </c>
      <c r="M1029" s="1">
        <v>2</v>
      </c>
      <c r="N1029" s="1" t="s">
        <v>32</v>
      </c>
      <c r="O1029" s="1">
        <v>4</v>
      </c>
      <c r="P1029" s="1">
        <v>2</v>
      </c>
      <c r="Q1029" s="1">
        <v>4</v>
      </c>
      <c r="R1029" s="1">
        <v>5770</v>
      </c>
      <c r="S1029" s="1">
        <v>10</v>
      </c>
      <c r="T1029" s="1">
        <v>3</v>
      </c>
      <c r="U1029" s="1">
        <v>10</v>
      </c>
      <c r="V1029" s="1">
        <v>7</v>
      </c>
      <c r="W1029" s="1">
        <v>3</v>
      </c>
      <c r="X1029" s="1">
        <v>9</v>
      </c>
    </row>
    <row r="1030" spans="1:24">
      <c r="A1030" s="1">
        <v>1029</v>
      </c>
      <c r="B1030" s="1" t="s">
        <v>33</v>
      </c>
      <c r="C1030" s="1" t="s">
        <v>25</v>
      </c>
      <c r="D1030" s="1" t="s">
        <v>35</v>
      </c>
      <c r="E1030" s="1" t="s">
        <v>36</v>
      </c>
      <c r="F1030" s="1" t="s">
        <v>28</v>
      </c>
      <c r="G1030" s="1">
        <v>1</v>
      </c>
      <c r="H1030" s="1" t="s">
        <v>29</v>
      </c>
      <c r="I1030" s="1" t="s">
        <v>55</v>
      </c>
      <c r="J1030" s="1" t="s">
        <v>48</v>
      </c>
      <c r="K1030" s="1" t="s">
        <v>33</v>
      </c>
      <c r="L1030" s="1">
        <v>50</v>
      </c>
      <c r="M1030" s="1">
        <v>17</v>
      </c>
      <c r="N1030" s="1" t="s">
        <v>58</v>
      </c>
      <c r="O1030" s="1">
        <v>4</v>
      </c>
      <c r="P1030" s="1">
        <v>3</v>
      </c>
      <c r="Q1030" s="1">
        <v>1</v>
      </c>
      <c r="R1030" s="1">
        <v>13269</v>
      </c>
      <c r="S1030" s="1">
        <v>19</v>
      </c>
      <c r="T1030" s="1">
        <v>3</v>
      </c>
      <c r="U1030" s="1">
        <v>14</v>
      </c>
      <c r="V1030" s="1">
        <v>11</v>
      </c>
      <c r="W1030" s="1">
        <v>1</v>
      </c>
      <c r="X1030" s="1">
        <v>11</v>
      </c>
    </row>
    <row r="1031" spans="1:24">
      <c r="A1031" s="1">
        <v>1030</v>
      </c>
      <c r="B1031" s="1" t="s">
        <v>33</v>
      </c>
      <c r="C1031" s="1" t="s">
        <v>25</v>
      </c>
      <c r="D1031" s="1" t="s">
        <v>43</v>
      </c>
      <c r="E1031" s="1" t="s">
        <v>36</v>
      </c>
      <c r="F1031" s="1" t="s">
        <v>45</v>
      </c>
      <c r="G1031" s="1">
        <v>1</v>
      </c>
      <c r="H1031" s="1" t="s">
        <v>29</v>
      </c>
      <c r="I1031" s="1" t="s">
        <v>42</v>
      </c>
      <c r="J1031" s="1" t="s">
        <v>39</v>
      </c>
      <c r="K1031" s="1" t="s">
        <v>33</v>
      </c>
      <c r="L1031" s="1">
        <v>33</v>
      </c>
      <c r="M1031" s="1">
        <v>4</v>
      </c>
      <c r="N1031" s="1" t="s">
        <v>44</v>
      </c>
      <c r="O1031" s="1">
        <v>1</v>
      </c>
      <c r="P1031" s="1">
        <v>1</v>
      </c>
      <c r="Q1031" s="1">
        <v>2</v>
      </c>
      <c r="R1031" s="1">
        <v>3838</v>
      </c>
      <c r="S1031" s="1">
        <v>8</v>
      </c>
      <c r="T1031" s="1">
        <v>3</v>
      </c>
      <c r="U1031" s="1">
        <v>5</v>
      </c>
      <c r="V1031" s="1">
        <v>4</v>
      </c>
      <c r="W1031" s="1">
        <v>0</v>
      </c>
      <c r="X1031" s="1">
        <v>2</v>
      </c>
    </row>
    <row r="1032" spans="1:24">
      <c r="A1032" s="1">
        <v>1031</v>
      </c>
      <c r="B1032" s="1" t="s">
        <v>33</v>
      </c>
      <c r="C1032" s="1" t="s">
        <v>25</v>
      </c>
      <c r="D1032" s="1" t="s">
        <v>26</v>
      </c>
      <c r="E1032" s="1" t="s">
        <v>36</v>
      </c>
      <c r="F1032" s="1" t="s">
        <v>45</v>
      </c>
      <c r="G1032" s="1">
        <v>1</v>
      </c>
      <c r="H1032" s="1" t="s">
        <v>29</v>
      </c>
      <c r="I1032" s="1" t="s">
        <v>53</v>
      </c>
      <c r="J1032" s="1" t="s">
        <v>39</v>
      </c>
      <c r="K1032" s="1" t="s">
        <v>33</v>
      </c>
      <c r="L1032" s="1">
        <v>43</v>
      </c>
      <c r="M1032" s="1">
        <v>6</v>
      </c>
      <c r="N1032" s="1" t="s">
        <v>47</v>
      </c>
      <c r="O1032" s="1">
        <v>1</v>
      </c>
      <c r="P1032" s="1">
        <v>5</v>
      </c>
      <c r="Q1032" s="1">
        <v>3</v>
      </c>
      <c r="R1032" s="1">
        <v>19392</v>
      </c>
      <c r="S1032" s="1">
        <v>21</v>
      </c>
      <c r="T1032" s="1">
        <v>3</v>
      </c>
      <c r="U1032" s="1">
        <v>16</v>
      </c>
      <c r="V1032" s="1">
        <v>12</v>
      </c>
      <c r="W1032" s="1">
        <v>6</v>
      </c>
      <c r="X1032" s="1">
        <v>14</v>
      </c>
    </row>
    <row r="1033" spans="1:24">
      <c r="A1033" s="1">
        <v>1032</v>
      </c>
      <c r="B1033" s="1" t="s">
        <v>33</v>
      </c>
      <c r="C1033" s="1" t="s">
        <v>25</v>
      </c>
      <c r="D1033" s="1" t="s">
        <v>35</v>
      </c>
      <c r="E1033" s="1" t="s">
        <v>36</v>
      </c>
      <c r="F1033" s="1" t="s">
        <v>57</v>
      </c>
      <c r="G1033" s="1">
        <v>1</v>
      </c>
      <c r="H1033" s="1" t="s">
        <v>29</v>
      </c>
      <c r="I1033" s="1" t="s">
        <v>53</v>
      </c>
      <c r="J1033" s="1" t="s">
        <v>39</v>
      </c>
      <c r="K1033" s="1" t="s">
        <v>33</v>
      </c>
      <c r="L1033" s="1">
        <v>51</v>
      </c>
      <c r="M1033" s="1">
        <v>3</v>
      </c>
      <c r="N1033" s="1" t="s">
        <v>47</v>
      </c>
      <c r="O1033" s="1">
        <v>1</v>
      </c>
      <c r="P1033" s="1">
        <v>3</v>
      </c>
      <c r="Q1033" s="1">
        <v>3</v>
      </c>
      <c r="R1033" s="1">
        <v>13116</v>
      </c>
      <c r="S1033" s="1">
        <v>15</v>
      </c>
      <c r="T1033" s="1">
        <v>3</v>
      </c>
      <c r="U1033" s="1">
        <v>2</v>
      </c>
      <c r="V1033" s="1">
        <v>2</v>
      </c>
      <c r="W1033" s="1">
        <v>2</v>
      </c>
      <c r="X1033" s="1">
        <v>2</v>
      </c>
    </row>
    <row r="1034" spans="1:24">
      <c r="A1034" s="1">
        <v>1033</v>
      </c>
      <c r="B1034" s="1" t="s">
        <v>33</v>
      </c>
      <c r="C1034" s="1" t="s">
        <v>25</v>
      </c>
      <c r="D1034" s="1" t="s">
        <v>43</v>
      </c>
      <c r="E1034" s="1" t="s">
        <v>36</v>
      </c>
      <c r="F1034" s="1" t="s">
        <v>28</v>
      </c>
      <c r="G1034" s="1">
        <v>1</v>
      </c>
      <c r="H1034" s="1" t="s">
        <v>29</v>
      </c>
      <c r="I1034" s="1" t="s">
        <v>38</v>
      </c>
      <c r="J1034" s="1" t="s">
        <v>39</v>
      </c>
      <c r="K1034" s="1" t="s">
        <v>33</v>
      </c>
      <c r="L1034" s="1">
        <v>34</v>
      </c>
      <c r="M1034" s="1">
        <v>19</v>
      </c>
      <c r="N1034" s="1" t="s">
        <v>47</v>
      </c>
      <c r="O1034" s="1">
        <v>2</v>
      </c>
      <c r="P1034" s="1">
        <v>1</v>
      </c>
      <c r="Q1034" s="1">
        <v>4</v>
      </c>
      <c r="R1034" s="1">
        <v>2929</v>
      </c>
      <c r="S1034" s="1">
        <v>10</v>
      </c>
      <c r="T1034" s="1">
        <v>3</v>
      </c>
      <c r="U1034" s="1">
        <v>10</v>
      </c>
      <c r="V1034" s="1">
        <v>9</v>
      </c>
      <c r="W1034" s="1">
        <v>8</v>
      </c>
      <c r="X1034" s="1">
        <v>7</v>
      </c>
    </row>
    <row r="1035" spans="1:24">
      <c r="A1035" s="1">
        <v>1034</v>
      </c>
      <c r="B1035" s="1" t="s">
        <v>33</v>
      </c>
      <c r="C1035" s="1" t="s">
        <v>25</v>
      </c>
      <c r="D1035" s="1" t="s">
        <v>43</v>
      </c>
      <c r="E1035" s="1" t="s">
        <v>36</v>
      </c>
      <c r="F1035" s="1" t="s">
        <v>45</v>
      </c>
      <c r="G1035" s="1">
        <v>1</v>
      </c>
      <c r="H1035" s="1" t="s">
        <v>29</v>
      </c>
      <c r="I1035" s="1" t="s">
        <v>38</v>
      </c>
      <c r="J1035" s="1" t="s">
        <v>39</v>
      </c>
      <c r="K1035" s="1" t="s">
        <v>33</v>
      </c>
      <c r="L1035" s="1">
        <v>27</v>
      </c>
      <c r="M1035" s="1">
        <v>8</v>
      </c>
      <c r="N1035" s="1" t="s">
        <v>47</v>
      </c>
      <c r="O1035" s="1">
        <v>2</v>
      </c>
      <c r="P1035" s="1">
        <v>1</v>
      </c>
      <c r="Q1035" s="1">
        <v>3</v>
      </c>
      <c r="R1035" s="1">
        <v>3517</v>
      </c>
      <c r="S1035" s="1">
        <v>5</v>
      </c>
      <c r="T1035" s="1">
        <v>3</v>
      </c>
      <c r="U1035" s="1">
        <v>3</v>
      </c>
      <c r="V1035" s="1">
        <v>2</v>
      </c>
      <c r="W1035" s="1">
        <v>0</v>
      </c>
      <c r="X1035" s="1">
        <v>2</v>
      </c>
    </row>
    <row r="1036" spans="1:24">
      <c r="A1036" s="1">
        <v>1035</v>
      </c>
      <c r="B1036" s="1" t="s">
        <v>33</v>
      </c>
      <c r="C1036" s="1" t="s">
        <v>25</v>
      </c>
      <c r="D1036" s="1" t="s">
        <v>35</v>
      </c>
      <c r="E1036" s="1" t="s">
        <v>36</v>
      </c>
      <c r="F1036" s="1" t="s">
        <v>41</v>
      </c>
      <c r="G1036" s="1">
        <v>1</v>
      </c>
      <c r="H1036" s="1" t="s">
        <v>29</v>
      </c>
      <c r="I1036" s="1" t="s">
        <v>42</v>
      </c>
      <c r="J1036" s="1" t="s">
        <v>39</v>
      </c>
      <c r="K1036" s="1" t="s">
        <v>33</v>
      </c>
      <c r="L1036" s="1">
        <v>52</v>
      </c>
      <c r="M1036" s="1">
        <v>8</v>
      </c>
      <c r="N1036" s="1" t="s">
        <v>44</v>
      </c>
      <c r="O1036" s="1">
        <v>3</v>
      </c>
      <c r="P1036" s="1">
        <v>1</v>
      </c>
      <c r="Q1036" s="1">
        <v>1</v>
      </c>
      <c r="R1036" s="1">
        <v>2950</v>
      </c>
      <c r="S1036" s="1">
        <v>12</v>
      </c>
      <c r="T1036" s="1">
        <v>1</v>
      </c>
      <c r="U1036" s="1">
        <v>5</v>
      </c>
      <c r="V1036" s="1">
        <v>4</v>
      </c>
      <c r="W1036" s="1">
        <v>0</v>
      </c>
      <c r="X1036" s="1">
        <v>4</v>
      </c>
    </row>
    <row r="1037" spans="1:24">
      <c r="A1037" s="1">
        <v>1036</v>
      </c>
      <c r="B1037" s="1" t="s">
        <v>33</v>
      </c>
      <c r="C1037" s="1" t="s">
        <v>25</v>
      </c>
      <c r="D1037" s="1" t="s">
        <v>26</v>
      </c>
      <c r="E1037" s="1" t="s">
        <v>36</v>
      </c>
      <c r="F1037" s="1" t="s">
        <v>45</v>
      </c>
      <c r="G1037" s="1">
        <v>1</v>
      </c>
      <c r="H1037" s="1" t="s">
        <v>29</v>
      </c>
      <c r="I1037" s="1" t="s">
        <v>55</v>
      </c>
      <c r="J1037" s="1" t="s">
        <v>39</v>
      </c>
      <c r="K1037" s="1" t="s">
        <v>33</v>
      </c>
      <c r="L1037" s="1">
        <v>38</v>
      </c>
      <c r="M1037" s="1">
        <v>10</v>
      </c>
      <c r="N1037" s="1" t="s">
        <v>47</v>
      </c>
      <c r="O1037" s="1">
        <v>2</v>
      </c>
      <c r="P1037" s="1">
        <v>3</v>
      </c>
      <c r="Q1037" s="1">
        <v>3</v>
      </c>
      <c r="R1037" s="1">
        <v>13206</v>
      </c>
      <c r="S1037" s="1">
        <v>20</v>
      </c>
      <c r="T1037" s="1">
        <v>3</v>
      </c>
      <c r="U1037" s="1">
        <v>18</v>
      </c>
      <c r="V1037" s="1">
        <v>16</v>
      </c>
      <c r="W1037" s="1">
        <v>1</v>
      </c>
      <c r="X1037" s="1">
        <v>11</v>
      </c>
    </row>
    <row r="1038" spans="1:24">
      <c r="A1038" s="1">
        <v>1037</v>
      </c>
      <c r="B1038" s="1" t="s">
        <v>33</v>
      </c>
      <c r="C1038" s="1" t="s">
        <v>25</v>
      </c>
      <c r="D1038" s="1" t="s">
        <v>26</v>
      </c>
      <c r="E1038" s="1" t="s">
        <v>36</v>
      </c>
      <c r="F1038" s="1" t="s">
        <v>45</v>
      </c>
      <c r="G1038" s="1">
        <v>1</v>
      </c>
      <c r="H1038" s="1" t="s">
        <v>29</v>
      </c>
      <c r="I1038" s="1" t="s">
        <v>38</v>
      </c>
      <c r="J1038" s="1" t="s">
        <v>39</v>
      </c>
      <c r="K1038" s="1" t="s">
        <v>33</v>
      </c>
      <c r="L1038" s="1">
        <v>37</v>
      </c>
      <c r="M1038" s="1">
        <v>10</v>
      </c>
      <c r="N1038" s="1" t="s">
        <v>47</v>
      </c>
      <c r="O1038" s="1">
        <v>2</v>
      </c>
      <c r="P1038" s="1">
        <v>1</v>
      </c>
      <c r="Q1038" s="1">
        <v>2</v>
      </c>
      <c r="R1038" s="1">
        <v>3936</v>
      </c>
      <c r="S1038" s="1">
        <v>8</v>
      </c>
      <c r="T1038" s="1">
        <v>1</v>
      </c>
      <c r="U1038" s="1">
        <v>8</v>
      </c>
      <c r="V1038" s="1">
        <v>4</v>
      </c>
      <c r="W1038" s="1">
        <v>7</v>
      </c>
      <c r="X1038" s="1">
        <v>7</v>
      </c>
    </row>
    <row r="1039" spans="1:24">
      <c r="A1039" s="1">
        <v>1038</v>
      </c>
      <c r="B1039" s="1" t="s">
        <v>33</v>
      </c>
      <c r="C1039" s="1" t="s">
        <v>25</v>
      </c>
      <c r="D1039" s="1" t="s">
        <v>43</v>
      </c>
      <c r="E1039" s="1" t="s">
        <v>36</v>
      </c>
      <c r="F1039" s="1" t="s">
        <v>41</v>
      </c>
      <c r="G1039" s="1">
        <v>1</v>
      </c>
      <c r="H1039" s="1" t="s">
        <v>29</v>
      </c>
      <c r="I1039" s="1" t="s">
        <v>50</v>
      </c>
      <c r="J1039" s="1" t="s">
        <v>39</v>
      </c>
      <c r="K1039" s="1" t="s">
        <v>33</v>
      </c>
      <c r="L1039" s="1">
        <v>29</v>
      </c>
      <c r="M1039" s="1">
        <v>8</v>
      </c>
      <c r="N1039" s="1" t="s">
        <v>40</v>
      </c>
      <c r="O1039" s="1">
        <v>3</v>
      </c>
      <c r="P1039" s="1">
        <v>2</v>
      </c>
      <c r="Q1039" s="1">
        <v>1</v>
      </c>
      <c r="R1039" s="1">
        <v>9715</v>
      </c>
      <c r="S1039" s="1">
        <v>9</v>
      </c>
      <c r="T1039" s="1">
        <v>3</v>
      </c>
      <c r="U1039" s="1">
        <v>7</v>
      </c>
      <c r="V1039" s="1">
        <v>7</v>
      </c>
      <c r="W1039" s="1">
        <v>0</v>
      </c>
      <c r="X1039" s="1">
        <v>7</v>
      </c>
    </row>
    <row r="1040" spans="1:24">
      <c r="A1040" s="1">
        <v>1039</v>
      </c>
      <c r="B1040" s="1" t="s">
        <v>33</v>
      </c>
      <c r="C1040" s="1" t="s">
        <v>25</v>
      </c>
      <c r="D1040" s="1" t="s">
        <v>26</v>
      </c>
      <c r="E1040" s="1" t="s">
        <v>36</v>
      </c>
      <c r="F1040" s="1" t="s">
        <v>28</v>
      </c>
      <c r="G1040" s="1">
        <v>1</v>
      </c>
      <c r="H1040" s="1" t="s">
        <v>29</v>
      </c>
      <c r="I1040" s="1" t="s">
        <v>38</v>
      </c>
      <c r="J1040" s="1" t="s">
        <v>39</v>
      </c>
      <c r="K1040" s="1" t="s">
        <v>33</v>
      </c>
      <c r="L1040" s="1">
        <v>35</v>
      </c>
      <c r="M1040" s="1">
        <v>1</v>
      </c>
      <c r="N1040" s="1" t="s">
        <v>44</v>
      </c>
      <c r="O1040" s="1">
        <v>3</v>
      </c>
      <c r="P1040" s="1">
        <v>1</v>
      </c>
      <c r="Q1040" s="1">
        <v>4</v>
      </c>
      <c r="R1040" s="1">
        <v>2977</v>
      </c>
      <c r="S1040" s="1">
        <v>4</v>
      </c>
      <c r="T1040" s="1">
        <v>3</v>
      </c>
      <c r="U1040" s="1">
        <v>4</v>
      </c>
      <c r="V1040" s="1">
        <v>3</v>
      </c>
      <c r="W1040" s="1">
        <v>1</v>
      </c>
      <c r="X1040" s="1">
        <v>1</v>
      </c>
    </row>
    <row r="1041" spans="1:24">
      <c r="A1041" s="1">
        <v>1040</v>
      </c>
      <c r="B1041" s="1" t="s">
        <v>33</v>
      </c>
      <c r="C1041" s="1" t="s">
        <v>25</v>
      </c>
      <c r="D1041" s="1" t="s">
        <v>26</v>
      </c>
      <c r="E1041" s="1" t="s">
        <v>36</v>
      </c>
      <c r="F1041" s="1" t="s">
        <v>28</v>
      </c>
      <c r="G1041" s="1">
        <v>1</v>
      </c>
      <c r="H1041" s="1" t="s">
        <v>29</v>
      </c>
      <c r="I1041" s="1" t="s">
        <v>42</v>
      </c>
      <c r="J1041" s="1" t="s">
        <v>39</v>
      </c>
      <c r="K1041" s="1" t="s">
        <v>33</v>
      </c>
      <c r="L1041" s="1">
        <v>40</v>
      </c>
      <c r="M1041" s="1">
        <v>2</v>
      </c>
      <c r="N1041" s="1" t="s">
        <v>32</v>
      </c>
      <c r="O1041" s="1">
        <v>3</v>
      </c>
      <c r="P1041" s="1">
        <v>1</v>
      </c>
      <c r="Q1041" s="1">
        <v>1</v>
      </c>
      <c r="R1041" s="1">
        <v>3377</v>
      </c>
      <c r="S1041" s="1">
        <v>7</v>
      </c>
      <c r="T1041" s="1">
        <v>2</v>
      </c>
      <c r="U1041" s="1">
        <v>4</v>
      </c>
      <c r="V1041" s="1">
        <v>3</v>
      </c>
      <c r="W1041" s="1">
        <v>0</v>
      </c>
      <c r="X1041" s="1">
        <v>2</v>
      </c>
    </row>
    <row r="1042" spans="1:24">
      <c r="A1042" s="1">
        <v>1041</v>
      </c>
      <c r="B1042" s="1" t="s">
        <v>33</v>
      </c>
      <c r="C1042" s="1" t="s">
        <v>25</v>
      </c>
      <c r="D1042" s="1" t="s">
        <v>35</v>
      </c>
      <c r="E1042" s="1" t="s">
        <v>36</v>
      </c>
      <c r="F1042" s="1" t="s">
        <v>28</v>
      </c>
      <c r="G1042" s="1">
        <v>1</v>
      </c>
      <c r="H1042" s="1" t="s">
        <v>29</v>
      </c>
      <c r="I1042" s="1" t="s">
        <v>42</v>
      </c>
      <c r="J1042" s="1" t="s">
        <v>39</v>
      </c>
      <c r="K1042" s="1" t="s">
        <v>33</v>
      </c>
      <c r="L1042" s="1">
        <v>49</v>
      </c>
      <c r="M1042" s="1">
        <v>25</v>
      </c>
      <c r="N1042" s="1" t="s">
        <v>44</v>
      </c>
      <c r="O1042" s="1">
        <v>3</v>
      </c>
      <c r="P1042" s="1">
        <v>1</v>
      </c>
      <c r="Q1042" s="1">
        <v>1</v>
      </c>
      <c r="R1042" s="1">
        <v>3211</v>
      </c>
      <c r="S1042" s="1">
        <v>10</v>
      </c>
      <c r="T1042" s="1">
        <v>2</v>
      </c>
      <c r="U1042" s="1">
        <v>9</v>
      </c>
      <c r="V1042" s="1">
        <v>6</v>
      </c>
      <c r="W1042" s="1">
        <v>1</v>
      </c>
      <c r="X1042" s="1">
        <v>4</v>
      </c>
    </row>
    <row r="1043" spans="1:24">
      <c r="A1043" s="1">
        <v>1042</v>
      </c>
      <c r="B1043" s="1" t="s">
        <v>33</v>
      </c>
      <c r="C1043" s="1" t="s">
        <v>25</v>
      </c>
      <c r="D1043" s="1" t="s">
        <v>35</v>
      </c>
      <c r="E1043" s="1" t="s">
        <v>36</v>
      </c>
      <c r="F1043" s="1" t="s">
        <v>41</v>
      </c>
      <c r="G1043" s="1">
        <v>1</v>
      </c>
      <c r="H1043" s="1" t="s">
        <v>29</v>
      </c>
      <c r="I1043" s="1" t="s">
        <v>38</v>
      </c>
      <c r="J1043" s="1" t="s">
        <v>39</v>
      </c>
      <c r="K1043" s="1" t="s">
        <v>33</v>
      </c>
      <c r="L1043" s="1">
        <v>48</v>
      </c>
      <c r="M1043" s="1">
        <v>15</v>
      </c>
      <c r="N1043" s="1" t="s">
        <v>44</v>
      </c>
      <c r="O1043" s="1">
        <v>3</v>
      </c>
      <c r="P1043" s="1">
        <v>1</v>
      </c>
      <c r="Q1043" s="1">
        <v>1</v>
      </c>
      <c r="R1043" s="1">
        <v>2367</v>
      </c>
      <c r="S1043" s="1">
        <v>10</v>
      </c>
      <c r="T1043" s="1">
        <v>2</v>
      </c>
      <c r="U1043" s="1">
        <v>8</v>
      </c>
      <c r="V1043" s="1">
        <v>2</v>
      </c>
      <c r="W1043" s="1">
        <v>7</v>
      </c>
      <c r="X1043" s="1">
        <v>6</v>
      </c>
    </row>
    <row r="1044" spans="1:24">
      <c r="A1044" s="1">
        <v>1043</v>
      </c>
      <c r="B1044" s="1" t="s">
        <v>33</v>
      </c>
      <c r="C1044" s="1" t="s">
        <v>25</v>
      </c>
      <c r="D1044" s="1" t="s">
        <v>43</v>
      </c>
      <c r="E1044" s="1" t="s">
        <v>36</v>
      </c>
      <c r="F1044" s="1" t="s">
        <v>28</v>
      </c>
      <c r="G1044" s="1">
        <v>1</v>
      </c>
      <c r="H1044" s="1" t="s">
        <v>29</v>
      </c>
      <c r="I1044" s="1" t="s">
        <v>42</v>
      </c>
      <c r="J1044" s="1" t="s">
        <v>39</v>
      </c>
      <c r="K1044" s="1" t="s">
        <v>33</v>
      </c>
      <c r="L1044" s="1">
        <v>34</v>
      </c>
      <c r="M1044" s="1">
        <v>1</v>
      </c>
      <c r="N1044" s="1" t="s">
        <v>47</v>
      </c>
      <c r="O1044" s="1">
        <v>4</v>
      </c>
      <c r="P1044" s="1">
        <v>1</v>
      </c>
      <c r="Q1044" s="1">
        <v>2</v>
      </c>
      <c r="R1044" s="1">
        <v>3294</v>
      </c>
      <c r="S1044" s="1">
        <v>7</v>
      </c>
      <c r="T1044" s="1">
        <v>2</v>
      </c>
      <c r="U1044" s="1">
        <v>5</v>
      </c>
      <c r="V1044" s="1">
        <v>4</v>
      </c>
      <c r="W1044" s="1">
        <v>0</v>
      </c>
      <c r="X1044" s="1">
        <v>2</v>
      </c>
    </row>
    <row r="1045" spans="1:24">
      <c r="A1045" s="1">
        <v>1044</v>
      </c>
      <c r="B1045" s="1" t="s">
        <v>33</v>
      </c>
      <c r="C1045" s="1" t="s">
        <v>25</v>
      </c>
      <c r="D1045" s="1" t="s">
        <v>43</v>
      </c>
      <c r="E1045" s="1" t="s">
        <v>36</v>
      </c>
      <c r="F1045" s="1" t="s">
        <v>28</v>
      </c>
      <c r="G1045" s="1">
        <v>1</v>
      </c>
      <c r="H1045" s="1" t="s">
        <v>29</v>
      </c>
      <c r="I1045" s="1" t="s">
        <v>38</v>
      </c>
      <c r="J1045" s="1" t="s">
        <v>39</v>
      </c>
      <c r="K1045" s="1" t="s">
        <v>33</v>
      </c>
      <c r="L1045" s="1">
        <v>32</v>
      </c>
      <c r="M1045" s="1">
        <v>5</v>
      </c>
      <c r="N1045" s="1" t="s">
        <v>32</v>
      </c>
      <c r="O1045" s="1">
        <v>4</v>
      </c>
      <c r="P1045" s="1">
        <v>2</v>
      </c>
      <c r="Q1045" s="1">
        <v>2</v>
      </c>
      <c r="R1045" s="1">
        <v>5878</v>
      </c>
      <c r="S1045" s="1">
        <v>12</v>
      </c>
      <c r="T1045" s="1">
        <v>3</v>
      </c>
      <c r="U1045" s="1">
        <v>7</v>
      </c>
      <c r="V1045" s="1">
        <v>1</v>
      </c>
      <c r="W1045" s="1">
        <v>2</v>
      </c>
      <c r="X1045" s="1">
        <v>5</v>
      </c>
    </row>
    <row r="1046" spans="1:24">
      <c r="A1046" s="1">
        <v>1045</v>
      </c>
      <c r="B1046" s="1" t="s">
        <v>33</v>
      </c>
      <c r="C1046" s="1" t="s">
        <v>25</v>
      </c>
      <c r="D1046" s="1" t="s">
        <v>26</v>
      </c>
      <c r="E1046" s="1" t="s">
        <v>36</v>
      </c>
      <c r="F1046" s="1" t="s">
        <v>41</v>
      </c>
      <c r="G1046" s="1">
        <v>1</v>
      </c>
      <c r="H1046" s="1" t="s">
        <v>29</v>
      </c>
      <c r="I1046" s="1" t="s">
        <v>42</v>
      </c>
      <c r="J1046" s="1" t="s">
        <v>39</v>
      </c>
      <c r="K1046" s="1" t="s">
        <v>33</v>
      </c>
      <c r="L1046" s="1">
        <v>38</v>
      </c>
      <c r="M1046" s="1">
        <v>6</v>
      </c>
      <c r="N1046" s="1" t="s">
        <v>32</v>
      </c>
      <c r="O1046" s="1">
        <v>4</v>
      </c>
      <c r="P1046" s="1">
        <v>1</v>
      </c>
      <c r="Q1046" s="1">
        <v>3</v>
      </c>
      <c r="R1046" s="1">
        <v>3702</v>
      </c>
      <c r="S1046" s="1">
        <v>5</v>
      </c>
      <c r="T1046" s="1">
        <v>3</v>
      </c>
      <c r="U1046" s="1">
        <v>5</v>
      </c>
      <c r="V1046" s="1">
        <v>4</v>
      </c>
      <c r="W1046" s="1">
        <v>0</v>
      </c>
      <c r="X1046" s="1">
        <v>4</v>
      </c>
    </row>
    <row r="1047" spans="1:24">
      <c r="A1047" s="1">
        <v>1046</v>
      </c>
      <c r="B1047" s="1" t="s">
        <v>33</v>
      </c>
      <c r="C1047" s="1" t="s">
        <v>25</v>
      </c>
      <c r="D1047" s="1" t="s">
        <v>26</v>
      </c>
      <c r="E1047" s="1" t="s">
        <v>36</v>
      </c>
      <c r="F1047" s="1" t="s">
        <v>45</v>
      </c>
      <c r="G1047" s="1">
        <v>1</v>
      </c>
      <c r="H1047" s="1" t="s">
        <v>29</v>
      </c>
      <c r="I1047" s="1" t="s">
        <v>42</v>
      </c>
      <c r="J1047" s="1" t="s">
        <v>39</v>
      </c>
      <c r="K1047" s="1" t="s">
        <v>33</v>
      </c>
      <c r="L1047" s="1">
        <v>38</v>
      </c>
      <c r="M1047" s="1">
        <v>4</v>
      </c>
      <c r="N1047" s="1" t="s">
        <v>32</v>
      </c>
      <c r="O1047" s="1">
        <v>4</v>
      </c>
      <c r="P1047" s="1">
        <v>1</v>
      </c>
      <c r="Q1047" s="1">
        <v>3</v>
      </c>
      <c r="R1047" s="1">
        <v>3306</v>
      </c>
      <c r="S1047" s="1">
        <v>7</v>
      </c>
      <c r="T1047" s="1">
        <v>2</v>
      </c>
      <c r="U1047" s="1">
        <v>0</v>
      </c>
      <c r="V1047" s="1">
        <v>0</v>
      </c>
      <c r="W1047" s="1">
        <v>0</v>
      </c>
      <c r="X1047" s="1">
        <v>0</v>
      </c>
    </row>
    <row r="1048" spans="1:24">
      <c r="A1048" s="1">
        <v>1047</v>
      </c>
      <c r="B1048" s="1" t="s">
        <v>33</v>
      </c>
      <c r="C1048" s="1" t="s">
        <v>25</v>
      </c>
      <c r="D1048" s="1" t="s">
        <v>43</v>
      </c>
      <c r="E1048" s="1" t="s">
        <v>36</v>
      </c>
      <c r="F1048" s="1" t="s">
        <v>45</v>
      </c>
      <c r="G1048" s="1">
        <v>1</v>
      </c>
      <c r="H1048" s="1" t="s">
        <v>29</v>
      </c>
      <c r="I1048" s="1" t="s">
        <v>42</v>
      </c>
      <c r="J1048" s="1" t="s">
        <v>39</v>
      </c>
      <c r="K1048" s="1" t="s">
        <v>33</v>
      </c>
      <c r="L1048" s="1">
        <v>29</v>
      </c>
      <c r="M1048" s="1">
        <v>9</v>
      </c>
      <c r="N1048" s="1" t="s">
        <v>44</v>
      </c>
      <c r="O1048" s="1">
        <v>4</v>
      </c>
      <c r="P1048" s="1">
        <v>1</v>
      </c>
      <c r="Q1048" s="1">
        <v>3</v>
      </c>
      <c r="R1048" s="1">
        <v>2974</v>
      </c>
      <c r="S1048" s="1">
        <v>9</v>
      </c>
      <c r="T1048" s="1">
        <v>3</v>
      </c>
      <c r="U1048" s="1">
        <v>5</v>
      </c>
      <c r="V1048" s="1">
        <v>3</v>
      </c>
      <c r="W1048" s="1">
        <v>1</v>
      </c>
      <c r="X1048" s="1">
        <v>2</v>
      </c>
    </row>
    <row r="1049" spans="1:24">
      <c r="A1049" s="1">
        <v>1048</v>
      </c>
      <c r="B1049" s="1" t="s">
        <v>33</v>
      </c>
      <c r="C1049" s="1" t="s">
        <v>25</v>
      </c>
      <c r="D1049" s="1" t="s">
        <v>35</v>
      </c>
      <c r="E1049" s="1" t="s">
        <v>36</v>
      </c>
      <c r="F1049" s="1" t="s">
        <v>45</v>
      </c>
      <c r="G1049" s="1">
        <v>1</v>
      </c>
      <c r="H1049" s="1" t="s">
        <v>29</v>
      </c>
      <c r="I1049" s="1" t="s">
        <v>38</v>
      </c>
      <c r="J1049" s="1" t="s">
        <v>39</v>
      </c>
      <c r="K1049" s="1" t="s">
        <v>33</v>
      </c>
      <c r="L1049" s="1">
        <v>54</v>
      </c>
      <c r="M1049" s="1">
        <v>7</v>
      </c>
      <c r="N1049" s="1" t="s">
        <v>44</v>
      </c>
      <c r="O1049" s="1">
        <v>4</v>
      </c>
      <c r="P1049" s="1">
        <v>2</v>
      </c>
      <c r="Q1049" s="1">
        <v>4</v>
      </c>
      <c r="R1049" s="1">
        <v>6854</v>
      </c>
      <c r="S1049" s="1">
        <v>14</v>
      </c>
      <c r="T1049" s="1">
        <v>2</v>
      </c>
      <c r="U1049" s="1">
        <v>7</v>
      </c>
      <c r="V1049" s="1">
        <v>1</v>
      </c>
      <c r="W1049" s="1">
        <v>1</v>
      </c>
      <c r="X1049" s="1">
        <v>7</v>
      </c>
    </row>
    <row r="1050" spans="1:24">
      <c r="A1050" s="1">
        <v>1049</v>
      </c>
      <c r="B1050" s="1" t="s">
        <v>33</v>
      </c>
      <c r="C1050" s="1" t="s">
        <v>25</v>
      </c>
      <c r="D1050" s="1" t="s">
        <v>26</v>
      </c>
      <c r="E1050" s="1" t="s">
        <v>36</v>
      </c>
      <c r="F1050" s="1" t="s">
        <v>28</v>
      </c>
      <c r="G1050" s="1">
        <v>1</v>
      </c>
      <c r="H1050" s="1" t="s">
        <v>29</v>
      </c>
      <c r="I1050" s="1" t="s">
        <v>49</v>
      </c>
      <c r="J1050" s="1" t="s">
        <v>39</v>
      </c>
      <c r="K1050" s="1" t="s">
        <v>33</v>
      </c>
      <c r="L1050" s="1">
        <v>40</v>
      </c>
      <c r="M1050" s="1">
        <v>15</v>
      </c>
      <c r="N1050" s="1" t="s">
        <v>47</v>
      </c>
      <c r="O1050" s="1">
        <v>1</v>
      </c>
      <c r="P1050" s="1">
        <v>3</v>
      </c>
      <c r="Q1050" s="1">
        <v>3</v>
      </c>
      <c r="R1050" s="1">
        <v>10435</v>
      </c>
      <c r="S1050" s="1">
        <v>18</v>
      </c>
      <c r="T1050" s="1">
        <v>3</v>
      </c>
      <c r="U1050" s="1">
        <v>18</v>
      </c>
      <c r="V1050" s="1">
        <v>15</v>
      </c>
      <c r="W1050" s="1">
        <v>14</v>
      </c>
      <c r="X1050" s="1">
        <v>12</v>
      </c>
    </row>
    <row r="1051" spans="1:24">
      <c r="A1051" s="1">
        <v>1050</v>
      </c>
      <c r="B1051" s="1" t="s">
        <v>33</v>
      </c>
      <c r="C1051" s="1" t="s">
        <v>25</v>
      </c>
      <c r="D1051" s="1" t="s">
        <v>35</v>
      </c>
      <c r="E1051" s="1" t="s">
        <v>36</v>
      </c>
      <c r="F1051" s="1" t="s">
        <v>41</v>
      </c>
      <c r="G1051" s="1">
        <v>1</v>
      </c>
      <c r="H1051" s="1" t="s">
        <v>29</v>
      </c>
      <c r="I1051" s="1" t="s">
        <v>55</v>
      </c>
      <c r="J1051" s="1" t="s">
        <v>39</v>
      </c>
      <c r="K1051" s="1" t="s">
        <v>33</v>
      </c>
      <c r="L1051" s="1">
        <v>49</v>
      </c>
      <c r="M1051" s="1">
        <v>22</v>
      </c>
      <c r="N1051" s="1" t="s">
        <v>44</v>
      </c>
      <c r="O1051" s="1">
        <v>1</v>
      </c>
      <c r="P1051" s="1">
        <v>4</v>
      </c>
      <c r="Q1051" s="1">
        <v>2</v>
      </c>
      <c r="R1051" s="1">
        <v>16413</v>
      </c>
      <c r="S1051" s="1">
        <v>27</v>
      </c>
      <c r="T1051" s="1">
        <v>3</v>
      </c>
      <c r="U1051" s="1">
        <v>4</v>
      </c>
      <c r="V1051" s="1">
        <v>2</v>
      </c>
      <c r="W1051" s="1">
        <v>1</v>
      </c>
      <c r="X1051" s="1">
        <v>2</v>
      </c>
    </row>
    <row r="1052" spans="1:24">
      <c r="A1052" s="1">
        <v>1051</v>
      </c>
      <c r="B1052" s="1" t="s">
        <v>33</v>
      </c>
      <c r="C1052" s="1" t="s">
        <v>25</v>
      </c>
      <c r="D1052" s="1" t="s">
        <v>35</v>
      </c>
      <c r="E1052" s="1" t="s">
        <v>36</v>
      </c>
      <c r="F1052" s="1" t="s">
        <v>28</v>
      </c>
      <c r="G1052" s="1">
        <v>1</v>
      </c>
      <c r="H1052" s="1" t="s">
        <v>29</v>
      </c>
      <c r="I1052" s="1" t="s">
        <v>38</v>
      </c>
      <c r="J1052" s="1" t="s">
        <v>39</v>
      </c>
      <c r="K1052" s="1" t="s">
        <v>33</v>
      </c>
      <c r="L1052" s="1">
        <v>54</v>
      </c>
      <c r="M1052" s="1">
        <v>9</v>
      </c>
      <c r="N1052" s="1" t="s">
        <v>32</v>
      </c>
      <c r="O1052" s="1">
        <v>1</v>
      </c>
      <c r="P1052" s="1">
        <v>2</v>
      </c>
      <c r="Q1052" s="1">
        <v>3</v>
      </c>
      <c r="R1052" s="1">
        <v>2897</v>
      </c>
      <c r="S1052" s="1">
        <v>9</v>
      </c>
      <c r="T1052" s="1">
        <v>2</v>
      </c>
      <c r="U1052" s="1">
        <v>4</v>
      </c>
      <c r="V1052" s="1">
        <v>3</v>
      </c>
      <c r="W1052" s="1">
        <v>2</v>
      </c>
      <c r="X1052" s="1">
        <v>3</v>
      </c>
    </row>
    <row r="1053" spans="1:24">
      <c r="A1053" s="1">
        <v>1052</v>
      </c>
      <c r="B1053" s="1" t="s">
        <v>33</v>
      </c>
      <c r="C1053" s="1" t="s">
        <v>25</v>
      </c>
      <c r="D1053" s="1" t="s">
        <v>35</v>
      </c>
      <c r="E1053" s="1" t="s">
        <v>36</v>
      </c>
      <c r="F1053" s="1" t="s">
        <v>45</v>
      </c>
      <c r="G1053" s="1">
        <v>1</v>
      </c>
      <c r="H1053" s="1" t="s">
        <v>29</v>
      </c>
      <c r="I1053" s="1" t="s">
        <v>55</v>
      </c>
      <c r="J1053" s="1" t="s">
        <v>39</v>
      </c>
      <c r="K1053" s="1" t="s">
        <v>33</v>
      </c>
      <c r="L1053" s="1">
        <v>47</v>
      </c>
      <c r="M1053" s="1">
        <v>2</v>
      </c>
      <c r="N1053" s="1" t="s">
        <v>44</v>
      </c>
      <c r="O1053" s="1">
        <v>1</v>
      </c>
      <c r="P1053" s="1">
        <v>4</v>
      </c>
      <c r="Q1053" s="1">
        <v>3</v>
      </c>
      <c r="R1053" s="1">
        <v>17169</v>
      </c>
      <c r="S1053" s="1">
        <v>26</v>
      </c>
      <c r="T1053" s="1">
        <v>4</v>
      </c>
      <c r="U1053" s="1">
        <v>20</v>
      </c>
      <c r="V1053" s="1">
        <v>17</v>
      </c>
      <c r="W1053" s="1">
        <v>5</v>
      </c>
      <c r="X1053" s="1">
        <v>6</v>
      </c>
    </row>
    <row r="1054" spans="1:24">
      <c r="A1054" s="1">
        <v>1053</v>
      </c>
      <c r="B1054" s="1" t="s">
        <v>33</v>
      </c>
      <c r="C1054" s="1" t="s">
        <v>25</v>
      </c>
      <c r="D1054" s="1" t="s">
        <v>35</v>
      </c>
      <c r="E1054" s="1" t="s">
        <v>36</v>
      </c>
      <c r="F1054" s="1" t="s">
        <v>28</v>
      </c>
      <c r="G1054" s="1">
        <v>1</v>
      </c>
      <c r="H1054" s="1" t="s">
        <v>29</v>
      </c>
      <c r="I1054" s="1" t="s">
        <v>49</v>
      </c>
      <c r="J1054" s="1" t="s">
        <v>39</v>
      </c>
      <c r="K1054" s="1" t="s">
        <v>33</v>
      </c>
      <c r="L1054" s="1">
        <v>45</v>
      </c>
      <c r="M1054" s="1">
        <v>25</v>
      </c>
      <c r="N1054" s="1" t="s">
        <v>32</v>
      </c>
      <c r="O1054" s="1">
        <v>2</v>
      </c>
      <c r="P1054" s="1">
        <v>2</v>
      </c>
      <c r="Q1054" s="1">
        <v>4</v>
      </c>
      <c r="R1054" s="1">
        <v>5906</v>
      </c>
      <c r="S1054" s="1">
        <v>10</v>
      </c>
      <c r="T1054" s="1">
        <v>2</v>
      </c>
      <c r="U1054" s="1">
        <v>9</v>
      </c>
      <c r="V1054" s="1">
        <v>8</v>
      </c>
      <c r="W1054" s="1">
        <v>3</v>
      </c>
      <c r="X1054" s="1">
        <v>8</v>
      </c>
    </row>
    <row r="1055" spans="1:24">
      <c r="A1055" s="1">
        <v>1054</v>
      </c>
      <c r="B1055" s="1" t="s">
        <v>33</v>
      </c>
      <c r="C1055" s="1" t="s">
        <v>25</v>
      </c>
      <c r="D1055" s="1" t="s">
        <v>26</v>
      </c>
      <c r="E1055" s="1" t="s">
        <v>36</v>
      </c>
      <c r="F1055" s="1" t="s">
        <v>28</v>
      </c>
      <c r="G1055" s="1">
        <v>1</v>
      </c>
      <c r="H1055" s="1" t="s">
        <v>29</v>
      </c>
      <c r="I1055" s="1" t="s">
        <v>50</v>
      </c>
      <c r="J1055" s="1" t="s">
        <v>39</v>
      </c>
      <c r="K1055" s="1" t="s">
        <v>33</v>
      </c>
      <c r="L1055" s="1">
        <v>36</v>
      </c>
      <c r="M1055" s="1">
        <v>5</v>
      </c>
      <c r="N1055" s="1" t="s">
        <v>44</v>
      </c>
      <c r="O1055" s="1">
        <v>2</v>
      </c>
      <c r="P1055" s="1">
        <v>3</v>
      </c>
      <c r="Q1055" s="1">
        <v>1</v>
      </c>
      <c r="R1055" s="1">
        <v>8008</v>
      </c>
      <c r="S1055" s="1">
        <v>9</v>
      </c>
      <c r="T1055" s="1">
        <v>3</v>
      </c>
      <c r="U1055" s="1">
        <v>3</v>
      </c>
      <c r="V1055" s="1">
        <v>2</v>
      </c>
      <c r="W1055" s="1">
        <v>0</v>
      </c>
      <c r="X1055" s="1">
        <v>2</v>
      </c>
    </row>
    <row r="1056" spans="1:24">
      <c r="A1056" s="1">
        <v>1055</v>
      </c>
      <c r="B1056" s="1" t="s">
        <v>33</v>
      </c>
      <c r="C1056" s="1" t="s">
        <v>25</v>
      </c>
      <c r="D1056" s="1" t="s">
        <v>43</v>
      </c>
      <c r="E1056" s="1" t="s">
        <v>36</v>
      </c>
      <c r="F1056" s="1" t="s">
        <v>41</v>
      </c>
      <c r="G1056" s="1">
        <v>1</v>
      </c>
      <c r="H1056" s="1" t="s">
        <v>29</v>
      </c>
      <c r="I1056" s="1" t="s">
        <v>38</v>
      </c>
      <c r="J1056" s="1" t="s">
        <v>39</v>
      </c>
      <c r="K1056" s="1" t="s">
        <v>33</v>
      </c>
      <c r="L1056" s="1">
        <v>32</v>
      </c>
      <c r="M1056" s="1">
        <v>5</v>
      </c>
      <c r="N1056" s="1" t="s">
        <v>44</v>
      </c>
      <c r="O1056" s="1">
        <v>2</v>
      </c>
      <c r="P1056" s="1">
        <v>1</v>
      </c>
      <c r="Q1056" s="1">
        <v>4</v>
      </c>
      <c r="R1056" s="1">
        <v>3312</v>
      </c>
      <c r="S1056" s="1">
        <v>6</v>
      </c>
      <c r="T1056" s="1">
        <v>3</v>
      </c>
      <c r="U1056" s="1">
        <v>3</v>
      </c>
      <c r="V1056" s="1">
        <v>2</v>
      </c>
      <c r="W1056" s="1">
        <v>0</v>
      </c>
      <c r="X1056" s="1">
        <v>2</v>
      </c>
    </row>
    <row r="1057" spans="1:24">
      <c r="A1057" s="1">
        <v>1056</v>
      </c>
      <c r="B1057" s="1" t="s">
        <v>33</v>
      </c>
      <c r="C1057" s="1" t="s">
        <v>25</v>
      </c>
      <c r="D1057" s="1" t="s">
        <v>26</v>
      </c>
      <c r="E1057" s="1" t="s">
        <v>36</v>
      </c>
      <c r="F1057" s="1" t="s">
        <v>45</v>
      </c>
      <c r="G1057" s="1">
        <v>1</v>
      </c>
      <c r="H1057" s="1" t="s">
        <v>29</v>
      </c>
      <c r="I1057" s="1" t="s">
        <v>38</v>
      </c>
      <c r="J1057" s="1" t="s">
        <v>39</v>
      </c>
      <c r="K1057" s="1" t="s">
        <v>33</v>
      </c>
      <c r="L1057" s="1">
        <v>40</v>
      </c>
      <c r="M1057" s="1">
        <v>2</v>
      </c>
      <c r="N1057" s="1" t="s">
        <v>44</v>
      </c>
      <c r="O1057" s="1">
        <v>3</v>
      </c>
      <c r="P1057" s="1">
        <v>1</v>
      </c>
      <c r="Q1057" s="1">
        <v>3</v>
      </c>
      <c r="R1057" s="1">
        <v>2001</v>
      </c>
      <c r="S1057" s="1">
        <v>20</v>
      </c>
      <c r="T1057" s="1">
        <v>3</v>
      </c>
      <c r="U1057" s="1">
        <v>5</v>
      </c>
      <c r="V1057" s="1">
        <v>3</v>
      </c>
      <c r="W1057" s="1">
        <v>0</v>
      </c>
      <c r="X1057" s="1">
        <v>2</v>
      </c>
    </row>
    <row r="1058" spans="1:24">
      <c r="A1058" s="1">
        <v>1057</v>
      </c>
      <c r="B1058" s="1" t="s">
        <v>33</v>
      </c>
      <c r="C1058" s="1" t="s">
        <v>25</v>
      </c>
      <c r="D1058" s="1" t="s">
        <v>43</v>
      </c>
      <c r="E1058" s="1" t="s">
        <v>36</v>
      </c>
      <c r="F1058" s="1" t="s">
        <v>28</v>
      </c>
      <c r="G1058" s="1">
        <v>1</v>
      </c>
      <c r="H1058" s="1" t="s">
        <v>29</v>
      </c>
      <c r="I1058" s="1" t="s">
        <v>55</v>
      </c>
      <c r="J1058" s="1" t="s">
        <v>31</v>
      </c>
      <c r="K1058" s="1" t="s">
        <v>33</v>
      </c>
      <c r="L1058" s="1">
        <v>31</v>
      </c>
      <c r="M1058" s="1">
        <v>8</v>
      </c>
      <c r="N1058" s="1" t="s">
        <v>58</v>
      </c>
      <c r="O1058" s="1">
        <v>1</v>
      </c>
      <c r="P1058" s="1">
        <v>4</v>
      </c>
      <c r="Q1058" s="1">
        <v>2</v>
      </c>
      <c r="R1058" s="1">
        <v>16422</v>
      </c>
      <c r="S1058" s="1">
        <v>9</v>
      </c>
      <c r="T1058" s="1">
        <v>4</v>
      </c>
      <c r="U1058" s="1">
        <v>3</v>
      </c>
      <c r="V1058" s="1">
        <v>2</v>
      </c>
      <c r="W1058" s="1">
        <v>1</v>
      </c>
      <c r="X1058" s="1">
        <v>0</v>
      </c>
    </row>
    <row r="1059" spans="1:24">
      <c r="A1059" s="1">
        <v>1058</v>
      </c>
      <c r="B1059" s="1" t="s">
        <v>33</v>
      </c>
      <c r="C1059" s="1" t="s">
        <v>25</v>
      </c>
      <c r="D1059" s="1" t="s">
        <v>26</v>
      </c>
      <c r="E1059" s="1" t="s">
        <v>36</v>
      </c>
      <c r="F1059" s="1" t="s">
        <v>45</v>
      </c>
      <c r="G1059" s="1">
        <v>1</v>
      </c>
      <c r="H1059" s="1" t="s">
        <v>29</v>
      </c>
      <c r="I1059" s="1" t="s">
        <v>42</v>
      </c>
      <c r="J1059" s="1" t="s">
        <v>31</v>
      </c>
      <c r="K1059" s="1" t="s">
        <v>33</v>
      </c>
      <c r="L1059" s="1">
        <v>37</v>
      </c>
      <c r="M1059" s="1">
        <v>11</v>
      </c>
      <c r="N1059" s="1" t="s">
        <v>47</v>
      </c>
      <c r="O1059" s="1">
        <v>1</v>
      </c>
      <c r="P1059" s="1">
        <v>1</v>
      </c>
      <c r="Q1059" s="1">
        <v>3</v>
      </c>
      <c r="R1059" s="1">
        <v>3629</v>
      </c>
      <c r="S1059" s="1">
        <v>8</v>
      </c>
      <c r="T1059" s="1">
        <v>3</v>
      </c>
      <c r="U1059" s="1">
        <v>3</v>
      </c>
      <c r="V1059" s="1">
        <v>2</v>
      </c>
      <c r="W1059" s="1">
        <v>0</v>
      </c>
      <c r="X1059" s="1">
        <v>2</v>
      </c>
    </row>
    <row r="1060" spans="1:24">
      <c r="A1060" s="1">
        <v>1059</v>
      </c>
      <c r="B1060" s="1" t="s">
        <v>33</v>
      </c>
      <c r="C1060" s="1" t="s">
        <v>25</v>
      </c>
      <c r="D1060" s="1" t="s">
        <v>43</v>
      </c>
      <c r="E1060" s="1" t="s">
        <v>36</v>
      </c>
      <c r="F1060" s="1" t="s">
        <v>45</v>
      </c>
      <c r="G1060" s="1">
        <v>1</v>
      </c>
      <c r="H1060" s="1" t="s">
        <v>29</v>
      </c>
      <c r="I1060" s="1" t="s">
        <v>49</v>
      </c>
      <c r="J1060" s="1" t="s">
        <v>31</v>
      </c>
      <c r="K1060" s="1" t="s">
        <v>33</v>
      </c>
      <c r="L1060" s="1">
        <v>30</v>
      </c>
      <c r="M1060" s="1">
        <v>10</v>
      </c>
      <c r="N1060" s="1" t="s">
        <v>47</v>
      </c>
      <c r="O1060" s="1">
        <v>1</v>
      </c>
      <c r="P1060" s="1">
        <v>3</v>
      </c>
      <c r="Q1060" s="1">
        <v>3</v>
      </c>
      <c r="R1060" s="1">
        <v>9667</v>
      </c>
      <c r="S1060" s="1">
        <v>9</v>
      </c>
      <c r="T1060" s="1">
        <v>3</v>
      </c>
      <c r="U1060" s="1">
        <v>7</v>
      </c>
      <c r="V1060" s="1">
        <v>7</v>
      </c>
      <c r="W1060" s="1">
        <v>0</v>
      </c>
      <c r="X1060" s="1">
        <v>2</v>
      </c>
    </row>
    <row r="1061" spans="1:24">
      <c r="A1061" s="1">
        <v>1060</v>
      </c>
      <c r="B1061" s="1" t="s">
        <v>33</v>
      </c>
      <c r="C1061" s="1" t="s">
        <v>25</v>
      </c>
      <c r="D1061" s="1" t="s">
        <v>26</v>
      </c>
      <c r="E1061" s="1" t="s">
        <v>36</v>
      </c>
      <c r="F1061" s="1" t="s">
        <v>28</v>
      </c>
      <c r="G1061" s="1">
        <v>1</v>
      </c>
      <c r="H1061" s="1" t="s">
        <v>29</v>
      </c>
      <c r="I1061" s="1" t="s">
        <v>49</v>
      </c>
      <c r="J1061" s="1" t="s">
        <v>31</v>
      </c>
      <c r="K1061" s="1" t="s">
        <v>33</v>
      </c>
      <c r="L1061" s="1">
        <v>39</v>
      </c>
      <c r="M1061" s="1">
        <v>6</v>
      </c>
      <c r="N1061" s="1" t="s">
        <v>47</v>
      </c>
      <c r="O1061" s="1">
        <v>2</v>
      </c>
      <c r="P1061" s="1">
        <v>3</v>
      </c>
      <c r="Q1061" s="1">
        <v>2</v>
      </c>
      <c r="R1061" s="1">
        <v>8376</v>
      </c>
      <c r="S1061" s="1">
        <v>9</v>
      </c>
      <c r="T1061" s="1">
        <v>3</v>
      </c>
      <c r="U1061" s="1">
        <v>2</v>
      </c>
      <c r="V1061" s="1">
        <v>0</v>
      </c>
      <c r="W1061" s="1">
        <v>2</v>
      </c>
      <c r="X1061" s="1">
        <v>2</v>
      </c>
    </row>
    <row r="1062" spans="1:24">
      <c r="A1062" s="1">
        <v>1061</v>
      </c>
      <c r="B1062" s="1" t="s">
        <v>33</v>
      </c>
      <c r="C1062" s="1" t="s">
        <v>25</v>
      </c>
      <c r="D1062" s="1" t="s">
        <v>35</v>
      </c>
      <c r="E1062" s="1" t="s">
        <v>36</v>
      </c>
      <c r="F1062" s="1" t="s">
        <v>28</v>
      </c>
      <c r="G1062" s="1">
        <v>1</v>
      </c>
      <c r="H1062" s="1" t="s">
        <v>29</v>
      </c>
      <c r="I1062" s="1" t="s">
        <v>42</v>
      </c>
      <c r="J1062" s="1" t="s">
        <v>31</v>
      </c>
      <c r="K1062" s="1" t="s">
        <v>33</v>
      </c>
      <c r="L1062" s="1">
        <v>47</v>
      </c>
      <c r="M1062" s="1">
        <v>9</v>
      </c>
      <c r="N1062" s="1" t="s">
        <v>44</v>
      </c>
      <c r="O1062" s="1">
        <v>2</v>
      </c>
      <c r="P1062" s="1">
        <v>1</v>
      </c>
      <c r="Q1062" s="1">
        <v>3</v>
      </c>
      <c r="R1062" s="1">
        <v>2105</v>
      </c>
      <c r="S1062" s="1">
        <v>7</v>
      </c>
      <c r="T1062" s="1">
        <v>3</v>
      </c>
      <c r="U1062" s="1">
        <v>2</v>
      </c>
      <c r="V1062" s="1">
        <v>2</v>
      </c>
      <c r="W1062" s="1">
        <v>2</v>
      </c>
      <c r="X1062" s="1">
        <v>0</v>
      </c>
    </row>
    <row r="1063" spans="1:24">
      <c r="A1063" s="1">
        <v>1062</v>
      </c>
      <c r="B1063" s="1" t="s">
        <v>33</v>
      </c>
      <c r="C1063" s="1" t="s">
        <v>25</v>
      </c>
      <c r="D1063" s="1" t="s">
        <v>43</v>
      </c>
      <c r="E1063" s="1" t="s">
        <v>36</v>
      </c>
      <c r="F1063" s="1" t="s">
        <v>28</v>
      </c>
      <c r="G1063" s="1">
        <v>1</v>
      </c>
      <c r="H1063" s="1" t="s">
        <v>29</v>
      </c>
      <c r="I1063" s="1" t="s">
        <v>42</v>
      </c>
      <c r="J1063" s="1" t="s">
        <v>31</v>
      </c>
      <c r="K1063" s="1" t="s">
        <v>33</v>
      </c>
      <c r="L1063" s="1">
        <v>32</v>
      </c>
      <c r="M1063" s="1">
        <v>29</v>
      </c>
      <c r="N1063" s="1" t="s">
        <v>44</v>
      </c>
      <c r="O1063" s="1">
        <v>3</v>
      </c>
      <c r="P1063" s="1">
        <v>1</v>
      </c>
      <c r="Q1063" s="1">
        <v>2</v>
      </c>
      <c r="R1063" s="1">
        <v>2837</v>
      </c>
      <c r="S1063" s="1">
        <v>6</v>
      </c>
      <c r="T1063" s="1">
        <v>3</v>
      </c>
      <c r="U1063" s="1">
        <v>6</v>
      </c>
      <c r="V1063" s="1">
        <v>2</v>
      </c>
      <c r="W1063" s="1">
        <v>4</v>
      </c>
      <c r="X1063" s="1">
        <v>1</v>
      </c>
    </row>
    <row r="1064" spans="1:24">
      <c r="A1064" s="1">
        <v>1063</v>
      </c>
      <c r="B1064" s="1" t="s">
        <v>33</v>
      </c>
      <c r="C1064" s="1" t="s">
        <v>25</v>
      </c>
      <c r="D1064" s="1" t="s">
        <v>52</v>
      </c>
      <c r="E1064" s="1" t="s">
        <v>36</v>
      </c>
      <c r="F1064" s="1" t="s">
        <v>45</v>
      </c>
      <c r="G1064" s="1">
        <v>1</v>
      </c>
      <c r="H1064" s="1" t="s">
        <v>29</v>
      </c>
      <c r="I1064" s="1" t="s">
        <v>42</v>
      </c>
      <c r="J1064" s="1" t="s">
        <v>31</v>
      </c>
      <c r="K1064" s="1" t="s">
        <v>33</v>
      </c>
      <c r="L1064" s="1">
        <v>23</v>
      </c>
      <c r="M1064" s="1">
        <v>4</v>
      </c>
      <c r="N1064" s="1" t="s">
        <v>40</v>
      </c>
      <c r="O1064" s="1">
        <v>3</v>
      </c>
      <c r="P1064" s="1">
        <v>1</v>
      </c>
      <c r="Q1064" s="1">
        <v>2</v>
      </c>
      <c r="R1064" s="1">
        <v>3295</v>
      </c>
      <c r="S1064" s="1">
        <v>3</v>
      </c>
      <c r="T1064" s="1">
        <v>1</v>
      </c>
      <c r="U1064" s="1">
        <v>3</v>
      </c>
      <c r="V1064" s="1">
        <v>2</v>
      </c>
      <c r="W1064" s="1">
        <v>1</v>
      </c>
      <c r="X1064" s="1">
        <v>2</v>
      </c>
    </row>
    <row r="1065" spans="1:24">
      <c r="A1065" s="1">
        <v>1064</v>
      </c>
      <c r="B1065" s="1" t="s">
        <v>33</v>
      </c>
      <c r="C1065" s="1" t="s">
        <v>25</v>
      </c>
      <c r="D1065" s="1" t="s">
        <v>43</v>
      </c>
      <c r="E1065" s="1" t="s">
        <v>36</v>
      </c>
      <c r="F1065" s="1" t="s">
        <v>45</v>
      </c>
      <c r="G1065" s="1">
        <v>1</v>
      </c>
      <c r="H1065" s="1" t="s">
        <v>29</v>
      </c>
      <c r="I1065" s="1" t="s">
        <v>38</v>
      </c>
      <c r="J1065" s="1" t="s">
        <v>31</v>
      </c>
      <c r="K1065" s="1" t="s">
        <v>33</v>
      </c>
      <c r="L1065" s="1">
        <v>27</v>
      </c>
      <c r="M1065" s="1">
        <v>8</v>
      </c>
      <c r="N1065" s="1" t="s">
        <v>47</v>
      </c>
      <c r="O1065" s="1">
        <v>3</v>
      </c>
      <c r="P1065" s="1">
        <v>1</v>
      </c>
      <c r="Q1065" s="1">
        <v>4</v>
      </c>
      <c r="R1065" s="1">
        <v>3445</v>
      </c>
      <c r="S1065" s="1">
        <v>6</v>
      </c>
      <c r="T1065" s="1">
        <v>2</v>
      </c>
      <c r="U1065" s="1">
        <v>6</v>
      </c>
      <c r="V1065" s="1">
        <v>2</v>
      </c>
      <c r="W1065" s="1">
        <v>1</v>
      </c>
      <c r="X1065" s="1">
        <v>4</v>
      </c>
    </row>
    <row r="1066" spans="1:24">
      <c r="A1066" s="1">
        <v>1065</v>
      </c>
      <c r="B1066" s="1" t="s">
        <v>33</v>
      </c>
      <c r="C1066" s="1" t="s">
        <v>25</v>
      </c>
      <c r="D1066" s="1" t="s">
        <v>43</v>
      </c>
      <c r="E1066" s="1" t="s">
        <v>36</v>
      </c>
      <c r="F1066" s="1" t="s">
        <v>45</v>
      </c>
      <c r="G1066" s="1">
        <v>1</v>
      </c>
      <c r="H1066" s="1" t="s">
        <v>29</v>
      </c>
      <c r="I1066" s="1" t="s">
        <v>38</v>
      </c>
      <c r="J1066" s="1" t="s">
        <v>31</v>
      </c>
      <c r="K1066" s="1" t="s">
        <v>33</v>
      </c>
      <c r="L1066" s="1">
        <v>29</v>
      </c>
      <c r="M1066" s="1">
        <v>28</v>
      </c>
      <c r="N1066" s="1" t="s">
        <v>44</v>
      </c>
      <c r="O1066" s="1">
        <v>4</v>
      </c>
      <c r="P1066" s="1">
        <v>1</v>
      </c>
      <c r="Q1066" s="1">
        <v>1</v>
      </c>
      <c r="R1066" s="1">
        <v>3785</v>
      </c>
      <c r="S1066" s="1">
        <v>5</v>
      </c>
      <c r="T1066" s="1">
        <v>1</v>
      </c>
      <c r="U1066" s="1">
        <v>5</v>
      </c>
      <c r="V1066" s="1">
        <v>4</v>
      </c>
      <c r="W1066" s="1">
        <v>0</v>
      </c>
      <c r="X1066" s="1">
        <v>4</v>
      </c>
    </row>
    <row r="1067" spans="1:24">
      <c r="A1067" s="1">
        <v>1066</v>
      </c>
      <c r="B1067" s="1" t="s">
        <v>33</v>
      </c>
      <c r="C1067" s="1" t="s">
        <v>25</v>
      </c>
      <c r="D1067" s="1" t="s">
        <v>26</v>
      </c>
      <c r="E1067" s="1" t="s">
        <v>36</v>
      </c>
      <c r="F1067" s="1" t="s">
        <v>28</v>
      </c>
      <c r="G1067" s="1">
        <v>1</v>
      </c>
      <c r="H1067" s="1" t="s">
        <v>29</v>
      </c>
      <c r="I1067" s="1" t="s">
        <v>50</v>
      </c>
      <c r="J1067" s="1" t="s">
        <v>31</v>
      </c>
      <c r="K1067" s="1" t="s">
        <v>33</v>
      </c>
      <c r="L1067" s="1">
        <v>35</v>
      </c>
      <c r="M1067" s="1">
        <v>16</v>
      </c>
      <c r="N1067" s="1" t="s">
        <v>47</v>
      </c>
      <c r="O1067" s="1">
        <v>4</v>
      </c>
      <c r="P1067" s="1">
        <v>3</v>
      </c>
      <c r="Q1067" s="1">
        <v>2</v>
      </c>
      <c r="R1067" s="1">
        <v>8606</v>
      </c>
      <c r="S1067" s="1">
        <v>11</v>
      </c>
      <c r="T1067" s="1">
        <v>1</v>
      </c>
      <c r="U1067" s="1">
        <v>11</v>
      </c>
      <c r="V1067" s="1">
        <v>8</v>
      </c>
      <c r="W1067" s="1">
        <v>3</v>
      </c>
      <c r="X1067" s="1">
        <v>3</v>
      </c>
    </row>
    <row r="1068" spans="1:24">
      <c r="A1068" s="1">
        <v>1067</v>
      </c>
      <c r="B1068" s="1" t="s">
        <v>33</v>
      </c>
      <c r="C1068" s="1" t="s">
        <v>25</v>
      </c>
      <c r="D1068" s="1" t="s">
        <v>35</v>
      </c>
      <c r="E1068" s="1" t="s">
        <v>36</v>
      </c>
      <c r="F1068" s="1" t="s">
        <v>57</v>
      </c>
      <c r="G1068" s="1">
        <v>1</v>
      </c>
      <c r="H1068" s="1" t="s">
        <v>29</v>
      </c>
      <c r="I1068" s="1" t="s">
        <v>55</v>
      </c>
      <c r="J1068" s="1" t="s">
        <v>31</v>
      </c>
      <c r="K1068" s="1" t="s">
        <v>33</v>
      </c>
      <c r="L1068" s="1">
        <v>45</v>
      </c>
      <c r="M1068" s="1">
        <v>28</v>
      </c>
      <c r="N1068" s="1" t="s">
        <v>32</v>
      </c>
      <c r="O1068" s="1">
        <v>4</v>
      </c>
      <c r="P1068" s="1">
        <v>4</v>
      </c>
      <c r="Q1068" s="1">
        <v>2</v>
      </c>
      <c r="R1068" s="1">
        <v>16704</v>
      </c>
      <c r="S1068" s="1">
        <v>21</v>
      </c>
      <c r="T1068" s="1">
        <v>3</v>
      </c>
      <c r="U1068" s="1">
        <v>21</v>
      </c>
      <c r="V1068" s="1">
        <v>6</v>
      </c>
      <c r="W1068" s="1">
        <v>8</v>
      </c>
      <c r="X1068" s="1">
        <v>6</v>
      </c>
    </row>
    <row r="1069" spans="1:24">
      <c r="A1069" s="1">
        <v>1068</v>
      </c>
      <c r="B1069" s="1" t="s">
        <v>33</v>
      </c>
      <c r="C1069" s="1" t="s">
        <v>25</v>
      </c>
      <c r="D1069" s="1" t="s">
        <v>35</v>
      </c>
      <c r="E1069" s="1" t="s">
        <v>36</v>
      </c>
      <c r="F1069" s="1" t="s">
        <v>45</v>
      </c>
      <c r="G1069" s="1">
        <v>1</v>
      </c>
      <c r="H1069" s="1" t="s">
        <v>29</v>
      </c>
      <c r="I1069" s="1" t="s">
        <v>55</v>
      </c>
      <c r="J1069" s="1" t="s">
        <v>31</v>
      </c>
      <c r="K1069" s="1" t="s">
        <v>33</v>
      </c>
      <c r="L1069" s="1">
        <v>54</v>
      </c>
      <c r="M1069" s="1">
        <v>1</v>
      </c>
      <c r="N1069" s="1" t="s">
        <v>47</v>
      </c>
      <c r="O1069" s="1">
        <v>4</v>
      </c>
      <c r="P1069" s="1">
        <v>4</v>
      </c>
      <c r="Q1069" s="1">
        <v>4</v>
      </c>
      <c r="R1069" s="1">
        <v>17328</v>
      </c>
      <c r="S1069" s="1">
        <v>29</v>
      </c>
      <c r="T1069" s="1">
        <v>2</v>
      </c>
      <c r="U1069" s="1">
        <v>20</v>
      </c>
      <c r="V1069" s="1">
        <v>7</v>
      </c>
      <c r="W1069" s="1">
        <v>12</v>
      </c>
      <c r="X1069" s="1">
        <v>7</v>
      </c>
    </row>
    <row r="1070" spans="1:24">
      <c r="A1070" s="1">
        <v>1069</v>
      </c>
      <c r="B1070" s="1" t="s">
        <v>33</v>
      </c>
      <c r="C1070" s="1" t="s">
        <v>25</v>
      </c>
      <c r="D1070" s="1" t="s">
        <v>35</v>
      </c>
      <c r="E1070" s="1" t="s">
        <v>27</v>
      </c>
      <c r="F1070" s="1" t="s">
        <v>57</v>
      </c>
      <c r="G1070" s="1">
        <v>1</v>
      </c>
      <c r="H1070" s="1" t="s">
        <v>29</v>
      </c>
      <c r="I1070" s="1" t="s">
        <v>30</v>
      </c>
      <c r="J1070" s="1" t="s">
        <v>48</v>
      </c>
      <c r="K1070" s="1" t="s">
        <v>33</v>
      </c>
      <c r="L1070" s="1">
        <v>46</v>
      </c>
      <c r="M1070" s="1">
        <v>3</v>
      </c>
      <c r="N1070" s="1" t="s">
        <v>47</v>
      </c>
      <c r="O1070" s="1">
        <v>1</v>
      </c>
      <c r="P1070" s="1">
        <v>4</v>
      </c>
      <c r="Q1070" s="1">
        <v>1</v>
      </c>
      <c r="R1070" s="1">
        <v>13225</v>
      </c>
      <c r="S1070" s="1">
        <v>25</v>
      </c>
      <c r="T1070" s="1">
        <v>3</v>
      </c>
      <c r="U1070" s="1">
        <v>19</v>
      </c>
      <c r="V1070" s="1">
        <v>17</v>
      </c>
      <c r="W1070" s="1">
        <v>2</v>
      </c>
      <c r="X1070" s="1">
        <v>8</v>
      </c>
    </row>
    <row r="1071" spans="1:24">
      <c r="A1071" s="1">
        <v>1070</v>
      </c>
      <c r="B1071" s="1" t="s">
        <v>33</v>
      </c>
      <c r="C1071" s="1" t="s">
        <v>25</v>
      </c>
      <c r="D1071" s="1" t="s">
        <v>35</v>
      </c>
      <c r="E1071" s="1" t="s">
        <v>27</v>
      </c>
      <c r="F1071" s="1" t="s">
        <v>28</v>
      </c>
      <c r="G1071" s="1">
        <v>1</v>
      </c>
      <c r="H1071" s="1" t="s">
        <v>29</v>
      </c>
      <c r="I1071" s="1" t="s">
        <v>30</v>
      </c>
      <c r="J1071" s="1" t="s">
        <v>48</v>
      </c>
      <c r="K1071" s="1" t="s">
        <v>33</v>
      </c>
      <c r="L1071" s="1">
        <v>48</v>
      </c>
      <c r="M1071" s="1">
        <v>16</v>
      </c>
      <c r="N1071" s="1" t="s">
        <v>44</v>
      </c>
      <c r="O1071" s="1">
        <v>3</v>
      </c>
      <c r="P1071" s="1">
        <v>2</v>
      </c>
      <c r="Q1071" s="1">
        <v>3</v>
      </c>
      <c r="R1071" s="1">
        <v>6439</v>
      </c>
      <c r="S1071" s="1">
        <v>18</v>
      </c>
      <c r="T1071" s="1">
        <v>3</v>
      </c>
      <c r="U1071" s="1">
        <v>8</v>
      </c>
      <c r="V1071" s="1">
        <v>7</v>
      </c>
      <c r="W1071" s="1">
        <v>7</v>
      </c>
      <c r="X1071" s="1">
        <v>7</v>
      </c>
    </row>
    <row r="1072" spans="1:24">
      <c r="A1072" s="1">
        <v>1071</v>
      </c>
      <c r="B1072" s="1" t="s">
        <v>33</v>
      </c>
      <c r="C1072" s="1" t="s">
        <v>25</v>
      </c>
      <c r="D1072" s="1" t="s">
        <v>43</v>
      </c>
      <c r="E1072" s="1" t="s">
        <v>27</v>
      </c>
      <c r="F1072" s="1" t="s">
        <v>56</v>
      </c>
      <c r="G1072" s="1">
        <v>1</v>
      </c>
      <c r="H1072" s="1" t="s">
        <v>29</v>
      </c>
      <c r="I1072" s="1" t="s">
        <v>30</v>
      </c>
      <c r="J1072" s="1" t="s">
        <v>48</v>
      </c>
      <c r="K1072" s="1" t="s">
        <v>33</v>
      </c>
      <c r="L1072" s="1">
        <v>30</v>
      </c>
      <c r="M1072" s="1">
        <v>7</v>
      </c>
      <c r="N1072" s="1" t="s">
        <v>44</v>
      </c>
      <c r="O1072" s="1">
        <v>4</v>
      </c>
      <c r="P1072" s="1">
        <v>2</v>
      </c>
      <c r="Q1072" s="1">
        <v>1</v>
      </c>
      <c r="R1072" s="1">
        <v>4779</v>
      </c>
      <c r="S1072" s="1">
        <v>8</v>
      </c>
      <c r="T1072" s="1">
        <v>3</v>
      </c>
      <c r="U1072" s="1">
        <v>3</v>
      </c>
      <c r="V1072" s="1">
        <v>2</v>
      </c>
      <c r="W1072" s="1">
        <v>0</v>
      </c>
      <c r="X1072" s="1">
        <v>2</v>
      </c>
    </row>
    <row r="1073" spans="1:24">
      <c r="A1073" s="1">
        <v>1072</v>
      </c>
      <c r="B1073" s="1" t="s">
        <v>33</v>
      </c>
      <c r="C1073" s="1" t="s">
        <v>25</v>
      </c>
      <c r="D1073" s="1" t="s">
        <v>35</v>
      </c>
      <c r="E1073" s="1" t="s">
        <v>27</v>
      </c>
      <c r="F1073" s="1" t="s">
        <v>28</v>
      </c>
      <c r="G1073" s="1">
        <v>1</v>
      </c>
      <c r="H1073" s="1" t="s">
        <v>29</v>
      </c>
      <c r="I1073" s="1" t="s">
        <v>53</v>
      </c>
      <c r="J1073" s="1" t="s">
        <v>48</v>
      </c>
      <c r="K1073" s="1" t="s">
        <v>33</v>
      </c>
      <c r="L1073" s="1">
        <v>47</v>
      </c>
      <c r="M1073" s="1">
        <v>2</v>
      </c>
      <c r="N1073" s="1" t="s">
        <v>44</v>
      </c>
      <c r="O1073" s="1">
        <v>2</v>
      </c>
      <c r="P1073" s="1">
        <v>4</v>
      </c>
      <c r="Q1073" s="1">
        <v>2</v>
      </c>
      <c r="R1073" s="1">
        <v>15972</v>
      </c>
      <c r="S1073" s="1">
        <v>29</v>
      </c>
      <c r="T1073" s="1">
        <v>3</v>
      </c>
      <c r="U1073" s="1">
        <v>3</v>
      </c>
      <c r="V1073" s="1">
        <v>2</v>
      </c>
      <c r="W1073" s="1">
        <v>1</v>
      </c>
      <c r="X1073" s="1">
        <v>2</v>
      </c>
    </row>
    <row r="1074" spans="1:24">
      <c r="A1074" s="1">
        <v>1073</v>
      </c>
      <c r="B1074" s="1" t="s">
        <v>33</v>
      </c>
      <c r="C1074" s="1" t="s">
        <v>25</v>
      </c>
      <c r="D1074" s="1" t="s">
        <v>26</v>
      </c>
      <c r="E1074" s="1" t="s">
        <v>27</v>
      </c>
      <c r="F1074" s="1" t="s">
        <v>28</v>
      </c>
      <c r="G1074" s="1">
        <v>1</v>
      </c>
      <c r="H1074" s="1" t="s">
        <v>29</v>
      </c>
      <c r="I1074" s="1" t="s">
        <v>30</v>
      </c>
      <c r="J1074" s="1" t="s">
        <v>39</v>
      </c>
      <c r="K1074" s="1" t="s">
        <v>33</v>
      </c>
      <c r="L1074" s="1">
        <v>38</v>
      </c>
      <c r="M1074" s="1">
        <v>10</v>
      </c>
      <c r="N1074" s="1" t="s">
        <v>32</v>
      </c>
      <c r="O1074" s="1">
        <v>1</v>
      </c>
      <c r="P1074" s="1">
        <v>2</v>
      </c>
      <c r="Q1074" s="1">
        <v>4</v>
      </c>
      <c r="R1074" s="1">
        <v>5343</v>
      </c>
      <c r="S1074" s="1">
        <v>10</v>
      </c>
      <c r="T1074" s="1">
        <v>3</v>
      </c>
      <c r="U1074" s="1">
        <v>10</v>
      </c>
      <c r="V1074" s="1">
        <v>7</v>
      </c>
      <c r="W1074" s="1">
        <v>1</v>
      </c>
      <c r="X1074" s="1">
        <v>9</v>
      </c>
    </row>
    <row r="1075" spans="1:24">
      <c r="A1075" s="1">
        <v>1074</v>
      </c>
      <c r="B1075" s="1" t="s">
        <v>33</v>
      </c>
      <c r="C1075" s="1" t="s">
        <v>25</v>
      </c>
      <c r="D1075" s="1" t="s">
        <v>26</v>
      </c>
      <c r="E1075" s="1" t="s">
        <v>27</v>
      </c>
      <c r="F1075" s="1" t="s">
        <v>56</v>
      </c>
      <c r="G1075" s="1">
        <v>1</v>
      </c>
      <c r="H1075" s="1" t="s">
        <v>29</v>
      </c>
      <c r="I1075" s="1" t="s">
        <v>30</v>
      </c>
      <c r="J1075" s="1" t="s">
        <v>39</v>
      </c>
      <c r="K1075" s="1" t="s">
        <v>33</v>
      </c>
      <c r="L1075" s="1">
        <v>36</v>
      </c>
      <c r="M1075" s="1">
        <v>11</v>
      </c>
      <c r="N1075" s="1" t="s">
        <v>44</v>
      </c>
      <c r="O1075" s="1">
        <v>2</v>
      </c>
      <c r="P1075" s="1">
        <v>2</v>
      </c>
      <c r="Q1075" s="1">
        <v>4</v>
      </c>
      <c r="R1075" s="1">
        <v>6652</v>
      </c>
      <c r="S1075" s="1">
        <v>8</v>
      </c>
      <c r="T1075" s="1">
        <v>2</v>
      </c>
      <c r="U1075" s="1">
        <v>6</v>
      </c>
      <c r="V1075" s="1">
        <v>3</v>
      </c>
      <c r="W1075" s="1">
        <v>0</v>
      </c>
      <c r="X1075" s="1">
        <v>0</v>
      </c>
    </row>
    <row r="1076" spans="1:24">
      <c r="A1076" s="1">
        <v>1075</v>
      </c>
      <c r="B1076" s="1" t="s">
        <v>33</v>
      </c>
      <c r="C1076" s="1" t="s">
        <v>25</v>
      </c>
      <c r="D1076" s="1" t="s">
        <v>26</v>
      </c>
      <c r="E1076" s="1" t="s">
        <v>27</v>
      </c>
      <c r="F1076" s="1" t="s">
        <v>56</v>
      </c>
      <c r="G1076" s="1">
        <v>1</v>
      </c>
      <c r="H1076" s="1" t="s">
        <v>29</v>
      </c>
      <c r="I1076" s="1" t="s">
        <v>30</v>
      </c>
      <c r="J1076" s="1" t="s">
        <v>39</v>
      </c>
      <c r="K1076" s="1" t="s">
        <v>33</v>
      </c>
      <c r="L1076" s="1">
        <v>39</v>
      </c>
      <c r="M1076" s="1">
        <v>24</v>
      </c>
      <c r="N1076" s="1" t="s">
        <v>40</v>
      </c>
      <c r="O1076" s="1">
        <v>2</v>
      </c>
      <c r="P1076" s="1">
        <v>4</v>
      </c>
      <c r="Q1076" s="1">
        <v>4</v>
      </c>
      <c r="R1076" s="1">
        <v>12031</v>
      </c>
      <c r="S1076" s="1">
        <v>21</v>
      </c>
      <c r="T1076" s="1">
        <v>2</v>
      </c>
      <c r="U1076" s="1">
        <v>20</v>
      </c>
      <c r="V1076" s="1">
        <v>9</v>
      </c>
      <c r="W1076" s="1">
        <v>9</v>
      </c>
      <c r="X1076" s="1">
        <v>6</v>
      </c>
    </row>
    <row r="1077" spans="1:24">
      <c r="A1077" s="1">
        <v>1076</v>
      </c>
      <c r="B1077" s="1" t="s">
        <v>33</v>
      </c>
      <c r="C1077" s="1" t="s">
        <v>25</v>
      </c>
      <c r="D1077" s="1" t="s">
        <v>26</v>
      </c>
      <c r="E1077" s="1" t="s">
        <v>27</v>
      </c>
      <c r="F1077" s="1" t="s">
        <v>56</v>
      </c>
      <c r="G1077" s="1">
        <v>1</v>
      </c>
      <c r="H1077" s="1" t="s">
        <v>29</v>
      </c>
      <c r="I1077" s="1" t="s">
        <v>30</v>
      </c>
      <c r="J1077" s="1" t="s">
        <v>39</v>
      </c>
      <c r="K1077" s="1" t="s">
        <v>33</v>
      </c>
      <c r="L1077" s="1">
        <v>40</v>
      </c>
      <c r="M1077" s="1">
        <v>2</v>
      </c>
      <c r="N1077" s="1" t="s">
        <v>32</v>
      </c>
      <c r="O1077" s="1">
        <v>2</v>
      </c>
      <c r="P1077" s="1">
        <v>2</v>
      </c>
      <c r="Q1077" s="1">
        <v>2</v>
      </c>
      <c r="R1077" s="1">
        <v>5677</v>
      </c>
      <c r="S1077" s="1">
        <v>15</v>
      </c>
      <c r="T1077" s="1">
        <v>3</v>
      </c>
      <c r="U1077" s="1">
        <v>11</v>
      </c>
      <c r="V1077" s="1">
        <v>8</v>
      </c>
      <c r="W1077" s="1">
        <v>5</v>
      </c>
      <c r="X1077" s="1">
        <v>10</v>
      </c>
    </row>
    <row r="1078" spans="1:24">
      <c r="A1078" s="1">
        <v>1077</v>
      </c>
      <c r="B1078" s="1" t="s">
        <v>33</v>
      </c>
      <c r="C1078" s="1" t="s">
        <v>25</v>
      </c>
      <c r="D1078" s="1" t="s">
        <v>43</v>
      </c>
      <c r="E1078" s="1" t="s">
        <v>27</v>
      </c>
      <c r="F1078" s="1" t="s">
        <v>45</v>
      </c>
      <c r="G1078" s="1">
        <v>1</v>
      </c>
      <c r="H1078" s="1" t="s">
        <v>29</v>
      </c>
      <c r="I1078" s="1" t="s">
        <v>54</v>
      </c>
      <c r="J1078" s="1" t="s">
        <v>39</v>
      </c>
      <c r="K1078" s="1" t="s">
        <v>33</v>
      </c>
      <c r="L1078" s="1">
        <v>28</v>
      </c>
      <c r="M1078" s="1">
        <v>3</v>
      </c>
      <c r="N1078" s="1" t="s">
        <v>47</v>
      </c>
      <c r="O1078" s="1">
        <v>2</v>
      </c>
      <c r="P1078" s="1">
        <v>1</v>
      </c>
      <c r="Q1078" s="1">
        <v>2</v>
      </c>
      <c r="R1078" s="1">
        <v>2856</v>
      </c>
      <c r="S1078" s="1">
        <v>1</v>
      </c>
      <c r="T1078" s="1">
        <v>3</v>
      </c>
      <c r="U1078" s="1">
        <v>1</v>
      </c>
      <c r="V1078" s="1">
        <v>0</v>
      </c>
      <c r="W1078" s="1">
        <v>0</v>
      </c>
      <c r="X1078" s="1">
        <v>0</v>
      </c>
    </row>
    <row r="1079" spans="1:24">
      <c r="A1079" s="1">
        <v>1078</v>
      </c>
      <c r="B1079" s="1" t="s">
        <v>33</v>
      </c>
      <c r="C1079" s="1" t="s">
        <v>25</v>
      </c>
      <c r="D1079" s="1" t="s">
        <v>35</v>
      </c>
      <c r="E1079" s="1" t="s">
        <v>27</v>
      </c>
      <c r="F1079" s="1" t="s">
        <v>28</v>
      </c>
      <c r="G1079" s="1">
        <v>1</v>
      </c>
      <c r="H1079" s="1" t="s">
        <v>29</v>
      </c>
      <c r="I1079" s="1" t="s">
        <v>53</v>
      </c>
      <c r="J1079" s="1" t="s">
        <v>39</v>
      </c>
      <c r="K1079" s="1" t="s">
        <v>33</v>
      </c>
      <c r="L1079" s="1">
        <v>46</v>
      </c>
      <c r="M1079" s="1">
        <v>3</v>
      </c>
      <c r="N1079" s="1" t="s">
        <v>47</v>
      </c>
      <c r="O1079" s="1">
        <v>3</v>
      </c>
      <c r="P1079" s="1">
        <v>4</v>
      </c>
      <c r="Q1079" s="1">
        <v>2</v>
      </c>
      <c r="R1079" s="1">
        <v>16606</v>
      </c>
      <c r="S1079" s="1">
        <v>23</v>
      </c>
      <c r="T1079" s="1">
        <v>4</v>
      </c>
      <c r="U1079" s="1">
        <v>13</v>
      </c>
      <c r="V1079" s="1">
        <v>12</v>
      </c>
      <c r="W1079" s="1">
        <v>5</v>
      </c>
      <c r="X1079" s="1">
        <v>1</v>
      </c>
    </row>
    <row r="1080" spans="1:24">
      <c r="A1080" s="1">
        <v>1079</v>
      </c>
      <c r="B1080" s="1" t="s">
        <v>33</v>
      </c>
      <c r="C1080" s="1" t="s">
        <v>25</v>
      </c>
      <c r="D1080" s="1" t="s">
        <v>46</v>
      </c>
      <c r="E1080" s="1" t="s">
        <v>27</v>
      </c>
      <c r="F1080" s="1" t="s">
        <v>56</v>
      </c>
      <c r="G1080" s="1">
        <v>1</v>
      </c>
      <c r="H1080" s="1" t="s">
        <v>29</v>
      </c>
      <c r="I1080" s="1" t="s">
        <v>30</v>
      </c>
      <c r="J1080" s="1" t="s">
        <v>39</v>
      </c>
      <c r="K1080" s="1" t="s">
        <v>33</v>
      </c>
      <c r="L1080" s="1">
        <v>56</v>
      </c>
      <c r="M1080" s="1">
        <v>11</v>
      </c>
      <c r="N1080" s="1" t="s">
        <v>58</v>
      </c>
      <c r="O1080" s="1">
        <v>4</v>
      </c>
      <c r="P1080" s="1">
        <v>2</v>
      </c>
      <c r="Q1080" s="1">
        <v>1</v>
      </c>
      <c r="R1080" s="1">
        <v>5380</v>
      </c>
      <c r="S1080" s="1">
        <v>6</v>
      </c>
      <c r="T1080" s="1">
        <v>3</v>
      </c>
      <c r="U1080" s="1">
        <v>0</v>
      </c>
      <c r="V1080" s="1">
        <v>0</v>
      </c>
      <c r="W1080" s="1">
        <v>0</v>
      </c>
      <c r="X1080" s="1">
        <v>0</v>
      </c>
    </row>
    <row r="1081" spans="1:24">
      <c r="A1081" s="1">
        <v>1080</v>
      </c>
      <c r="B1081" s="1" t="s">
        <v>33</v>
      </c>
      <c r="C1081" s="1" t="s">
        <v>25</v>
      </c>
      <c r="D1081" s="1" t="s">
        <v>26</v>
      </c>
      <c r="E1081" s="1" t="s">
        <v>27</v>
      </c>
      <c r="F1081" s="1" t="s">
        <v>28</v>
      </c>
      <c r="G1081" s="1">
        <v>1</v>
      </c>
      <c r="H1081" s="1" t="s">
        <v>29</v>
      </c>
      <c r="I1081" s="1" t="s">
        <v>30</v>
      </c>
      <c r="J1081" s="1" t="s">
        <v>39</v>
      </c>
      <c r="K1081" s="1" t="s">
        <v>33</v>
      </c>
      <c r="L1081" s="1">
        <v>40</v>
      </c>
      <c r="M1081" s="1">
        <v>14</v>
      </c>
      <c r="N1081" s="1" t="s">
        <v>32</v>
      </c>
      <c r="O1081" s="1">
        <v>4</v>
      </c>
      <c r="P1081" s="1">
        <v>2</v>
      </c>
      <c r="Q1081" s="1">
        <v>1</v>
      </c>
      <c r="R1081" s="1">
        <v>4639</v>
      </c>
      <c r="S1081" s="1">
        <v>5</v>
      </c>
      <c r="T1081" s="1">
        <v>3</v>
      </c>
      <c r="U1081" s="1">
        <v>5</v>
      </c>
      <c r="V1081" s="1">
        <v>4</v>
      </c>
      <c r="W1081" s="1">
        <v>1</v>
      </c>
      <c r="X1081" s="1">
        <v>2</v>
      </c>
    </row>
    <row r="1082" spans="1:24">
      <c r="A1082" s="1">
        <v>1081</v>
      </c>
      <c r="B1082" s="1" t="s">
        <v>33</v>
      </c>
      <c r="C1082" s="1" t="s">
        <v>25</v>
      </c>
      <c r="D1082" s="1" t="s">
        <v>43</v>
      </c>
      <c r="E1082" s="1" t="s">
        <v>27</v>
      </c>
      <c r="F1082" s="1" t="s">
        <v>56</v>
      </c>
      <c r="G1082" s="1">
        <v>1</v>
      </c>
      <c r="H1082" s="1" t="s">
        <v>29</v>
      </c>
      <c r="I1082" s="1" t="s">
        <v>30</v>
      </c>
      <c r="J1082" s="1" t="s">
        <v>39</v>
      </c>
      <c r="K1082" s="1" t="s">
        <v>33</v>
      </c>
      <c r="L1082" s="1">
        <v>31</v>
      </c>
      <c r="M1082" s="1">
        <v>29</v>
      </c>
      <c r="N1082" s="1" t="s">
        <v>44</v>
      </c>
      <c r="O1082" s="1">
        <v>1</v>
      </c>
      <c r="P1082" s="1">
        <v>2</v>
      </c>
      <c r="Q1082" s="1">
        <v>4</v>
      </c>
      <c r="R1082" s="1">
        <v>5468</v>
      </c>
      <c r="S1082" s="1">
        <v>13</v>
      </c>
      <c r="T1082" s="1">
        <v>3</v>
      </c>
      <c r="U1082" s="1">
        <v>12</v>
      </c>
      <c r="V1082" s="1">
        <v>7</v>
      </c>
      <c r="W1082" s="1">
        <v>5</v>
      </c>
      <c r="X1082" s="1">
        <v>7</v>
      </c>
    </row>
    <row r="1083" spans="1:24">
      <c r="A1083" s="1">
        <v>1082</v>
      </c>
      <c r="B1083" s="1" t="s">
        <v>33</v>
      </c>
      <c r="C1083" s="1" t="s">
        <v>25</v>
      </c>
      <c r="D1083" s="1" t="s">
        <v>26</v>
      </c>
      <c r="E1083" s="1" t="s">
        <v>27</v>
      </c>
      <c r="F1083" s="1" t="s">
        <v>45</v>
      </c>
      <c r="G1083" s="1">
        <v>1</v>
      </c>
      <c r="H1083" s="1" t="s">
        <v>29</v>
      </c>
      <c r="I1083" s="1" t="s">
        <v>30</v>
      </c>
      <c r="J1083" s="1" t="s">
        <v>39</v>
      </c>
      <c r="K1083" s="1" t="s">
        <v>33</v>
      </c>
      <c r="L1083" s="1">
        <v>36</v>
      </c>
      <c r="M1083" s="1">
        <v>3</v>
      </c>
      <c r="N1083" s="1" t="s">
        <v>47</v>
      </c>
      <c r="O1083" s="1">
        <v>1</v>
      </c>
      <c r="P1083" s="1">
        <v>3</v>
      </c>
      <c r="Q1083" s="1">
        <v>4</v>
      </c>
      <c r="R1083" s="1">
        <v>7644</v>
      </c>
      <c r="S1083" s="1">
        <v>10</v>
      </c>
      <c r="T1083" s="1">
        <v>3</v>
      </c>
      <c r="U1083" s="1">
        <v>9</v>
      </c>
      <c r="V1083" s="1">
        <v>7</v>
      </c>
      <c r="W1083" s="1">
        <v>3</v>
      </c>
      <c r="X1083" s="1">
        <v>4</v>
      </c>
    </row>
    <row r="1084" spans="1:24">
      <c r="A1084" s="1">
        <v>1083</v>
      </c>
      <c r="B1084" s="1" t="s">
        <v>33</v>
      </c>
      <c r="C1084" s="1" t="s">
        <v>25</v>
      </c>
      <c r="D1084" s="1" t="s">
        <v>43</v>
      </c>
      <c r="E1084" s="1" t="s">
        <v>27</v>
      </c>
      <c r="F1084" s="1" t="s">
        <v>28</v>
      </c>
      <c r="G1084" s="1">
        <v>1</v>
      </c>
      <c r="H1084" s="1" t="s">
        <v>29</v>
      </c>
      <c r="I1084" s="1" t="s">
        <v>30</v>
      </c>
      <c r="J1084" s="1" t="s">
        <v>39</v>
      </c>
      <c r="K1084" s="1" t="s">
        <v>33</v>
      </c>
      <c r="L1084" s="1">
        <v>31</v>
      </c>
      <c r="M1084" s="1">
        <v>5</v>
      </c>
      <c r="N1084" s="1" t="s">
        <v>44</v>
      </c>
      <c r="O1084" s="1">
        <v>1</v>
      </c>
      <c r="P1084" s="1">
        <v>2</v>
      </c>
      <c r="Q1084" s="1">
        <v>4</v>
      </c>
      <c r="R1084" s="1">
        <v>5476</v>
      </c>
      <c r="S1084" s="1">
        <v>10</v>
      </c>
      <c r="T1084" s="1">
        <v>3</v>
      </c>
      <c r="U1084" s="1">
        <v>10</v>
      </c>
      <c r="V1084" s="1">
        <v>0</v>
      </c>
      <c r="W1084" s="1">
        <v>0</v>
      </c>
      <c r="X1084" s="1">
        <v>2</v>
      </c>
    </row>
    <row r="1085" spans="1:24">
      <c r="A1085" s="1">
        <v>1084</v>
      </c>
      <c r="B1085" s="1" t="s">
        <v>33</v>
      </c>
      <c r="C1085" s="1" t="s">
        <v>25</v>
      </c>
      <c r="D1085" s="1" t="s">
        <v>26</v>
      </c>
      <c r="E1085" s="1" t="s">
        <v>27</v>
      </c>
      <c r="F1085" s="1" t="s">
        <v>56</v>
      </c>
      <c r="G1085" s="1">
        <v>1</v>
      </c>
      <c r="H1085" s="1" t="s">
        <v>29</v>
      </c>
      <c r="I1085" s="1" t="s">
        <v>30</v>
      </c>
      <c r="J1085" s="1" t="s">
        <v>39</v>
      </c>
      <c r="K1085" s="1" t="s">
        <v>33</v>
      </c>
      <c r="L1085" s="1">
        <v>36</v>
      </c>
      <c r="M1085" s="1">
        <v>16</v>
      </c>
      <c r="N1085" s="1" t="s">
        <v>44</v>
      </c>
      <c r="O1085" s="1">
        <v>3</v>
      </c>
      <c r="P1085" s="1">
        <v>2</v>
      </c>
      <c r="Q1085" s="1">
        <v>1</v>
      </c>
      <c r="R1085" s="1">
        <v>5647</v>
      </c>
      <c r="S1085" s="1">
        <v>11</v>
      </c>
      <c r="T1085" s="1">
        <v>2</v>
      </c>
      <c r="U1085" s="1">
        <v>3</v>
      </c>
      <c r="V1085" s="1">
        <v>2</v>
      </c>
      <c r="W1085" s="1">
        <v>0</v>
      </c>
      <c r="X1085" s="1">
        <v>2</v>
      </c>
    </row>
    <row r="1086" spans="1:24">
      <c r="A1086" s="1">
        <v>1085</v>
      </c>
      <c r="B1086" s="1" t="s">
        <v>33</v>
      </c>
      <c r="C1086" s="1" t="s">
        <v>25</v>
      </c>
      <c r="D1086" s="1" t="s">
        <v>43</v>
      </c>
      <c r="E1086" s="1" t="s">
        <v>27</v>
      </c>
      <c r="F1086" s="1" t="s">
        <v>56</v>
      </c>
      <c r="G1086" s="1">
        <v>1</v>
      </c>
      <c r="H1086" s="1" t="s">
        <v>29</v>
      </c>
      <c r="I1086" s="1" t="s">
        <v>30</v>
      </c>
      <c r="J1086" s="1" t="s">
        <v>39</v>
      </c>
      <c r="K1086" s="1" t="s">
        <v>33</v>
      </c>
      <c r="L1086" s="1">
        <v>32</v>
      </c>
      <c r="M1086" s="1">
        <v>1</v>
      </c>
      <c r="N1086" s="1" t="s">
        <v>44</v>
      </c>
      <c r="O1086" s="1">
        <v>3</v>
      </c>
      <c r="P1086" s="1">
        <v>3</v>
      </c>
      <c r="Q1086" s="1">
        <v>4</v>
      </c>
      <c r="R1086" s="1">
        <v>10422</v>
      </c>
      <c r="S1086" s="1">
        <v>14</v>
      </c>
      <c r="T1086" s="1">
        <v>3</v>
      </c>
      <c r="U1086" s="1">
        <v>14</v>
      </c>
      <c r="V1086" s="1">
        <v>10</v>
      </c>
      <c r="W1086" s="1">
        <v>5</v>
      </c>
      <c r="X1086" s="1">
        <v>7</v>
      </c>
    </row>
    <row r="1087" spans="1:24">
      <c r="A1087" s="1">
        <v>1086</v>
      </c>
      <c r="B1087" s="1" t="s">
        <v>33</v>
      </c>
      <c r="C1087" s="1" t="s">
        <v>25</v>
      </c>
      <c r="D1087" s="1" t="s">
        <v>43</v>
      </c>
      <c r="E1087" s="1" t="s">
        <v>27</v>
      </c>
      <c r="F1087" s="1" t="s">
        <v>45</v>
      </c>
      <c r="G1087" s="1">
        <v>1</v>
      </c>
      <c r="H1087" s="1" t="s">
        <v>29</v>
      </c>
      <c r="I1087" s="1" t="s">
        <v>30</v>
      </c>
      <c r="J1087" s="1" t="s">
        <v>31</v>
      </c>
      <c r="K1087" s="1" t="s">
        <v>33</v>
      </c>
      <c r="L1087" s="1">
        <v>27</v>
      </c>
      <c r="M1087" s="1">
        <v>2</v>
      </c>
      <c r="N1087" s="1" t="s">
        <v>32</v>
      </c>
      <c r="O1087" s="1">
        <v>1</v>
      </c>
      <c r="P1087" s="1">
        <v>2</v>
      </c>
      <c r="Q1087" s="1">
        <v>3</v>
      </c>
      <c r="R1087" s="1">
        <v>6500</v>
      </c>
      <c r="S1087" s="1">
        <v>9</v>
      </c>
      <c r="T1087" s="1">
        <v>2</v>
      </c>
      <c r="U1087" s="1">
        <v>8</v>
      </c>
      <c r="V1087" s="1">
        <v>7</v>
      </c>
      <c r="W1087" s="1">
        <v>0</v>
      </c>
      <c r="X1087" s="1">
        <v>7</v>
      </c>
    </row>
    <row r="1088" spans="1:24">
      <c r="A1088" s="1">
        <v>1087</v>
      </c>
      <c r="B1088" s="1" t="s">
        <v>33</v>
      </c>
      <c r="C1088" s="1" t="s">
        <v>25</v>
      </c>
      <c r="D1088" s="1" t="s">
        <v>26</v>
      </c>
      <c r="E1088" s="1" t="s">
        <v>27</v>
      </c>
      <c r="F1088" s="1" t="s">
        <v>28</v>
      </c>
      <c r="G1088" s="1">
        <v>1</v>
      </c>
      <c r="H1088" s="1" t="s">
        <v>29</v>
      </c>
      <c r="I1088" s="1" t="s">
        <v>30</v>
      </c>
      <c r="J1088" s="1" t="s">
        <v>31</v>
      </c>
      <c r="K1088" s="1" t="s">
        <v>33</v>
      </c>
      <c r="L1088" s="1">
        <v>38</v>
      </c>
      <c r="M1088" s="1">
        <v>16</v>
      </c>
      <c r="N1088" s="1" t="s">
        <v>47</v>
      </c>
      <c r="O1088" s="1">
        <v>2</v>
      </c>
      <c r="P1088" s="1">
        <v>2</v>
      </c>
      <c r="Q1088" s="1">
        <v>2</v>
      </c>
      <c r="R1088" s="1">
        <v>4198</v>
      </c>
      <c r="S1088" s="1">
        <v>8</v>
      </c>
      <c r="T1088" s="1">
        <v>4</v>
      </c>
      <c r="U1088" s="1">
        <v>3</v>
      </c>
      <c r="V1088" s="1">
        <v>2</v>
      </c>
      <c r="W1088" s="1">
        <v>1</v>
      </c>
      <c r="X1088" s="1">
        <v>2</v>
      </c>
    </row>
    <row r="1089" spans="1:24">
      <c r="A1089" s="1">
        <v>1088</v>
      </c>
      <c r="B1089" s="1" t="s">
        <v>33</v>
      </c>
      <c r="C1089" s="1" t="s">
        <v>25</v>
      </c>
      <c r="D1089" s="1" t="s">
        <v>26</v>
      </c>
      <c r="E1089" s="1" t="s">
        <v>27</v>
      </c>
      <c r="F1089" s="1" t="s">
        <v>28</v>
      </c>
      <c r="G1089" s="1">
        <v>1</v>
      </c>
      <c r="H1089" s="1" t="s">
        <v>29</v>
      </c>
      <c r="I1089" s="1" t="s">
        <v>30</v>
      </c>
      <c r="J1089" s="1" t="s">
        <v>31</v>
      </c>
      <c r="K1089" s="1" t="s">
        <v>33</v>
      </c>
      <c r="L1089" s="1">
        <v>36</v>
      </c>
      <c r="M1089" s="1">
        <v>1</v>
      </c>
      <c r="N1089" s="1" t="s">
        <v>44</v>
      </c>
      <c r="O1089" s="1">
        <v>2</v>
      </c>
      <c r="P1089" s="1">
        <v>2</v>
      </c>
      <c r="Q1089" s="1">
        <v>3</v>
      </c>
      <c r="R1089" s="1">
        <v>6815</v>
      </c>
      <c r="S1089" s="1">
        <v>15</v>
      </c>
      <c r="T1089" s="1">
        <v>3</v>
      </c>
      <c r="U1089" s="1">
        <v>1</v>
      </c>
      <c r="V1089" s="1">
        <v>0</v>
      </c>
      <c r="W1089" s="1">
        <v>0</v>
      </c>
      <c r="X1089" s="1">
        <v>0</v>
      </c>
    </row>
    <row r="1090" spans="1:24">
      <c r="A1090" s="1">
        <v>1089</v>
      </c>
      <c r="B1090" s="1" t="s">
        <v>33</v>
      </c>
      <c r="C1090" s="1" t="s">
        <v>25</v>
      </c>
      <c r="D1090" s="1" t="s">
        <v>52</v>
      </c>
      <c r="E1090" s="1" t="s">
        <v>27</v>
      </c>
      <c r="F1090" s="1" t="s">
        <v>45</v>
      </c>
      <c r="G1090" s="1">
        <v>1</v>
      </c>
      <c r="H1090" s="1" t="s">
        <v>29</v>
      </c>
      <c r="I1090" s="1" t="s">
        <v>54</v>
      </c>
      <c r="J1090" s="1" t="s">
        <v>31</v>
      </c>
      <c r="K1090" s="1" t="s">
        <v>33</v>
      </c>
      <c r="L1090" s="1">
        <v>20</v>
      </c>
      <c r="M1090" s="1">
        <v>2</v>
      </c>
      <c r="N1090" s="1" t="s">
        <v>47</v>
      </c>
      <c r="O1090" s="1">
        <v>3</v>
      </c>
      <c r="P1090" s="1">
        <v>1</v>
      </c>
      <c r="Q1090" s="1">
        <v>3</v>
      </c>
      <c r="R1090" s="1">
        <v>2783</v>
      </c>
      <c r="S1090" s="1">
        <v>2</v>
      </c>
      <c r="T1090" s="1">
        <v>3</v>
      </c>
      <c r="U1090" s="1">
        <v>2</v>
      </c>
      <c r="V1090" s="1">
        <v>2</v>
      </c>
      <c r="W1090" s="1">
        <v>2</v>
      </c>
      <c r="X1090" s="1">
        <v>2</v>
      </c>
    </row>
    <row r="1091" spans="1:24">
      <c r="A1091" s="1">
        <v>1090</v>
      </c>
      <c r="B1091" s="1" t="s">
        <v>33</v>
      </c>
      <c r="C1091" s="1" t="s">
        <v>25</v>
      </c>
      <c r="D1091" s="1" t="s">
        <v>26</v>
      </c>
      <c r="E1091" s="1" t="s">
        <v>27</v>
      </c>
      <c r="F1091" s="1" t="s">
        <v>28</v>
      </c>
      <c r="G1091" s="1">
        <v>1</v>
      </c>
      <c r="H1091" s="1" t="s">
        <v>29</v>
      </c>
      <c r="I1091" s="1" t="s">
        <v>54</v>
      </c>
      <c r="J1091" s="1" t="s">
        <v>31</v>
      </c>
      <c r="K1091" s="1" t="s">
        <v>33</v>
      </c>
      <c r="L1091" s="1">
        <v>36</v>
      </c>
      <c r="M1091" s="1">
        <v>2</v>
      </c>
      <c r="N1091" s="1" t="s">
        <v>44</v>
      </c>
      <c r="O1091" s="1">
        <v>3</v>
      </c>
      <c r="P1091" s="1">
        <v>2</v>
      </c>
      <c r="Q1091" s="1">
        <v>4</v>
      </c>
      <c r="R1091" s="1">
        <v>4502</v>
      </c>
      <c r="S1091" s="1">
        <v>17</v>
      </c>
      <c r="T1091" s="1">
        <v>2</v>
      </c>
      <c r="U1091" s="1">
        <v>13</v>
      </c>
      <c r="V1091" s="1">
        <v>7</v>
      </c>
      <c r="W1091" s="1">
        <v>6</v>
      </c>
      <c r="X1091" s="1">
        <v>7</v>
      </c>
    </row>
    <row r="1092" spans="1:24">
      <c r="A1092" s="1">
        <v>1091</v>
      </c>
      <c r="B1092" s="1" t="s">
        <v>33</v>
      </c>
      <c r="C1092" s="1" t="s">
        <v>25</v>
      </c>
      <c r="D1092" s="1" t="s">
        <v>43</v>
      </c>
      <c r="E1092" s="1" t="s">
        <v>27</v>
      </c>
      <c r="F1092" s="1" t="s">
        <v>28</v>
      </c>
      <c r="G1092" s="1">
        <v>1</v>
      </c>
      <c r="H1092" s="1" t="s">
        <v>29</v>
      </c>
      <c r="I1092" s="1" t="s">
        <v>30</v>
      </c>
      <c r="J1092" s="1" t="s">
        <v>31</v>
      </c>
      <c r="K1092" s="1" t="s">
        <v>33</v>
      </c>
      <c r="L1092" s="1">
        <v>34</v>
      </c>
      <c r="M1092" s="1">
        <v>3</v>
      </c>
      <c r="N1092" s="1" t="s">
        <v>32</v>
      </c>
      <c r="O1092" s="1">
        <v>4</v>
      </c>
      <c r="P1092" s="1">
        <v>2</v>
      </c>
      <c r="Q1092" s="1">
        <v>4</v>
      </c>
      <c r="R1092" s="1">
        <v>6029</v>
      </c>
      <c r="S1092" s="1">
        <v>6</v>
      </c>
      <c r="T1092" s="1">
        <v>3</v>
      </c>
      <c r="U1092" s="1">
        <v>2</v>
      </c>
      <c r="V1092" s="1">
        <v>2</v>
      </c>
      <c r="W1092" s="1">
        <v>2</v>
      </c>
      <c r="X1092" s="1">
        <v>2</v>
      </c>
    </row>
    <row r="1093" spans="1:24">
      <c r="A1093" s="1">
        <v>1092</v>
      </c>
      <c r="B1093" s="1" t="s">
        <v>33</v>
      </c>
      <c r="C1093" s="1" t="s">
        <v>25</v>
      </c>
      <c r="D1093" s="1" t="s">
        <v>43</v>
      </c>
      <c r="E1093" s="1" t="s">
        <v>27</v>
      </c>
      <c r="F1093" s="1" t="s">
        <v>41</v>
      </c>
      <c r="G1093" s="1">
        <v>1</v>
      </c>
      <c r="H1093" s="1" t="s">
        <v>29</v>
      </c>
      <c r="I1093" s="1" t="s">
        <v>54</v>
      </c>
      <c r="J1093" s="1" t="s">
        <v>31</v>
      </c>
      <c r="K1093" s="1" t="s">
        <v>33</v>
      </c>
      <c r="L1093" s="1">
        <v>26</v>
      </c>
      <c r="M1093" s="1">
        <v>5</v>
      </c>
      <c r="N1093" s="1" t="s">
        <v>47</v>
      </c>
      <c r="O1093" s="1">
        <v>4</v>
      </c>
      <c r="P1093" s="1">
        <v>1</v>
      </c>
      <c r="Q1093" s="1">
        <v>3</v>
      </c>
      <c r="R1093" s="1">
        <v>2966</v>
      </c>
      <c r="S1093" s="1">
        <v>5</v>
      </c>
      <c r="T1093" s="1">
        <v>3</v>
      </c>
      <c r="U1093" s="1">
        <v>4</v>
      </c>
      <c r="V1093" s="1">
        <v>2</v>
      </c>
      <c r="W1093" s="1">
        <v>0</v>
      </c>
      <c r="X1093" s="1">
        <v>0</v>
      </c>
    </row>
    <row r="1094" spans="1:24">
      <c r="A1094" s="1">
        <v>1093</v>
      </c>
      <c r="B1094" s="1" t="s">
        <v>33</v>
      </c>
      <c r="C1094" s="1" t="s">
        <v>25</v>
      </c>
      <c r="D1094" s="1" t="s">
        <v>35</v>
      </c>
      <c r="E1094" s="1" t="s">
        <v>27</v>
      </c>
      <c r="F1094" s="1" t="s">
        <v>28</v>
      </c>
      <c r="G1094" s="1">
        <v>1</v>
      </c>
      <c r="H1094" s="1" t="s">
        <v>29</v>
      </c>
      <c r="I1094" s="1" t="s">
        <v>30</v>
      </c>
      <c r="J1094" s="1" t="s">
        <v>31</v>
      </c>
      <c r="K1094" s="1" t="s">
        <v>33</v>
      </c>
      <c r="L1094" s="1">
        <v>45</v>
      </c>
      <c r="M1094" s="1">
        <v>20</v>
      </c>
      <c r="N1094" s="1" t="s">
        <v>47</v>
      </c>
      <c r="O1094" s="1">
        <v>4</v>
      </c>
      <c r="P1094" s="1">
        <v>2</v>
      </c>
      <c r="Q1094" s="1">
        <v>3</v>
      </c>
      <c r="R1094" s="1">
        <v>4850</v>
      </c>
      <c r="S1094" s="1">
        <v>8</v>
      </c>
      <c r="T1094" s="1">
        <v>3</v>
      </c>
      <c r="U1094" s="1">
        <v>5</v>
      </c>
      <c r="V1094" s="1">
        <v>3</v>
      </c>
      <c r="W1094" s="1">
        <v>0</v>
      </c>
      <c r="X1094" s="1">
        <v>1</v>
      </c>
    </row>
    <row r="1095" spans="1:24">
      <c r="A1095" s="1">
        <v>1094</v>
      </c>
      <c r="B1095" s="1" t="s">
        <v>33</v>
      </c>
      <c r="C1095" s="1" t="s">
        <v>25</v>
      </c>
      <c r="D1095" s="1" t="s">
        <v>35</v>
      </c>
      <c r="E1095" s="1" t="s">
        <v>27</v>
      </c>
      <c r="F1095" s="1" t="s">
        <v>56</v>
      </c>
      <c r="G1095" s="1">
        <v>1</v>
      </c>
      <c r="H1095" s="1" t="s">
        <v>29</v>
      </c>
      <c r="I1095" s="1" t="s">
        <v>30</v>
      </c>
      <c r="J1095" s="1" t="s">
        <v>31</v>
      </c>
      <c r="K1095" s="1" t="s">
        <v>33</v>
      </c>
      <c r="L1095" s="1">
        <v>49</v>
      </c>
      <c r="M1095" s="1">
        <v>11</v>
      </c>
      <c r="N1095" s="1" t="s">
        <v>44</v>
      </c>
      <c r="O1095" s="1">
        <v>4</v>
      </c>
      <c r="P1095" s="1">
        <v>2</v>
      </c>
      <c r="Q1095" s="1">
        <v>4</v>
      </c>
      <c r="R1095" s="1">
        <v>4507</v>
      </c>
      <c r="S1095" s="1">
        <v>8</v>
      </c>
      <c r="T1095" s="1">
        <v>4</v>
      </c>
      <c r="U1095" s="1">
        <v>5</v>
      </c>
      <c r="V1095" s="1">
        <v>1</v>
      </c>
      <c r="W1095" s="1">
        <v>0</v>
      </c>
      <c r="X1095" s="1">
        <v>4</v>
      </c>
    </row>
    <row r="1096" spans="1:24">
      <c r="A1096" s="1">
        <v>1095</v>
      </c>
      <c r="B1096" s="1" t="s">
        <v>33</v>
      </c>
      <c r="C1096" s="1" t="s">
        <v>51</v>
      </c>
      <c r="D1096" s="1" t="s">
        <v>43</v>
      </c>
      <c r="E1096" s="1" t="s">
        <v>59</v>
      </c>
      <c r="F1096" s="1" t="s">
        <v>28</v>
      </c>
      <c r="G1096" s="1">
        <v>1</v>
      </c>
      <c r="H1096" s="1" t="s">
        <v>37</v>
      </c>
      <c r="I1096" s="1" t="s">
        <v>60</v>
      </c>
      <c r="J1096" s="1" t="s">
        <v>48</v>
      </c>
      <c r="K1096" s="1" t="s">
        <v>33</v>
      </c>
      <c r="L1096" s="1">
        <v>28</v>
      </c>
      <c r="M1096" s="1">
        <v>1</v>
      </c>
      <c r="N1096" s="1" t="s">
        <v>32</v>
      </c>
      <c r="O1096" s="1">
        <v>3</v>
      </c>
      <c r="P1096" s="1">
        <v>1</v>
      </c>
      <c r="Q1096" s="1">
        <v>4</v>
      </c>
      <c r="R1096" s="1">
        <v>2706</v>
      </c>
      <c r="S1096" s="1">
        <v>3</v>
      </c>
      <c r="T1096" s="1">
        <v>3</v>
      </c>
      <c r="U1096" s="1">
        <v>3</v>
      </c>
      <c r="V1096" s="1">
        <v>2</v>
      </c>
      <c r="W1096" s="1">
        <v>2</v>
      </c>
      <c r="X1096" s="1">
        <v>2</v>
      </c>
    </row>
    <row r="1097" spans="1:24">
      <c r="A1097" s="1">
        <v>1096</v>
      </c>
      <c r="B1097" s="1" t="s">
        <v>33</v>
      </c>
      <c r="C1097" s="1" t="s">
        <v>51</v>
      </c>
      <c r="D1097" s="1" t="s">
        <v>26</v>
      </c>
      <c r="E1097" s="1" t="s">
        <v>59</v>
      </c>
      <c r="F1097" s="1" t="s">
        <v>60</v>
      </c>
      <c r="G1097" s="1">
        <v>1</v>
      </c>
      <c r="H1097" s="1" t="s">
        <v>37</v>
      </c>
      <c r="I1097" s="1" t="s">
        <v>60</v>
      </c>
      <c r="J1097" s="1" t="s">
        <v>48</v>
      </c>
      <c r="K1097" s="1" t="s">
        <v>33</v>
      </c>
      <c r="L1097" s="1">
        <v>38</v>
      </c>
      <c r="M1097" s="1">
        <v>2</v>
      </c>
      <c r="N1097" s="1" t="s">
        <v>47</v>
      </c>
      <c r="O1097" s="1">
        <v>1</v>
      </c>
      <c r="P1097" s="1">
        <v>1</v>
      </c>
      <c r="Q1097" s="1">
        <v>2</v>
      </c>
      <c r="R1097" s="1">
        <v>2592</v>
      </c>
      <c r="S1097" s="1">
        <v>13</v>
      </c>
      <c r="T1097" s="1">
        <v>3</v>
      </c>
      <c r="U1097" s="1">
        <v>11</v>
      </c>
      <c r="V1097" s="1">
        <v>10</v>
      </c>
      <c r="W1097" s="1">
        <v>3</v>
      </c>
      <c r="X1097" s="1">
        <v>8</v>
      </c>
    </row>
    <row r="1098" spans="1:24">
      <c r="A1098" s="1">
        <v>1097</v>
      </c>
      <c r="B1098" s="1" t="s">
        <v>33</v>
      </c>
      <c r="C1098" s="1" t="s">
        <v>51</v>
      </c>
      <c r="D1098" s="1" t="s">
        <v>26</v>
      </c>
      <c r="E1098" s="1" t="s">
        <v>59</v>
      </c>
      <c r="F1098" s="1" t="s">
        <v>60</v>
      </c>
      <c r="G1098" s="1">
        <v>1</v>
      </c>
      <c r="H1098" s="1" t="s">
        <v>37</v>
      </c>
      <c r="I1098" s="1" t="s">
        <v>60</v>
      </c>
      <c r="J1098" s="1" t="s">
        <v>39</v>
      </c>
      <c r="K1098" s="1" t="s">
        <v>33</v>
      </c>
      <c r="L1098" s="1">
        <v>41</v>
      </c>
      <c r="M1098" s="1">
        <v>4</v>
      </c>
      <c r="N1098" s="1" t="s">
        <v>47</v>
      </c>
      <c r="O1098" s="1">
        <v>3</v>
      </c>
      <c r="P1098" s="1">
        <v>2</v>
      </c>
      <c r="Q1098" s="1">
        <v>2</v>
      </c>
      <c r="R1098" s="1">
        <v>6430</v>
      </c>
      <c r="S1098" s="1">
        <v>10</v>
      </c>
      <c r="T1098" s="1">
        <v>3</v>
      </c>
      <c r="U1098" s="1">
        <v>3</v>
      </c>
      <c r="V1098" s="1">
        <v>2</v>
      </c>
      <c r="W1098" s="1">
        <v>1</v>
      </c>
      <c r="X1098" s="1">
        <v>2</v>
      </c>
    </row>
    <row r="1099" spans="1:24">
      <c r="A1099" s="1">
        <v>1098</v>
      </c>
      <c r="B1099" s="1" t="s">
        <v>33</v>
      </c>
      <c r="C1099" s="1" t="s">
        <v>51</v>
      </c>
      <c r="D1099" s="1" t="s">
        <v>26</v>
      </c>
      <c r="E1099" s="1" t="s">
        <v>36</v>
      </c>
      <c r="F1099" s="1" t="s">
        <v>45</v>
      </c>
      <c r="G1099" s="1">
        <v>1</v>
      </c>
      <c r="H1099" s="1" t="s">
        <v>37</v>
      </c>
      <c r="I1099" s="1" t="s">
        <v>49</v>
      </c>
      <c r="J1099" s="1" t="s">
        <v>48</v>
      </c>
      <c r="K1099" s="1" t="s">
        <v>33</v>
      </c>
      <c r="L1099" s="1">
        <v>35</v>
      </c>
      <c r="M1099" s="1">
        <v>2</v>
      </c>
      <c r="N1099" s="1" t="s">
        <v>32</v>
      </c>
      <c r="O1099" s="1">
        <v>2</v>
      </c>
      <c r="P1099" s="1">
        <v>2</v>
      </c>
      <c r="Q1099" s="1">
        <v>4</v>
      </c>
      <c r="R1099" s="1">
        <v>5762</v>
      </c>
      <c r="S1099" s="1">
        <v>15</v>
      </c>
      <c r="T1099" s="1">
        <v>3</v>
      </c>
      <c r="U1099" s="1">
        <v>7</v>
      </c>
      <c r="V1099" s="1">
        <v>7</v>
      </c>
      <c r="W1099" s="1">
        <v>1</v>
      </c>
      <c r="X1099" s="1">
        <v>7</v>
      </c>
    </row>
    <row r="1100" spans="1:24">
      <c r="A1100" s="1">
        <v>1099</v>
      </c>
      <c r="B1100" s="1" t="s">
        <v>33</v>
      </c>
      <c r="C1100" s="1" t="s">
        <v>51</v>
      </c>
      <c r="D1100" s="1" t="s">
        <v>26</v>
      </c>
      <c r="E1100" s="1" t="s">
        <v>36</v>
      </c>
      <c r="F1100" s="1" t="s">
        <v>45</v>
      </c>
      <c r="G1100" s="1">
        <v>1</v>
      </c>
      <c r="H1100" s="1" t="s">
        <v>37</v>
      </c>
      <c r="I1100" s="1" t="s">
        <v>55</v>
      </c>
      <c r="J1100" s="1" t="s">
        <v>48</v>
      </c>
      <c r="K1100" s="1" t="s">
        <v>33</v>
      </c>
      <c r="L1100" s="1">
        <v>40</v>
      </c>
      <c r="M1100" s="1">
        <v>8</v>
      </c>
      <c r="N1100" s="1" t="s">
        <v>40</v>
      </c>
      <c r="O1100" s="1">
        <v>4</v>
      </c>
      <c r="P1100" s="1">
        <v>3</v>
      </c>
      <c r="Q1100" s="1">
        <v>2</v>
      </c>
      <c r="R1100" s="1">
        <v>13757</v>
      </c>
      <c r="S1100" s="1">
        <v>16</v>
      </c>
      <c r="T1100" s="1">
        <v>3</v>
      </c>
      <c r="U1100" s="1">
        <v>9</v>
      </c>
      <c r="V1100" s="1">
        <v>8</v>
      </c>
      <c r="W1100" s="1">
        <v>4</v>
      </c>
      <c r="X1100" s="1">
        <v>8</v>
      </c>
    </row>
    <row r="1101" spans="1:24">
      <c r="A1101" s="1">
        <v>1100</v>
      </c>
      <c r="B1101" s="1" t="s">
        <v>33</v>
      </c>
      <c r="C1101" s="1" t="s">
        <v>51</v>
      </c>
      <c r="D1101" s="1" t="s">
        <v>43</v>
      </c>
      <c r="E1101" s="1" t="s">
        <v>36</v>
      </c>
      <c r="F1101" s="1" t="s">
        <v>57</v>
      </c>
      <c r="G1101" s="1">
        <v>1</v>
      </c>
      <c r="H1101" s="1" t="s">
        <v>37</v>
      </c>
      <c r="I1101" s="1" t="s">
        <v>38</v>
      </c>
      <c r="J1101" s="1" t="s">
        <v>48</v>
      </c>
      <c r="K1101" s="1" t="s">
        <v>33</v>
      </c>
      <c r="L1101" s="1">
        <v>30</v>
      </c>
      <c r="M1101" s="1">
        <v>7</v>
      </c>
      <c r="N1101" s="1" t="s">
        <v>47</v>
      </c>
      <c r="O1101" s="1">
        <v>3</v>
      </c>
      <c r="P1101" s="1">
        <v>1</v>
      </c>
      <c r="Q1101" s="1">
        <v>3</v>
      </c>
      <c r="R1101" s="1">
        <v>1274</v>
      </c>
      <c r="S1101" s="1">
        <v>1</v>
      </c>
      <c r="T1101" s="1">
        <v>2</v>
      </c>
      <c r="U1101" s="1">
        <v>1</v>
      </c>
      <c r="V1101" s="1">
        <v>0</v>
      </c>
      <c r="W1101" s="1">
        <v>0</v>
      </c>
      <c r="X1101" s="1">
        <v>0</v>
      </c>
    </row>
    <row r="1102" spans="1:24">
      <c r="A1102" s="1">
        <v>1101</v>
      </c>
      <c r="B1102" s="1" t="s">
        <v>33</v>
      </c>
      <c r="C1102" s="1" t="s">
        <v>51</v>
      </c>
      <c r="D1102" s="1" t="s">
        <v>26</v>
      </c>
      <c r="E1102" s="1" t="s">
        <v>36</v>
      </c>
      <c r="F1102" s="1" t="s">
        <v>41</v>
      </c>
      <c r="G1102" s="1">
        <v>1</v>
      </c>
      <c r="H1102" s="1" t="s">
        <v>37</v>
      </c>
      <c r="I1102" s="1" t="s">
        <v>42</v>
      </c>
      <c r="J1102" s="1" t="s">
        <v>48</v>
      </c>
      <c r="K1102" s="1" t="s">
        <v>33</v>
      </c>
      <c r="L1102" s="1">
        <v>40</v>
      </c>
      <c r="M1102" s="1">
        <v>9</v>
      </c>
      <c r="N1102" s="1" t="s">
        <v>44</v>
      </c>
      <c r="O1102" s="1">
        <v>3</v>
      </c>
      <c r="P1102" s="1">
        <v>2</v>
      </c>
      <c r="Q1102" s="1">
        <v>3</v>
      </c>
      <c r="R1102" s="1">
        <v>3975</v>
      </c>
      <c r="S1102" s="1">
        <v>11</v>
      </c>
      <c r="T1102" s="1">
        <v>4</v>
      </c>
      <c r="U1102" s="1">
        <v>8</v>
      </c>
      <c r="V1102" s="1">
        <v>7</v>
      </c>
      <c r="W1102" s="1">
        <v>0</v>
      </c>
      <c r="X1102" s="1">
        <v>7</v>
      </c>
    </row>
    <row r="1103" spans="1:24">
      <c r="A1103" s="1">
        <v>1102</v>
      </c>
      <c r="B1103" s="1" t="s">
        <v>33</v>
      </c>
      <c r="C1103" s="1" t="s">
        <v>51</v>
      </c>
      <c r="D1103" s="1" t="s">
        <v>43</v>
      </c>
      <c r="E1103" s="1" t="s">
        <v>36</v>
      </c>
      <c r="F1103" s="1" t="s">
        <v>57</v>
      </c>
      <c r="G1103" s="1">
        <v>1</v>
      </c>
      <c r="H1103" s="1" t="s">
        <v>37</v>
      </c>
      <c r="I1103" s="1" t="s">
        <v>38</v>
      </c>
      <c r="J1103" s="1" t="s">
        <v>48</v>
      </c>
      <c r="K1103" s="1" t="s">
        <v>33</v>
      </c>
      <c r="L1103" s="1">
        <v>33</v>
      </c>
      <c r="M1103" s="1">
        <v>4</v>
      </c>
      <c r="N1103" s="1" t="s">
        <v>47</v>
      </c>
      <c r="O1103" s="1">
        <v>4</v>
      </c>
      <c r="P1103" s="1">
        <v>2</v>
      </c>
      <c r="Q1103" s="1">
        <v>2</v>
      </c>
      <c r="R1103" s="1">
        <v>3055</v>
      </c>
      <c r="S1103" s="1">
        <v>11</v>
      </c>
      <c r="T1103" s="1">
        <v>2</v>
      </c>
      <c r="U1103" s="1">
        <v>9</v>
      </c>
      <c r="V1103" s="1">
        <v>8</v>
      </c>
      <c r="W1103" s="1">
        <v>1</v>
      </c>
      <c r="X1103" s="1">
        <v>7</v>
      </c>
    </row>
    <row r="1104" spans="1:24">
      <c r="A1104" s="1">
        <v>1103</v>
      </c>
      <c r="B1104" s="1" t="s">
        <v>33</v>
      </c>
      <c r="C1104" s="1" t="s">
        <v>51</v>
      </c>
      <c r="D1104" s="1" t="s">
        <v>43</v>
      </c>
      <c r="E1104" s="1" t="s">
        <v>36</v>
      </c>
      <c r="F1104" s="1" t="s">
        <v>45</v>
      </c>
      <c r="G1104" s="1">
        <v>1</v>
      </c>
      <c r="H1104" s="1" t="s">
        <v>37</v>
      </c>
      <c r="I1104" s="1" t="s">
        <v>42</v>
      </c>
      <c r="J1104" s="1" t="s">
        <v>48</v>
      </c>
      <c r="K1104" s="1" t="s">
        <v>33</v>
      </c>
      <c r="L1104" s="1">
        <v>33</v>
      </c>
      <c r="M1104" s="1">
        <v>1</v>
      </c>
      <c r="N1104" s="1" t="s">
        <v>32</v>
      </c>
      <c r="O1104" s="1">
        <v>2</v>
      </c>
      <c r="P1104" s="1">
        <v>1</v>
      </c>
      <c r="Q1104" s="1">
        <v>3</v>
      </c>
      <c r="R1104" s="1">
        <v>2008</v>
      </c>
      <c r="S1104" s="1">
        <v>1</v>
      </c>
      <c r="T1104" s="1">
        <v>2</v>
      </c>
      <c r="U1104" s="1">
        <v>1</v>
      </c>
      <c r="V1104" s="1">
        <v>1</v>
      </c>
      <c r="W1104" s="1">
        <v>0</v>
      </c>
      <c r="X1104" s="1">
        <v>0</v>
      </c>
    </row>
    <row r="1105" spans="1:24">
      <c r="A1105" s="1">
        <v>1104</v>
      </c>
      <c r="B1105" s="1" t="s">
        <v>33</v>
      </c>
      <c r="C1105" s="1" t="s">
        <v>51</v>
      </c>
      <c r="D1105" s="1" t="s">
        <v>35</v>
      </c>
      <c r="E1105" s="1" t="s">
        <v>36</v>
      </c>
      <c r="F1105" s="1" t="s">
        <v>57</v>
      </c>
      <c r="G1105" s="1">
        <v>1</v>
      </c>
      <c r="H1105" s="1" t="s">
        <v>37</v>
      </c>
      <c r="I1105" s="1" t="s">
        <v>38</v>
      </c>
      <c r="J1105" s="1" t="s">
        <v>39</v>
      </c>
      <c r="K1105" s="1" t="s">
        <v>33</v>
      </c>
      <c r="L1105" s="1">
        <v>47</v>
      </c>
      <c r="M1105" s="1">
        <v>14</v>
      </c>
      <c r="N1105" s="1" t="s">
        <v>44</v>
      </c>
      <c r="O1105" s="1">
        <v>3</v>
      </c>
      <c r="P1105" s="1">
        <v>2</v>
      </c>
      <c r="Q1105" s="1">
        <v>2</v>
      </c>
      <c r="R1105" s="1">
        <v>5467</v>
      </c>
      <c r="S1105" s="1">
        <v>16</v>
      </c>
      <c r="T1105" s="1">
        <v>4</v>
      </c>
      <c r="U1105" s="1">
        <v>8</v>
      </c>
      <c r="V1105" s="1">
        <v>7</v>
      </c>
      <c r="W1105" s="1">
        <v>1</v>
      </c>
      <c r="X1105" s="1">
        <v>7</v>
      </c>
    </row>
    <row r="1106" spans="1:24">
      <c r="A1106" s="1">
        <v>1105</v>
      </c>
      <c r="B1106" s="1" t="s">
        <v>33</v>
      </c>
      <c r="C1106" s="1" t="s">
        <v>51</v>
      </c>
      <c r="D1106" s="1" t="s">
        <v>43</v>
      </c>
      <c r="E1106" s="1" t="s">
        <v>36</v>
      </c>
      <c r="F1106" s="1" t="s">
        <v>57</v>
      </c>
      <c r="G1106" s="1">
        <v>1</v>
      </c>
      <c r="H1106" s="1" t="s">
        <v>37</v>
      </c>
      <c r="I1106" s="1" t="s">
        <v>38</v>
      </c>
      <c r="J1106" s="1" t="s">
        <v>39</v>
      </c>
      <c r="K1106" s="1" t="s">
        <v>33</v>
      </c>
      <c r="L1106" s="1">
        <v>32</v>
      </c>
      <c r="M1106" s="1">
        <v>1</v>
      </c>
      <c r="N1106" s="1" t="s">
        <v>44</v>
      </c>
      <c r="O1106" s="1">
        <v>4</v>
      </c>
      <c r="P1106" s="1">
        <v>2</v>
      </c>
      <c r="Q1106" s="1">
        <v>1</v>
      </c>
      <c r="R1106" s="1">
        <v>4087</v>
      </c>
      <c r="S1106" s="1">
        <v>9</v>
      </c>
      <c r="T1106" s="1">
        <v>2</v>
      </c>
      <c r="U1106" s="1">
        <v>6</v>
      </c>
      <c r="V1106" s="1">
        <v>5</v>
      </c>
      <c r="W1106" s="1">
        <v>1</v>
      </c>
      <c r="X1106" s="1">
        <v>2</v>
      </c>
    </row>
    <row r="1107" spans="1:24">
      <c r="A1107" s="1">
        <v>1106</v>
      </c>
      <c r="B1107" s="1" t="s">
        <v>33</v>
      </c>
      <c r="C1107" s="1" t="s">
        <v>51</v>
      </c>
      <c r="D1107" s="1" t="s">
        <v>26</v>
      </c>
      <c r="E1107" s="1" t="s">
        <v>36</v>
      </c>
      <c r="F1107" s="1" t="s">
        <v>28</v>
      </c>
      <c r="G1107" s="1">
        <v>1</v>
      </c>
      <c r="H1107" s="1" t="s">
        <v>37</v>
      </c>
      <c r="I1107" s="1" t="s">
        <v>38</v>
      </c>
      <c r="J1107" s="1" t="s">
        <v>31</v>
      </c>
      <c r="K1107" s="1" t="s">
        <v>33</v>
      </c>
      <c r="L1107" s="1">
        <v>43</v>
      </c>
      <c r="M1107" s="1">
        <v>9</v>
      </c>
      <c r="N1107" s="1" t="s">
        <v>47</v>
      </c>
      <c r="O1107" s="1">
        <v>1</v>
      </c>
      <c r="P1107" s="1">
        <v>1</v>
      </c>
      <c r="Q1107" s="1">
        <v>3</v>
      </c>
      <c r="R1107" s="1">
        <v>2438</v>
      </c>
      <c r="S1107" s="1">
        <v>7</v>
      </c>
      <c r="T1107" s="1">
        <v>2</v>
      </c>
      <c r="U1107" s="1">
        <v>3</v>
      </c>
      <c r="V1107" s="1">
        <v>2</v>
      </c>
      <c r="W1107" s="1">
        <v>1</v>
      </c>
      <c r="X1107" s="1">
        <v>2</v>
      </c>
    </row>
    <row r="1108" spans="1:24">
      <c r="A1108" s="1">
        <v>1107</v>
      </c>
      <c r="B1108" s="1" t="s">
        <v>33</v>
      </c>
      <c r="C1108" s="1" t="s">
        <v>51</v>
      </c>
      <c r="D1108" s="1" t="s">
        <v>43</v>
      </c>
      <c r="E1108" s="1" t="s">
        <v>36</v>
      </c>
      <c r="F1108" s="1" t="s">
        <v>45</v>
      </c>
      <c r="G1108" s="1">
        <v>1</v>
      </c>
      <c r="H1108" s="1" t="s">
        <v>37</v>
      </c>
      <c r="I1108" s="1" t="s">
        <v>49</v>
      </c>
      <c r="J1108" s="1" t="s">
        <v>31</v>
      </c>
      <c r="K1108" s="1" t="s">
        <v>33</v>
      </c>
      <c r="L1108" s="1">
        <v>31</v>
      </c>
      <c r="M1108" s="1">
        <v>5</v>
      </c>
      <c r="N1108" s="1" t="s">
        <v>47</v>
      </c>
      <c r="O1108" s="1">
        <v>2</v>
      </c>
      <c r="P1108" s="1">
        <v>2</v>
      </c>
      <c r="Q1108" s="1">
        <v>1</v>
      </c>
      <c r="R1108" s="1">
        <v>9936</v>
      </c>
      <c r="S1108" s="1">
        <v>10</v>
      </c>
      <c r="T1108" s="1">
        <v>3</v>
      </c>
      <c r="U1108" s="1">
        <v>9</v>
      </c>
      <c r="V1108" s="1">
        <v>4</v>
      </c>
      <c r="W1108" s="1">
        <v>1</v>
      </c>
      <c r="X1108" s="1">
        <v>7</v>
      </c>
    </row>
    <row r="1109" spans="1:24">
      <c r="A1109" s="1">
        <v>1108</v>
      </c>
      <c r="B1109" s="1" t="s">
        <v>33</v>
      </c>
      <c r="C1109" s="1" t="s">
        <v>51</v>
      </c>
      <c r="D1109" s="1" t="s">
        <v>43</v>
      </c>
      <c r="E1109" s="1" t="s">
        <v>36</v>
      </c>
      <c r="F1109" s="1" t="s">
        <v>57</v>
      </c>
      <c r="G1109" s="1">
        <v>1</v>
      </c>
      <c r="H1109" s="1" t="s">
        <v>37</v>
      </c>
      <c r="I1109" s="1" t="s">
        <v>38</v>
      </c>
      <c r="J1109" s="1" t="s">
        <v>31</v>
      </c>
      <c r="K1109" s="1" t="s">
        <v>33</v>
      </c>
      <c r="L1109" s="1">
        <v>32</v>
      </c>
      <c r="M1109" s="1">
        <v>5</v>
      </c>
      <c r="N1109" s="1" t="s">
        <v>44</v>
      </c>
      <c r="O1109" s="1">
        <v>2</v>
      </c>
      <c r="P1109" s="1">
        <v>1</v>
      </c>
      <c r="Q1109" s="1">
        <v>2</v>
      </c>
      <c r="R1109" s="1">
        <v>2718</v>
      </c>
      <c r="S1109" s="1">
        <v>12</v>
      </c>
      <c r="T1109" s="1">
        <v>3</v>
      </c>
      <c r="U1109" s="1">
        <v>7</v>
      </c>
      <c r="V1109" s="1">
        <v>7</v>
      </c>
      <c r="W1109" s="1">
        <v>0</v>
      </c>
      <c r="X1109" s="1">
        <v>7</v>
      </c>
    </row>
    <row r="1110" spans="1:24">
      <c r="A1110" s="1">
        <v>1109</v>
      </c>
      <c r="B1110" s="1" t="s">
        <v>33</v>
      </c>
      <c r="C1110" s="1" t="s">
        <v>51</v>
      </c>
      <c r="D1110" s="1" t="s">
        <v>26</v>
      </c>
      <c r="E1110" s="1" t="s">
        <v>36</v>
      </c>
      <c r="F1110" s="1" t="s">
        <v>28</v>
      </c>
      <c r="G1110" s="1">
        <v>1</v>
      </c>
      <c r="H1110" s="1" t="s">
        <v>37</v>
      </c>
      <c r="I1110" s="1" t="s">
        <v>42</v>
      </c>
      <c r="J1110" s="1" t="s">
        <v>31</v>
      </c>
      <c r="K1110" s="1" t="s">
        <v>33</v>
      </c>
      <c r="L1110" s="1">
        <v>44</v>
      </c>
      <c r="M1110" s="1">
        <v>5</v>
      </c>
      <c r="N1110" s="1" t="s">
        <v>47</v>
      </c>
      <c r="O1110" s="1">
        <v>3</v>
      </c>
      <c r="P1110" s="1">
        <v>1</v>
      </c>
      <c r="Q1110" s="1">
        <v>3</v>
      </c>
      <c r="R1110" s="1">
        <v>3162</v>
      </c>
      <c r="S1110" s="1">
        <v>7</v>
      </c>
      <c r="T1110" s="1">
        <v>3</v>
      </c>
      <c r="U1110" s="1">
        <v>5</v>
      </c>
      <c r="V1110" s="1">
        <v>2</v>
      </c>
      <c r="W1110" s="1">
        <v>0</v>
      </c>
      <c r="X1110" s="1">
        <v>3</v>
      </c>
    </row>
    <row r="1111" spans="1:24">
      <c r="A1111" s="1">
        <v>1110</v>
      </c>
      <c r="B1111" s="1" t="s">
        <v>33</v>
      </c>
      <c r="C1111" s="1" t="s">
        <v>51</v>
      </c>
      <c r="D1111" s="1" t="s">
        <v>43</v>
      </c>
      <c r="E1111" s="1" t="s">
        <v>36</v>
      </c>
      <c r="F1111" s="1" t="s">
        <v>45</v>
      </c>
      <c r="G1111" s="1">
        <v>1</v>
      </c>
      <c r="H1111" s="1" t="s">
        <v>37</v>
      </c>
      <c r="I1111" s="1" t="s">
        <v>38</v>
      </c>
      <c r="J1111" s="1" t="s">
        <v>31</v>
      </c>
      <c r="K1111" s="1" t="s">
        <v>33</v>
      </c>
      <c r="L1111" s="1">
        <v>28</v>
      </c>
      <c r="M1111" s="1">
        <v>16</v>
      </c>
      <c r="N1111" s="1" t="s">
        <v>47</v>
      </c>
      <c r="O1111" s="1">
        <v>3</v>
      </c>
      <c r="P1111" s="1">
        <v>1</v>
      </c>
      <c r="Q1111" s="1">
        <v>3</v>
      </c>
      <c r="R1111" s="1">
        <v>2144</v>
      </c>
      <c r="S1111" s="1">
        <v>5</v>
      </c>
      <c r="T1111" s="1">
        <v>2</v>
      </c>
      <c r="U1111" s="1">
        <v>5</v>
      </c>
      <c r="V1111" s="1">
        <v>3</v>
      </c>
      <c r="W1111" s="1">
        <v>1</v>
      </c>
      <c r="X1111" s="1">
        <v>4</v>
      </c>
    </row>
    <row r="1112" spans="1:24">
      <c r="A1112" s="1">
        <v>1111</v>
      </c>
      <c r="B1112" s="1" t="s">
        <v>33</v>
      </c>
      <c r="C1112" s="1" t="s">
        <v>51</v>
      </c>
      <c r="D1112" s="1" t="s">
        <v>26</v>
      </c>
      <c r="E1112" s="1" t="s">
        <v>36</v>
      </c>
      <c r="F1112" s="1" t="s">
        <v>57</v>
      </c>
      <c r="G1112" s="1">
        <v>1</v>
      </c>
      <c r="H1112" s="1" t="s">
        <v>37</v>
      </c>
      <c r="I1112" s="1" t="s">
        <v>42</v>
      </c>
      <c r="J1112" s="1" t="s">
        <v>31</v>
      </c>
      <c r="K1112" s="1" t="s">
        <v>33</v>
      </c>
      <c r="L1112" s="1">
        <v>37</v>
      </c>
      <c r="M1112" s="1">
        <v>5</v>
      </c>
      <c r="N1112" s="1" t="s">
        <v>32</v>
      </c>
      <c r="O1112" s="1">
        <v>3</v>
      </c>
      <c r="P1112" s="1">
        <v>1</v>
      </c>
      <c r="Q1112" s="1">
        <v>3</v>
      </c>
      <c r="R1112" s="1">
        <v>3500</v>
      </c>
      <c r="S1112" s="1">
        <v>7</v>
      </c>
      <c r="T1112" s="1">
        <v>1</v>
      </c>
      <c r="U1112" s="1">
        <v>6</v>
      </c>
      <c r="V1112" s="1">
        <v>5</v>
      </c>
      <c r="W1112" s="1">
        <v>1</v>
      </c>
      <c r="X1112" s="1">
        <v>3</v>
      </c>
    </row>
    <row r="1113" spans="1:24">
      <c r="A1113" s="1">
        <v>1112</v>
      </c>
      <c r="B1113" s="1" t="s">
        <v>33</v>
      </c>
      <c r="C1113" s="1" t="s">
        <v>51</v>
      </c>
      <c r="D1113" s="1" t="s">
        <v>26</v>
      </c>
      <c r="E1113" s="1" t="s">
        <v>36</v>
      </c>
      <c r="F1113" s="1" t="s">
        <v>28</v>
      </c>
      <c r="G1113" s="1">
        <v>1</v>
      </c>
      <c r="H1113" s="1" t="s">
        <v>37</v>
      </c>
      <c r="I1113" s="1" t="s">
        <v>38</v>
      </c>
      <c r="J1113" s="1" t="s">
        <v>31</v>
      </c>
      <c r="K1113" s="1" t="s">
        <v>33</v>
      </c>
      <c r="L1113" s="1">
        <v>42</v>
      </c>
      <c r="M1113" s="1">
        <v>23</v>
      </c>
      <c r="N1113" s="1" t="s">
        <v>32</v>
      </c>
      <c r="O1113" s="1">
        <v>4</v>
      </c>
      <c r="P1113" s="1">
        <v>2</v>
      </c>
      <c r="Q1113" s="1">
        <v>3</v>
      </c>
      <c r="R1113" s="1">
        <v>4332</v>
      </c>
      <c r="S1113" s="1">
        <v>20</v>
      </c>
      <c r="T1113" s="1">
        <v>3</v>
      </c>
      <c r="U1113" s="1">
        <v>20</v>
      </c>
      <c r="V1113" s="1">
        <v>9</v>
      </c>
      <c r="W1113" s="1">
        <v>3</v>
      </c>
      <c r="X1113" s="1">
        <v>7</v>
      </c>
    </row>
    <row r="1114" spans="1:24">
      <c r="A1114" s="1">
        <v>1113</v>
      </c>
      <c r="B1114" s="1" t="s">
        <v>33</v>
      </c>
      <c r="C1114" s="1" t="s">
        <v>51</v>
      </c>
      <c r="D1114" s="1" t="s">
        <v>26</v>
      </c>
      <c r="E1114" s="1" t="s">
        <v>36</v>
      </c>
      <c r="F1114" s="1" t="s">
        <v>28</v>
      </c>
      <c r="G1114" s="1">
        <v>1</v>
      </c>
      <c r="H1114" s="1" t="s">
        <v>37</v>
      </c>
      <c r="I1114" s="1" t="s">
        <v>53</v>
      </c>
      <c r="J1114" s="1" t="s">
        <v>31</v>
      </c>
      <c r="K1114" s="1" t="s">
        <v>33</v>
      </c>
      <c r="L1114" s="1">
        <v>39</v>
      </c>
      <c r="M1114" s="1">
        <v>9</v>
      </c>
      <c r="N1114" s="1" t="s">
        <v>47</v>
      </c>
      <c r="O1114" s="1">
        <v>4</v>
      </c>
      <c r="P1114" s="1">
        <v>5</v>
      </c>
      <c r="Q1114" s="1">
        <v>4</v>
      </c>
      <c r="R1114" s="1">
        <v>19431</v>
      </c>
      <c r="S1114" s="1">
        <v>21</v>
      </c>
      <c r="T1114" s="1">
        <v>2</v>
      </c>
      <c r="U1114" s="1">
        <v>6</v>
      </c>
      <c r="V1114" s="1">
        <v>0</v>
      </c>
      <c r="W1114" s="1">
        <v>1</v>
      </c>
      <c r="X1114" s="1">
        <v>3</v>
      </c>
    </row>
    <row r="1115" spans="1:24">
      <c r="A1115" s="1">
        <v>1114</v>
      </c>
      <c r="B1115" s="1" t="s">
        <v>33</v>
      </c>
      <c r="C1115" s="1" t="s">
        <v>51</v>
      </c>
      <c r="D1115" s="1" t="s">
        <v>35</v>
      </c>
      <c r="E1115" s="1" t="s">
        <v>27</v>
      </c>
      <c r="F1115" s="1" t="s">
        <v>28</v>
      </c>
      <c r="G1115" s="1">
        <v>1</v>
      </c>
      <c r="H1115" s="1" t="s">
        <v>37</v>
      </c>
      <c r="I1115" s="1" t="s">
        <v>54</v>
      </c>
      <c r="J1115" s="1" t="s">
        <v>48</v>
      </c>
      <c r="K1115" s="1" t="s">
        <v>33</v>
      </c>
      <c r="L1115" s="1">
        <v>52</v>
      </c>
      <c r="M1115" s="1">
        <v>29</v>
      </c>
      <c r="N1115" s="1" t="s">
        <v>44</v>
      </c>
      <c r="O1115" s="1">
        <v>1</v>
      </c>
      <c r="P1115" s="1">
        <v>1</v>
      </c>
      <c r="Q1115" s="1">
        <v>4</v>
      </c>
      <c r="R1115" s="1">
        <v>3482</v>
      </c>
      <c r="S1115" s="1">
        <v>16</v>
      </c>
      <c r="T1115" s="1">
        <v>2</v>
      </c>
      <c r="U1115" s="1">
        <v>9</v>
      </c>
      <c r="V1115" s="1">
        <v>8</v>
      </c>
      <c r="W1115" s="1">
        <v>0</v>
      </c>
      <c r="X1115" s="1">
        <v>0</v>
      </c>
    </row>
    <row r="1116" spans="1:24">
      <c r="A1116" s="1">
        <v>1115</v>
      </c>
      <c r="B1116" s="1" t="s">
        <v>33</v>
      </c>
      <c r="C1116" s="1" t="s">
        <v>51</v>
      </c>
      <c r="D1116" s="1" t="s">
        <v>35</v>
      </c>
      <c r="E1116" s="1" t="s">
        <v>27</v>
      </c>
      <c r="F1116" s="1" t="s">
        <v>56</v>
      </c>
      <c r="G1116" s="1">
        <v>1</v>
      </c>
      <c r="H1116" s="1" t="s">
        <v>37</v>
      </c>
      <c r="I1116" s="1" t="s">
        <v>30</v>
      </c>
      <c r="J1116" s="1" t="s">
        <v>39</v>
      </c>
      <c r="K1116" s="1" t="s">
        <v>33</v>
      </c>
      <c r="L1116" s="1">
        <v>45</v>
      </c>
      <c r="M1116" s="1">
        <v>26</v>
      </c>
      <c r="N1116" s="1" t="s">
        <v>47</v>
      </c>
      <c r="O1116" s="1">
        <v>1</v>
      </c>
      <c r="P1116" s="1">
        <v>2</v>
      </c>
      <c r="Q1116" s="1">
        <v>1</v>
      </c>
      <c r="R1116" s="1">
        <v>4385</v>
      </c>
      <c r="S1116" s="1">
        <v>10</v>
      </c>
      <c r="T1116" s="1">
        <v>3</v>
      </c>
      <c r="U1116" s="1">
        <v>10</v>
      </c>
      <c r="V1116" s="1">
        <v>7</v>
      </c>
      <c r="W1116" s="1">
        <v>4</v>
      </c>
      <c r="X1116" s="1">
        <v>5</v>
      </c>
    </row>
    <row r="1117" spans="1:24">
      <c r="A1117" s="1">
        <v>1116</v>
      </c>
      <c r="B1117" s="1" t="s">
        <v>33</v>
      </c>
      <c r="C1117" s="1" t="s">
        <v>51</v>
      </c>
      <c r="D1117" s="1" t="s">
        <v>35</v>
      </c>
      <c r="E1117" s="1" t="s">
        <v>27</v>
      </c>
      <c r="F1117" s="1" t="s">
        <v>56</v>
      </c>
      <c r="G1117" s="1">
        <v>1</v>
      </c>
      <c r="H1117" s="1" t="s">
        <v>37</v>
      </c>
      <c r="I1117" s="1" t="s">
        <v>30</v>
      </c>
      <c r="J1117" s="1" t="s">
        <v>39</v>
      </c>
      <c r="K1117" s="1" t="s">
        <v>33</v>
      </c>
      <c r="L1117" s="1">
        <v>47</v>
      </c>
      <c r="M1117" s="1">
        <v>2</v>
      </c>
      <c r="N1117" s="1" t="s">
        <v>44</v>
      </c>
      <c r="O1117" s="1">
        <v>3</v>
      </c>
      <c r="P1117" s="1">
        <v>2</v>
      </c>
      <c r="Q1117" s="1">
        <v>2</v>
      </c>
      <c r="R1117" s="1">
        <v>4978</v>
      </c>
      <c r="S1117" s="1">
        <v>4</v>
      </c>
      <c r="T1117" s="1">
        <v>1</v>
      </c>
      <c r="U1117" s="1">
        <v>1</v>
      </c>
      <c r="V1117" s="1">
        <v>0</v>
      </c>
      <c r="W1117" s="1">
        <v>0</v>
      </c>
      <c r="X1117" s="1">
        <v>0</v>
      </c>
    </row>
    <row r="1118" spans="1:24">
      <c r="A1118" s="1">
        <v>1117</v>
      </c>
      <c r="B1118" s="1" t="s">
        <v>33</v>
      </c>
      <c r="C1118" s="1" t="s">
        <v>51</v>
      </c>
      <c r="D1118" s="1" t="s">
        <v>35</v>
      </c>
      <c r="E1118" s="1" t="s">
        <v>27</v>
      </c>
      <c r="F1118" s="1" t="s">
        <v>28</v>
      </c>
      <c r="G1118" s="1">
        <v>1</v>
      </c>
      <c r="H1118" s="1" t="s">
        <v>37</v>
      </c>
      <c r="I1118" s="1" t="s">
        <v>30</v>
      </c>
      <c r="J1118" s="1" t="s">
        <v>31</v>
      </c>
      <c r="K1118" s="1" t="s">
        <v>33</v>
      </c>
      <c r="L1118" s="1">
        <v>46</v>
      </c>
      <c r="M1118" s="1">
        <v>26</v>
      </c>
      <c r="N1118" s="1" t="s">
        <v>32</v>
      </c>
      <c r="O1118" s="1">
        <v>2</v>
      </c>
      <c r="P1118" s="1">
        <v>2</v>
      </c>
      <c r="Q1118" s="1">
        <v>2</v>
      </c>
      <c r="R1118" s="1">
        <v>7991</v>
      </c>
      <c r="S1118" s="1">
        <v>6</v>
      </c>
      <c r="T1118" s="1">
        <v>3</v>
      </c>
      <c r="U1118" s="1">
        <v>2</v>
      </c>
      <c r="V1118" s="1">
        <v>2</v>
      </c>
      <c r="W1118" s="1">
        <v>2</v>
      </c>
      <c r="X1118" s="1">
        <v>2</v>
      </c>
    </row>
    <row r="1119" spans="1:24">
      <c r="A1119" s="1">
        <v>1118</v>
      </c>
      <c r="B1119" s="1" t="s">
        <v>33</v>
      </c>
      <c r="C1119" s="1" t="s">
        <v>34</v>
      </c>
      <c r="D1119" s="1" t="s">
        <v>26</v>
      </c>
      <c r="E1119" s="1" t="s">
        <v>59</v>
      </c>
      <c r="F1119" s="1" t="s">
        <v>60</v>
      </c>
      <c r="G1119" s="1">
        <v>1</v>
      </c>
      <c r="H1119" s="1" t="s">
        <v>37</v>
      </c>
      <c r="I1119" s="1" t="s">
        <v>60</v>
      </c>
      <c r="J1119" s="1" t="s">
        <v>39</v>
      </c>
      <c r="K1119" s="1" t="s">
        <v>33</v>
      </c>
      <c r="L1119" s="1">
        <v>38</v>
      </c>
      <c r="M1119" s="1">
        <v>10</v>
      </c>
      <c r="N1119" s="1" t="s">
        <v>44</v>
      </c>
      <c r="O1119" s="1">
        <v>3</v>
      </c>
      <c r="P1119" s="1">
        <v>2</v>
      </c>
      <c r="Q1119" s="1">
        <v>3</v>
      </c>
      <c r="R1119" s="1">
        <v>6077</v>
      </c>
      <c r="S1119" s="1">
        <v>10</v>
      </c>
      <c r="T1119" s="1">
        <v>3</v>
      </c>
      <c r="U1119" s="1">
        <v>6</v>
      </c>
      <c r="V1119" s="1">
        <v>3</v>
      </c>
      <c r="W1119" s="1">
        <v>1</v>
      </c>
      <c r="X1119" s="1">
        <v>2</v>
      </c>
    </row>
    <row r="1120" spans="1:24">
      <c r="A1120" s="1">
        <v>1119</v>
      </c>
      <c r="B1120" s="1" t="s">
        <v>33</v>
      </c>
      <c r="C1120" s="1" t="s">
        <v>34</v>
      </c>
      <c r="D1120" s="1" t="s">
        <v>52</v>
      </c>
      <c r="E1120" s="1" t="s">
        <v>59</v>
      </c>
      <c r="F1120" s="1" t="s">
        <v>45</v>
      </c>
      <c r="G1120" s="1">
        <v>1</v>
      </c>
      <c r="H1120" s="1" t="s">
        <v>37</v>
      </c>
      <c r="I1120" s="1" t="s">
        <v>60</v>
      </c>
      <c r="J1120" s="1" t="s">
        <v>39</v>
      </c>
      <c r="K1120" s="1" t="s">
        <v>33</v>
      </c>
      <c r="L1120" s="1">
        <v>24</v>
      </c>
      <c r="M1120" s="1">
        <v>10</v>
      </c>
      <c r="N1120" s="1" t="s">
        <v>47</v>
      </c>
      <c r="O1120" s="1">
        <v>1</v>
      </c>
      <c r="P1120" s="1">
        <v>1</v>
      </c>
      <c r="Q1120" s="1">
        <v>4</v>
      </c>
      <c r="R1120" s="1">
        <v>2145</v>
      </c>
      <c r="S1120" s="1">
        <v>3</v>
      </c>
      <c r="T1120" s="1">
        <v>3</v>
      </c>
      <c r="U1120" s="1">
        <v>2</v>
      </c>
      <c r="V1120" s="1">
        <v>2</v>
      </c>
      <c r="W1120" s="1">
        <v>2</v>
      </c>
      <c r="X1120" s="1">
        <v>1</v>
      </c>
    </row>
    <row r="1121" spans="1:24">
      <c r="A1121" s="1">
        <v>1120</v>
      </c>
      <c r="B1121" s="1" t="s">
        <v>33</v>
      </c>
      <c r="C1121" s="1" t="s">
        <v>34</v>
      </c>
      <c r="D1121" s="1" t="s">
        <v>43</v>
      </c>
      <c r="E1121" s="1" t="s">
        <v>36</v>
      </c>
      <c r="F1121" s="1" t="s">
        <v>28</v>
      </c>
      <c r="G1121" s="1">
        <v>1</v>
      </c>
      <c r="H1121" s="1" t="s">
        <v>37</v>
      </c>
      <c r="I1121" s="1" t="s">
        <v>50</v>
      </c>
      <c r="J1121" s="1" t="s">
        <v>48</v>
      </c>
      <c r="K1121" s="1" t="s">
        <v>33</v>
      </c>
      <c r="L1121" s="1">
        <v>29</v>
      </c>
      <c r="M1121" s="1">
        <v>2</v>
      </c>
      <c r="N1121" s="1" t="s">
        <v>40</v>
      </c>
      <c r="O1121" s="1">
        <v>1</v>
      </c>
      <c r="P1121" s="1">
        <v>2</v>
      </c>
      <c r="Q1121" s="1">
        <v>4</v>
      </c>
      <c r="R1121" s="1">
        <v>8853</v>
      </c>
      <c r="S1121" s="1">
        <v>6</v>
      </c>
      <c r="T1121" s="1">
        <v>4</v>
      </c>
      <c r="U1121" s="1">
        <v>6</v>
      </c>
      <c r="V1121" s="1">
        <v>4</v>
      </c>
      <c r="W1121" s="1">
        <v>1</v>
      </c>
      <c r="X1121" s="1">
        <v>3</v>
      </c>
    </row>
    <row r="1122" spans="1:24">
      <c r="A1122" s="1">
        <v>1121</v>
      </c>
      <c r="B1122" s="1" t="s">
        <v>33</v>
      </c>
      <c r="C1122" s="1" t="s">
        <v>34</v>
      </c>
      <c r="D1122" s="1" t="s">
        <v>43</v>
      </c>
      <c r="E1122" s="1" t="s">
        <v>36</v>
      </c>
      <c r="F1122" s="1" t="s">
        <v>28</v>
      </c>
      <c r="G1122" s="1">
        <v>1</v>
      </c>
      <c r="H1122" s="1" t="s">
        <v>37</v>
      </c>
      <c r="I1122" s="1" t="s">
        <v>49</v>
      </c>
      <c r="J1122" s="1" t="s">
        <v>48</v>
      </c>
      <c r="K1122" s="1" t="s">
        <v>33</v>
      </c>
      <c r="L1122" s="1">
        <v>34</v>
      </c>
      <c r="M1122" s="1">
        <v>10</v>
      </c>
      <c r="N1122" s="1" t="s">
        <v>44</v>
      </c>
      <c r="O1122" s="1">
        <v>3</v>
      </c>
      <c r="P1122" s="1">
        <v>2</v>
      </c>
      <c r="Q1122" s="1">
        <v>4</v>
      </c>
      <c r="R1122" s="1">
        <v>4724</v>
      </c>
      <c r="S1122" s="1">
        <v>9</v>
      </c>
      <c r="T1122" s="1">
        <v>3</v>
      </c>
      <c r="U1122" s="1">
        <v>9</v>
      </c>
      <c r="V1122" s="1">
        <v>7</v>
      </c>
      <c r="W1122" s="1">
        <v>7</v>
      </c>
      <c r="X1122" s="1">
        <v>2</v>
      </c>
    </row>
    <row r="1123" spans="1:24">
      <c r="A1123" s="1">
        <v>1122</v>
      </c>
      <c r="B1123" s="1" t="s">
        <v>33</v>
      </c>
      <c r="C1123" s="1" t="s">
        <v>34</v>
      </c>
      <c r="D1123" s="1" t="s">
        <v>43</v>
      </c>
      <c r="E1123" s="1" t="s">
        <v>36</v>
      </c>
      <c r="F1123" s="1" t="s">
        <v>45</v>
      </c>
      <c r="G1123" s="1">
        <v>1</v>
      </c>
      <c r="H1123" s="1" t="s">
        <v>37</v>
      </c>
      <c r="I1123" s="1" t="s">
        <v>55</v>
      </c>
      <c r="J1123" s="1" t="s">
        <v>48</v>
      </c>
      <c r="K1123" s="1" t="s">
        <v>33</v>
      </c>
      <c r="L1123" s="1">
        <v>34</v>
      </c>
      <c r="M1123" s="1">
        <v>15</v>
      </c>
      <c r="N1123" s="1" t="s">
        <v>47</v>
      </c>
      <c r="O1123" s="1">
        <v>2</v>
      </c>
      <c r="P1123" s="1">
        <v>4</v>
      </c>
      <c r="Q1123" s="1">
        <v>1</v>
      </c>
      <c r="R1123" s="1">
        <v>17007</v>
      </c>
      <c r="S1123" s="1">
        <v>16</v>
      </c>
      <c r="T1123" s="1">
        <v>2</v>
      </c>
      <c r="U1123" s="1">
        <v>14</v>
      </c>
      <c r="V1123" s="1">
        <v>8</v>
      </c>
      <c r="W1123" s="1">
        <v>6</v>
      </c>
      <c r="X1123" s="1">
        <v>9</v>
      </c>
    </row>
    <row r="1124" spans="1:24">
      <c r="A1124" s="1">
        <v>1123</v>
      </c>
      <c r="B1124" s="1" t="s">
        <v>33</v>
      </c>
      <c r="C1124" s="1" t="s">
        <v>34</v>
      </c>
      <c r="D1124" s="1" t="s">
        <v>43</v>
      </c>
      <c r="E1124" s="1" t="s">
        <v>36</v>
      </c>
      <c r="F1124" s="1" t="s">
        <v>41</v>
      </c>
      <c r="G1124" s="1">
        <v>1</v>
      </c>
      <c r="H1124" s="1" t="s">
        <v>37</v>
      </c>
      <c r="I1124" s="1" t="s">
        <v>38</v>
      </c>
      <c r="J1124" s="1" t="s">
        <v>48</v>
      </c>
      <c r="K1124" s="1" t="s">
        <v>33</v>
      </c>
      <c r="L1124" s="1">
        <v>34</v>
      </c>
      <c r="M1124" s="1">
        <v>1</v>
      </c>
      <c r="N1124" s="1" t="s">
        <v>44</v>
      </c>
      <c r="O1124" s="1">
        <v>4</v>
      </c>
      <c r="P1124" s="1">
        <v>1</v>
      </c>
      <c r="Q1124" s="1">
        <v>1</v>
      </c>
      <c r="R1124" s="1">
        <v>2996</v>
      </c>
      <c r="S1124" s="1">
        <v>10</v>
      </c>
      <c r="T1124" s="1">
        <v>3</v>
      </c>
      <c r="U1124" s="1">
        <v>4</v>
      </c>
      <c r="V1124" s="1">
        <v>3</v>
      </c>
      <c r="W1124" s="1">
        <v>1</v>
      </c>
      <c r="X1124" s="1">
        <v>3</v>
      </c>
    </row>
    <row r="1125" spans="1:24">
      <c r="A1125" s="1">
        <v>1124</v>
      </c>
      <c r="B1125" s="1" t="s">
        <v>33</v>
      </c>
      <c r="C1125" s="1" t="s">
        <v>34</v>
      </c>
      <c r="D1125" s="1" t="s">
        <v>43</v>
      </c>
      <c r="E1125" s="1" t="s">
        <v>36</v>
      </c>
      <c r="F1125" s="1" t="s">
        <v>28</v>
      </c>
      <c r="G1125" s="1">
        <v>1</v>
      </c>
      <c r="H1125" s="1" t="s">
        <v>37</v>
      </c>
      <c r="I1125" s="1" t="s">
        <v>49</v>
      </c>
      <c r="J1125" s="1" t="s">
        <v>48</v>
      </c>
      <c r="K1125" s="1" t="s">
        <v>33</v>
      </c>
      <c r="L1125" s="1">
        <v>25</v>
      </c>
      <c r="M1125" s="1">
        <v>2</v>
      </c>
      <c r="N1125" s="1" t="s">
        <v>40</v>
      </c>
      <c r="O1125" s="1">
        <v>4</v>
      </c>
      <c r="P1125" s="1">
        <v>2</v>
      </c>
      <c r="Q1125" s="1">
        <v>3</v>
      </c>
      <c r="R1125" s="1">
        <v>5206</v>
      </c>
      <c r="S1125" s="1">
        <v>7</v>
      </c>
      <c r="T1125" s="1">
        <v>3</v>
      </c>
      <c r="U1125" s="1">
        <v>7</v>
      </c>
      <c r="V1125" s="1">
        <v>7</v>
      </c>
      <c r="W1125" s="1">
        <v>0</v>
      </c>
      <c r="X1125" s="1">
        <v>7</v>
      </c>
    </row>
    <row r="1126" spans="1:24">
      <c r="A1126" s="1">
        <v>1125</v>
      </c>
      <c r="B1126" s="1" t="s">
        <v>33</v>
      </c>
      <c r="C1126" s="1" t="s">
        <v>34</v>
      </c>
      <c r="D1126" s="1" t="s">
        <v>35</v>
      </c>
      <c r="E1126" s="1" t="s">
        <v>36</v>
      </c>
      <c r="F1126" s="1" t="s">
        <v>28</v>
      </c>
      <c r="G1126" s="1">
        <v>1</v>
      </c>
      <c r="H1126" s="1" t="s">
        <v>37</v>
      </c>
      <c r="I1126" s="1" t="s">
        <v>55</v>
      </c>
      <c r="J1126" s="1" t="s">
        <v>39</v>
      </c>
      <c r="K1126" s="1" t="s">
        <v>33</v>
      </c>
      <c r="L1126" s="1">
        <v>49</v>
      </c>
      <c r="M1126" s="1">
        <v>2</v>
      </c>
      <c r="N1126" s="1" t="s">
        <v>40</v>
      </c>
      <c r="O1126" s="1">
        <v>2</v>
      </c>
      <c r="P1126" s="1">
        <v>5</v>
      </c>
      <c r="Q1126" s="1">
        <v>4</v>
      </c>
      <c r="R1126" s="1">
        <v>19161</v>
      </c>
      <c r="S1126" s="1">
        <v>28</v>
      </c>
      <c r="T1126" s="1">
        <v>3</v>
      </c>
      <c r="U1126" s="1">
        <v>5</v>
      </c>
      <c r="V1126" s="1">
        <v>4</v>
      </c>
      <c r="W1126" s="1">
        <v>4</v>
      </c>
      <c r="X1126" s="1">
        <v>3</v>
      </c>
    </row>
    <row r="1127" spans="1:24">
      <c r="A1127" s="1">
        <v>1126</v>
      </c>
      <c r="B1127" s="1" t="s">
        <v>33</v>
      </c>
      <c r="C1127" s="1" t="s">
        <v>34</v>
      </c>
      <c r="D1127" s="1" t="s">
        <v>43</v>
      </c>
      <c r="E1127" s="1" t="s">
        <v>36</v>
      </c>
      <c r="F1127" s="1" t="s">
        <v>45</v>
      </c>
      <c r="G1127" s="1">
        <v>1</v>
      </c>
      <c r="H1127" s="1" t="s">
        <v>37</v>
      </c>
      <c r="I1127" s="1" t="s">
        <v>42</v>
      </c>
      <c r="J1127" s="1" t="s">
        <v>39</v>
      </c>
      <c r="K1127" s="1" t="s">
        <v>33</v>
      </c>
      <c r="L1127" s="1">
        <v>29</v>
      </c>
      <c r="M1127" s="1">
        <v>20</v>
      </c>
      <c r="N1127" s="1" t="s">
        <v>40</v>
      </c>
      <c r="O1127" s="1">
        <v>4</v>
      </c>
      <c r="P1127" s="1">
        <v>1</v>
      </c>
      <c r="Q1127" s="1">
        <v>4</v>
      </c>
      <c r="R1127" s="1">
        <v>3812</v>
      </c>
      <c r="S1127" s="1">
        <v>11</v>
      </c>
      <c r="T1127" s="1">
        <v>4</v>
      </c>
      <c r="U1127" s="1">
        <v>11</v>
      </c>
      <c r="V1127" s="1">
        <v>8</v>
      </c>
      <c r="W1127" s="1">
        <v>3</v>
      </c>
      <c r="X1127" s="1">
        <v>10</v>
      </c>
    </row>
    <row r="1128" spans="1:24">
      <c r="A1128" s="1">
        <v>1127</v>
      </c>
      <c r="B1128" s="1" t="s">
        <v>33</v>
      </c>
      <c r="C1128" s="1" t="s">
        <v>34</v>
      </c>
      <c r="D1128" s="1" t="s">
        <v>26</v>
      </c>
      <c r="E1128" s="1" t="s">
        <v>36</v>
      </c>
      <c r="F1128" s="1" t="s">
        <v>28</v>
      </c>
      <c r="G1128" s="1">
        <v>1</v>
      </c>
      <c r="H1128" s="1" t="s">
        <v>37</v>
      </c>
      <c r="I1128" s="1" t="s">
        <v>49</v>
      </c>
      <c r="J1128" s="1" t="s">
        <v>39</v>
      </c>
      <c r="K1128" s="1" t="s">
        <v>33</v>
      </c>
      <c r="L1128" s="1">
        <v>38</v>
      </c>
      <c r="M1128" s="1">
        <v>6</v>
      </c>
      <c r="N1128" s="1" t="s">
        <v>44</v>
      </c>
      <c r="O1128" s="1">
        <v>1</v>
      </c>
      <c r="P1128" s="1">
        <v>2</v>
      </c>
      <c r="Q1128" s="1">
        <v>3</v>
      </c>
      <c r="R1128" s="1">
        <v>5321</v>
      </c>
      <c r="S1128" s="1">
        <v>10</v>
      </c>
      <c r="T1128" s="1">
        <v>3</v>
      </c>
      <c r="U1128" s="1">
        <v>8</v>
      </c>
      <c r="V1128" s="1">
        <v>3</v>
      </c>
      <c r="W1128" s="1">
        <v>7</v>
      </c>
      <c r="X1128" s="1">
        <v>7</v>
      </c>
    </row>
    <row r="1129" spans="1:24">
      <c r="A1129" s="1">
        <v>1128</v>
      </c>
      <c r="B1129" s="1" t="s">
        <v>33</v>
      </c>
      <c r="C1129" s="1" t="s">
        <v>34</v>
      </c>
      <c r="D1129" s="1" t="s">
        <v>43</v>
      </c>
      <c r="E1129" s="1" t="s">
        <v>36</v>
      </c>
      <c r="F1129" s="1" t="s">
        <v>28</v>
      </c>
      <c r="G1129" s="1">
        <v>1</v>
      </c>
      <c r="H1129" s="1" t="s">
        <v>37</v>
      </c>
      <c r="I1129" s="1" t="s">
        <v>38</v>
      </c>
      <c r="J1129" s="1" t="s">
        <v>39</v>
      </c>
      <c r="K1129" s="1" t="s">
        <v>33</v>
      </c>
      <c r="L1129" s="1">
        <v>32</v>
      </c>
      <c r="M1129" s="1">
        <v>10</v>
      </c>
      <c r="N1129" s="1" t="s">
        <v>47</v>
      </c>
      <c r="O1129" s="1">
        <v>1</v>
      </c>
      <c r="P1129" s="1">
        <v>1</v>
      </c>
      <c r="Q1129" s="1">
        <v>3</v>
      </c>
      <c r="R1129" s="1">
        <v>3433</v>
      </c>
      <c r="S1129" s="1">
        <v>10</v>
      </c>
      <c r="T1129" s="1">
        <v>2</v>
      </c>
      <c r="U1129" s="1">
        <v>5</v>
      </c>
      <c r="V1129" s="1">
        <v>2</v>
      </c>
      <c r="W1129" s="1">
        <v>1</v>
      </c>
      <c r="X1129" s="1">
        <v>3</v>
      </c>
    </row>
    <row r="1130" spans="1:24">
      <c r="A1130" s="1">
        <v>1129</v>
      </c>
      <c r="B1130" s="1" t="s">
        <v>33</v>
      </c>
      <c r="C1130" s="1" t="s">
        <v>34</v>
      </c>
      <c r="D1130" s="1" t="s">
        <v>43</v>
      </c>
      <c r="E1130" s="1" t="s">
        <v>36</v>
      </c>
      <c r="F1130" s="1" t="s">
        <v>41</v>
      </c>
      <c r="G1130" s="1">
        <v>1</v>
      </c>
      <c r="H1130" s="1" t="s">
        <v>37</v>
      </c>
      <c r="I1130" s="1" t="s">
        <v>42</v>
      </c>
      <c r="J1130" s="1" t="s">
        <v>39</v>
      </c>
      <c r="K1130" s="1" t="s">
        <v>33</v>
      </c>
      <c r="L1130" s="1">
        <v>26</v>
      </c>
      <c r="M1130" s="1">
        <v>6</v>
      </c>
      <c r="N1130" s="1" t="s">
        <v>47</v>
      </c>
      <c r="O1130" s="1">
        <v>3</v>
      </c>
      <c r="P1130" s="1">
        <v>1</v>
      </c>
      <c r="Q1130" s="1">
        <v>4</v>
      </c>
      <c r="R1130" s="1">
        <v>2544</v>
      </c>
      <c r="S1130" s="1">
        <v>8</v>
      </c>
      <c r="T1130" s="1">
        <v>3</v>
      </c>
      <c r="U1130" s="1">
        <v>7</v>
      </c>
      <c r="V1130" s="1">
        <v>7</v>
      </c>
      <c r="W1130" s="1">
        <v>7</v>
      </c>
      <c r="X1130" s="1">
        <v>7</v>
      </c>
    </row>
    <row r="1131" spans="1:24">
      <c r="A1131" s="1">
        <v>1130</v>
      </c>
      <c r="B1131" s="1" t="s">
        <v>33</v>
      </c>
      <c r="C1131" s="1" t="s">
        <v>34</v>
      </c>
      <c r="D1131" s="1" t="s">
        <v>26</v>
      </c>
      <c r="E1131" s="1" t="s">
        <v>36</v>
      </c>
      <c r="F1131" s="1" t="s">
        <v>45</v>
      </c>
      <c r="G1131" s="1">
        <v>1</v>
      </c>
      <c r="H1131" s="1" t="s">
        <v>37</v>
      </c>
      <c r="I1131" s="1" t="s">
        <v>42</v>
      </c>
      <c r="J1131" s="1" t="s">
        <v>39</v>
      </c>
      <c r="K1131" s="1" t="s">
        <v>33</v>
      </c>
      <c r="L1131" s="1">
        <v>36</v>
      </c>
      <c r="M1131" s="1">
        <v>23</v>
      </c>
      <c r="N1131" s="1" t="s">
        <v>32</v>
      </c>
      <c r="O1131" s="1">
        <v>3</v>
      </c>
      <c r="P1131" s="1">
        <v>2</v>
      </c>
      <c r="Q1131" s="1">
        <v>4</v>
      </c>
      <c r="R1131" s="1">
        <v>2571</v>
      </c>
      <c r="S1131" s="1">
        <v>17</v>
      </c>
      <c r="T1131" s="1">
        <v>3</v>
      </c>
      <c r="U1131" s="1">
        <v>5</v>
      </c>
      <c r="V1131" s="1">
        <v>2</v>
      </c>
      <c r="W1131" s="1">
        <v>0</v>
      </c>
      <c r="X1131" s="1">
        <v>3</v>
      </c>
    </row>
    <row r="1132" spans="1:24">
      <c r="A1132" s="1">
        <v>1131</v>
      </c>
      <c r="B1132" s="1" t="s">
        <v>33</v>
      </c>
      <c r="C1132" s="1" t="s">
        <v>34</v>
      </c>
      <c r="D1132" s="1" t="s">
        <v>43</v>
      </c>
      <c r="E1132" s="1" t="s">
        <v>36</v>
      </c>
      <c r="F1132" s="1" t="s">
        <v>57</v>
      </c>
      <c r="G1132" s="1">
        <v>1</v>
      </c>
      <c r="H1132" s="1" t="s">
        <v>37</v>
      </c>
      <c r="I1132" s="1" t="s">
        <v>50</v>
      </c>
      <c r="J1132" s="1" t="s">
        <v>39</v>
      </c>
      <c r="K1132" s="1" t="s">
        <v>33</v>
      </c>
      <c r="L1132" s="1">
        <v>34</v>
      </c>
      <c r="M1132" s="1">
        <v>10</v>
      </c>
      <c r="N1132" s="1" t="s">
        <v>44</v>
      </c>
      <c r="O1132" s="1">
        <v>4</v>
      </c>
      <c r="P1132" s="1">
        <v>2</v>
      </c>
      <c r="Q1132" s="1">
        <v>3</v>
      </c>
      <c r="R1132" s="1">
        <v>5063</v>
      </c>
      <c r="S1132" s="1">
        <v>8</v>
      </c>
      <c r="T1132" s="1">
        <v>2</v>
      </c>
      <c r="U1132" s="1">
        <v>8</v>
      </c>
      <c r="V1132" s="1">
        <v>2</v>
      </c>
      <c r="W1132" s="1">
        <v>7</v>
      </c>
      <c r="X1132" s="1">
        <v>7</v>
      </c>
    </row>
    <row r="1133" spans="1:24">
      <c r="A1133" s="1">
        <v>1132</v>
      </c>
      <c r="B1133" s="1" t="s">
        <v>33</v>
      </c>
      <c r="C1133" s="1" t="s">
        <v>34</v>
      </c>
      <c r="D1133" s="1" t="s">
        <v>26</v>
      </c>
      <c r="E1133" s="1" t="s">
        <v>36</v>
      </c>
      <c r="F1133" s="1" t="s">
        <v>28</v>
      </c>
      <c r="G1133" s="1">
        <v>1</v>
      </c>
      <c r="H1133" s="1" t="s">
        <v>37</v>
      </c>
      <c r="I1133" s="1" t="s">
        <v>38</v>
      </c>
      <c r="J1133" s="1" t="s">
        <v>39</v>
      </c>
      <c r="K1133" s="1" t="s">
        <v>33</v>
      </c>
      <c r="L1133" s="1">
        <v>38</v>
      </c>
      <c r="M1133" s="1">
        <v>1</v>
      </c>
      <c r="N1133" s="1" t="s">
        <v>47</v>
      </c>
      <c r="O1133" s="1">
        <v>4</v>
      </c>
      <c r="P1133" s="1">
        <v>2</v>
      </c>
      <c r="Q1133" s="1">
        <v>4</v>
      </c>
      <c r="R1133" s="1">
        <v>4735</v>
      </c>
      <c r="S1133" s="1">
        <v>19</v>
      </c>
      <c r="T1133" s="1">
        <v>4</v>
      </c>
      <c r="U1133" s="1">
        <v>13</v>
      </c>
      <c r="V1133" s="1">
        <v>11</v>
      </c>
      <c r="W1133" s="1">
        <v>2</v>
      </c>
      <c r="X1133" s="1">
        <v>9</v>
      </c>
    </row>
    <row r="1134" spans="1:24">
      <c r="A1134" s="1">
        <v>1133</v>
      </c>
      <c r="B1134" s="1" t="s">
        <v>33</v>
      </c>
      <c r="C1134" s="1" t="s">
        <v>34</v>
      </c>
      <c r="D1134" s="1" t="s">
        <v>35</v>
      </c>
      <c r="E1134" s="1" t="s">
        <v>36</v>
      </c>
      <c r="F1134" s="1" t="s">
        <v>45</v>
      </c>
      <c r="G1134" s="1">
        <v>1</v>
      </c>
      <c r="H1134" s="1" t="s">
        <v>37</v>
      </c>
      <c r="I1134" s="1" t="s">
        <v>50</v>
      </c>
      <c r="J1134" s="1" t="s">
        <v>31</v>
      </c>
      <c r="K1134" s="1" t="s">
        <v>33</v>
      </c>
      <c r="L1134" s="1">
        <v>45</v>
      </c>
      <c r="M1134" s="1">
        <v>1</v>
      </c>
      <c r="N1134" s="1" t="s">
        <v>44</v>
      </c>
      <c r="O1134" s="1">
        <v>2</v>
      </c>
      <c r="P1134" s="1">
        <v>2</v>
      </c>
      <c r="Q1134" s="1">
        <v>3</v>
      </c>
      <c r="R1134" s="1">
        <v>5399</v>
      </c>
      <c r="S1134" s="1">
        <v>12</v>
      </c>
      <c r="T1134" s="1">
        <v>3</v>
      </c>
      <c r="U1134" s="1">
        <v>4</v>
      </c>
      <c r="V1134" s="1">
        <v>2</v>
      </c>
      <c r="W1134" s="1">
        <v>0</v>
      </c>
      <c r="X1134" s="1">
        <v>3</v>
      </c>
    </row>
    <row r="1135" spans="1:24">
      <c r="A1135" s="1">
        <v>1134</v>
      </c>
      <c r="B1135" s="1" t="s">
        <v>33</v>
      </c>
      <c r="C1135" s="1" t="s">
        <v>34</v>
      </c>
      <c r="D1135" s="1" t="s">
        <v>26</v>
      </c>
      <c r="E1135" s="1" t="s">
        <v>36</v>
      </c>
      <c r="F1135" s="1" t="s">
        <v>28</v>
      </c>
      <c r="G1135" s="1">
        <v>1</v>
      </c>
      <c r="H1135" s="1" t="s">
        <v>37</v>
      </c>
      <c r="I1135" s="1" t="s">
        <v>49</v>
      </c>
      <c r="J1135" s="1" t="s">
        <v>31</v>
      </c>
      <c r="K1135" s="1" t="s">
        <v>33</v>
      </c>
      <c r="L1135" s="1">
        <v>35</v>
      </c>
      <c r="M1135" s="1">
        <v>18</v>
      </c>
      <c r="N1135" s="1" t="s">
        <v>32</v>
      </c>
      <c r="O1135" s="1">
        <v>3</v>
      </c>
      <c r="P1135" s="1">
        <v>3</v>
      </c>
      <c r="Q1135" s="1">
        <v>4</v>
      </c>
      <c r="R1135" s="1">
        <v>9362</v>
      </c>
      <c r="S1135" s="1">
        <v>10</v>
      </c>
      <c r="T1135" s="1">
        <v>3</v>
      </c>
      <c r="U1135" s="1">
        <v>2</v>
      </c>
      <c r="V1135" s="1">
        <v>2</v>
      </c>
      <c r="W1135" s="1">
        <v>2</v>
      </c>
      <c r="X1135" s="1">
        <v>2</v>
      </c>
    </row>
    <row r="1136" spans="1:24">
      <c r="A1136" s="1">
        <v>1135</v>
      </c>
      <c r="B1136" s="1" t="s">
        <v>33</v>
      </c>
      <c r="C1136" s="1" t="s">
        <v>34</v>
      </c>
      <c r="D1136" s="1" t="s">
        <v>43</v>
      </c>
      <c r="E1136" s="1" t="s">
        <v>36</v>
      </c>
      <c r="F1136" s="1" t="s">
        <v>45</v>
      </c>
      <c r="G1136" s="1">
        <v>1</v>
      </c>
      <c r="H1136" s="1" t="s">
        <v>37</v>
      </c>
      <c r="I1136" s="1" t="s">
        <v>38</v>
      </c>
      <c r="J1136" s="1" t="s">
        <v>31</v>
      </c>
      <c r="K1136" s="1" t="s">
        <v>33</v>
      </c>
      <c r="L1136" s="1">
        <v>27</v>
      </c>
      <c r="M1136" s="1">
        <v>2</v>
      </c>
      <c r="N1136" s="1" t="s">
        <v>47</v>
      </c>
      <c r="O1136" s="1">
        <v>4</v>
      </c>
      <c r="P1136" s="1">
        <v>1</v>
      </c>
      <c r="Q1136" s="1">
        <v>4</v>
      </c>
      <c r="R1136" s="1">
        <v>2580</v>
      </c>
      <c r="S1136" s="1">
        <v>6</v>
      </c>
      <c r="T1136" s="1">
        <v>2</v>
      </c>
      <c r="U1136" s="1">
        <v>4</v>
      </c>
      <c r="V1136" s="1">
        <v>2</v>
      </c>
      <c r="W1136" s="1">
        <v>1</v>
      </c>
      <c r="X1136" s="1">
        <v>2</v>
      </c>
    </row>
    <row r="1137" spans="1:24">
      <c r="A1137" s="1">
        <v>1136</v>
      </c>
      <c r="B1137" s="1" t="s">
        <v>33</v>
      </c>
      <c r="C1137" s="1" t="s">
        <v>34</v>
      </c>
      <c r="D1137" s="1" t="s">
        <v>26</v>
      </c>
      <c r="E1137" s="1" t="s">
        <v>27</v>
      </c>
      <c r="F1137" s="1" t="s">
        <v>28</v>
      </c>
      <c r="G1137" s="1">
        <v>1</v>
      </c>
      <c r="H1137" s="1" t="s">
        <v>37</v>
      </c>
      <c r="I1137" s="1" t="s">
        <v>30</v>
      </c>
      <c r="J1137" s="1" t="s">
        <v>48</v>
      </c>
      <c r="K1137" s="1" t="s">
        <v>33</v>
      </c>
      <c r="L1137" s="1">
        <v>39</v>
      </c>
      <c r="M1137" s="1">
        <v>20</v>
      </c>
      <c r="N1137" s="1" t="s">
        <v>47</v>
      </c>
      <c r="O1137" s="1">
        <v>3</v>
      </c>
      <c r="P1137" s="1">
        <v>2</v>
      </c>
      <c r="Q1137" s="1">
        <v>4</v>
      </c>
      <c r="R1137" s="1">
        <v>4127</v>
      </c>
      <c r="S1137" s="1">
        <v>7</v>
      </c>
      <c r="T1137" s="1">
        <v>3</v>
      </c>
      <c r="U1137" s="1">
        <v>2</v>
      </c>
      <c r="V1137" s="1">
        <v>1</v>
      </c>
      <c r="W1137" s="1">
        <v>2</v>
      </c>
      <c r="X1137" s="1">
        <v>2</v>
      </c>
    </row>
    <row r="1138" spans="1:24">
      <c r="A1138" s="1">
        <v>1137</v>
      </c>
      <c r="B1138" s="1" t="s">
        <v>33</v>
      </c>
      <c r="C1138" s="1" t="s">
        <v>34</v>
      </c>
      <c r="D1138" s="1" t="s">
        <v>26</v>
      </c>
      <c r="E1138" s="1" t="s">
        <v>27</v>
      </c>
      <c r="F1138" s="1" t="s">
        <v>45</v>
      </c>
      <c r="G1138" s="1">
        <v>1</v>
      </c>
      <c r="H1138" s="1" t="s">
        <v>37</v>
      </c>
      <c r="I1138" s="1" t="s">
        <v>30</v>
      </c>
      <c r="J1138" s="1" t="s">
        <v>48</v>
      </c>
      <c r="K1138" s="1" t="s">
        <v>33</v>
      </c>
      <c r="L1138" s="1">
        <v>37</v>
      </c>
      <c r="M1138" s="1">
        <v>1</v>
      </c>
      <c r="N1138" s="1" t="s">
        <v>44</v>
      </c>
      <c r="O1138" s="1">
        <v>3</v>
      </c>
      <c r="P1138" s="1">
        <v>2</v>
      </c>
      <c r="Q1138" s="1">
        <v>4</v>
      </c>
      <c r="R1138" s="1">
        <v>9525</v>
      </c>
      <c r="S1138" s="1">
        <v>6</v>
      </c>
      <c r="T1138" s="1">
        <v>2</v>
      </c>
      <c r="U1138" s="1">
        <v>6</v>
      </c>
      <c r="V1138" s="1">
        <v>3</v>
      </c>
      <c r="W1138" s="1">
        <v>1</v>
      </c>
      <c r="X1138" s="1">
        <v>3</v>
      </c>
    </row>
    <row r="1139" spans="1:24">
      <c r="A1139" s="1">
        <v>1138</v>
      </c>
      <c r="B1139" s="1" t="s">
        <v>33</v>
      </c>
      <c r="C1139" s="1" t="s">
        <v>34</v>
      </c>
      <c r="D1139" s="1" t="s">
        <v>35</v>
      </c>
      <c r="E1139" s="1" t="s">
        <v>27</v>
      </c>
      <c r="F1139" s="1" t="s">
        <v>45</v>
      </c>
      <c r="G1139" s="1">
        <v>1</v>
      </c>
      <c r="H1139" s="1" t="s">
        <v>37</v>
      </c>
      <c r="I1139" s="1" t="s">
        <v>30</v>
      </c>
      <c r="J1139" s="1" t="s">
        <v>39</v>
      </c>
      <c r="K1139" s="1" t="s">
        <v>33</v>
      </c>
      <c r="L1139" s="1">
        <v>49</v>
      </c>
      <c r="M1139" s="1">
        <v>2</v>
      </c>
      <c r="N1139" s="1" t="s">
        <v>47</v>
      </c>
      <c r="O1139" s="1">
        <v>4</v>
      </c>
      <c r="P1139" s="1">
        <v>2</v>
      </c>
      <c r="Q1139" s="1">
        <v>2</v>
      </c>
      <c r="R1139" s="1">
        <v>5390</v>
      </c>
      <c r="S1139" s="1">
        <v>17</v>
      </c>
      <c r="T1139" s="1">
        <v>2</v>
      </c>
      <c r="U1139" s="1">
        <v>9</v>
      </c>
      <c r="V1139" s="1">
        <v>6</v>
      </c>
      <c r="W1139" s="1">
        <v>0</v>
      </c>
      <c r="X1139" s="1">
        <v>8</v>
      </c>
    </row>
    <row r="1140" spans="1:24">
      <c r="A1140" s="1">
        <v>1139</v>
      </c>
      <c r="B1140" s="1" t="s">
        <v>33</v>
      </c>
      <c r="C1140" s="1" t="s">
        <v>34</v>
      </c>
      <c r="D1140" s="1" t="s">
        <v>43</v>
      </c>
      <c r="E1140" s="1" t="s">
        <v>27</v>
      </c>
      <c r="F1140" s="1" t="s">
        <v>45</v>
      </c>
      <c r="G1140" s="1">
        <v>1</v>
      </c>
      <c r="H1140" s="1" t="s">
        <v>37</v>
      </c>
      <c r="I1140" s="1" t="s">
        <v>30</v>
      </c>
      <c r="J1140" s="1" t="s">
        <v>39</v>
      </c>
      <c r="K1140" s="1" t="s">
        <v>33</v>
      </c>
      <c r="L1140" s="1">
        <v>33</v>
      </c>
      <c r="M1140" s="1">
        <v>7</v>
      </c>
      <c r="N1140" s="1" t="s">
        <v>47</v>
      </c>
      <c r="O1140" s="1">
        <v>4</v>
      </c>
      <c r="P1140" s="1">
        <v>2</v>
      </c>
      <c r="Q1140" s="1">
        <v>1</v>
      </c>
      <c r="R1140" s="1">
        <v>4373</v>
      </c>
      <c r="S1140" s="1">
        <v>5</v>
      </c>
      <c r="T1140" s="1">
        <v>3</v>
      </c>
      <c r="U1140" s="1">
        <v>4</v>
      </c>
      <c r="V1140" s="1">
        <v>3</v>
      </c>
      <c r="W1140" s="1">
        <v>0</v>
      </c>
      <c r="X1140" s="1">
        <v>3</v>
      </c>
    </row>
    <row r="1141" spans="1:24">
      <c r="A1141" s="1">
        <v>1140</v>
      </c>
      <c r="B1141" s="1" t="s">
        <v>33</v>
      </c>
      <c r="C1141" s="1" t="s">
        <v>34</v>
      </c>
      <c r="D1141" s="1" t="s">
        <v>43</v>
      </c>
      <c r="E1141" s="1" t="s">
        <v>27</v>
      </c>
      <c r="F1141" s="1" t="s">
        <v>28</v>
      </c>
      <c r="G1141" s="1">
        <v>1</v>
      </c>
      <c r="H1141" s="1" t="s">
        <v>37</v>
      </c>
      <c r="I1141" s="1" t="s">
        <v>30</v>
      </c>
      <c r="J1141" s="1" t="s">
        <v>31</v>
      </c>
      <c r="K1141" s="1" t="s">
        <v>33</v>
      </c>
      <c r="L1141" s="1">
        <v>28</v>
      </c>
      <c r="M1141" s="1">
        <v>7</v>
      </c>
      <c r="N1141" s="1" t="s">
        <v>47</v>
      </c>
      <c r="O1141" s="1">
        <v>3</v>
      </c>
      <c r="P1141" s="1">
        <v>2</v>
      </c>
      <c r="Q1141" s="1">
        <v>1</v>
      </c>
      <c r="R1141" s="1">
        <v>4898</v>
      </c>
      <c r="S1141" s="1">
        <v>5</v>
      </c>
      <c r="T1141" s="1">
        <v>3</v>
      </c>
      <c r="U1141" s="1">
        <v>4</v>
      </c>
      <c r="V1141" s="1">
        <v>2</v>
      </c>
      <c r="W1141" s="1">
        <v>1</v>
      </c>
      <c r="X1141" s="1">
        <v>3</v>
      </c>
    </row>
    <row r="1142" spans="1:24">
      <c r="A1142" s="1">
        <v>1141</v>
      </c>
      <c r="B1142" s="1" t="s">
        <v>33</v>
      </c>
      <c r="C1142" s="1" t="s">
        <v>34</v>
      </c>
      <c r="D1142" s="1" t="s">
        <v>43</v>
      </c>
      <c r="E1142" s="1" t="s">
        <v>27</v>
      </c>
      <c r="F1142" s="1" t="s">
        <v>41</v>
      </c>
      <c r="G1142" s="1">
        <v>1</v>
      </c>
      <c r="H1142" s="1" t="s">
        <v>37</v>
      </c>
      <c r="I1142" s="1" t="s">
        <v>30</v>
      </c>
      <c r="J1142" s="1" t="s">
        <v>31</v>
      </c>
      <c r="K1142" s="1" t="s">
        <v>33</v>
      </c>
      <c r="L1142" s="1">
        <v>31</v>
      </c>
      <c r="M1142" s="1">
        <v>2</v>
      </c>
      <c r="N1142" s="1" t="s">
        <v>44</v>
      </c>
      <c r="O1142" s="1">
        <v>4</v>
      </c>
      <c r="P1142" s="1">
        <v>2</v>
      </c>
      <c r="Q1142" s="1">
        <v>1</v>
      </c>
      <c r="R1142" s="1">
        <v>5332</v>
      </c>
      <c r="S1142" s="1">
        <v>10</v>
      </c>
      <c r="T1142" s="1">
        <v>3</v>
      </c>
      <c r="U1142" s="1">
        <v>5</v>
      </c>
      <c r="V1142" s="1">
        <v>2</v>
      </c>
      <c r="W1142" s="1">
        <v>0</v>
      </c>
      <c r="X1142" s="1">
        <v>3</v>
      </c>
    </row>
    <row r="1143" spans="1:24">
      <c r="A1143" s="1">
        <v>1142</v>
      </c>
      <c r="B1143" s="1" t="s">
        <v>33</v>
      </c>
      <c r="C1143" s="1" t="s">
        <v>34</v>
      </c>
      <c r="D1143" s="1" t="s">
        <v>43</v>
      </c>
      <c r="E1143" s="1" t="s">
        <v>27</v>
      </c>
      <c r="F1143" s="1" t="s">
        <v>56</v>
      </c>
      <c r="G1143" s="1">
        <v>1</v>
      </c>
      <c r="H1143" s="1" t="s">
        <v>37</v>
      </c>
      <c r="I1143" s="1" t="s">
        <v>30</v>
      </c>
      <c r="J1143" s="1" t="s">
        <v>31</v>
      </c>
      <c r="K1143" s="1" t="s">
        <v>33</v>
      </c>
      <c r="L1143" s="1">
        <v>32</v>
      </c>
      <c r="M1143" s="1">
        <v>10</v>
      </c>
      <c r="N1143" s="1" t="s">
        <v>44</v>
      </c>
      <c r="O1143" s="1">
        <v>4</v>
      </c>
      <c r="P1143" s="1">
        <v>2</v>
      </c>
      <c r="Q1143" s="1">
        <v>4</v>
      </c>
      <c r="R1143" s="1">
        <v>4648</v>
      </c>
      <c r="S1143" s="1">
        <v>4</v>
      </c>
      <c r="T1143" s="1">
        <v>4</v>
      </c>
      <c r="U1143" s="1">
        <v>0</v>
      </c>
      <c r="V1143" s="1">
        <v>0</v>
      </c>
      <c r="W1143" s="1">
        <v>0</v>
      </c>
      <c r="X1143" s="1">
        <v>0</v>
      </c>
    </row>
    <row r="1144" spans="1:24">
      <c r="A1144" s="1">
        <v>1143</v>
      </c>
      <c r="B1144" s="1" t="s">
        <v>33</v>
      </c>
      <c r="C1144" s="1" t="s">
        <v>25</v>
      </c>
      <c r="D1144" s="1" t="s">
        <v>26</v>
      </c>
      <c r="E1144" s="1" t="s">
        <v>59</v>
      </c>
      <c r="F1144" s="1" t="s">
        <v>41</v>
      </c>
      <c r="G1144" s="1">
        <v>1</v>
      </c>
      <c r="H1144" s="1" t="s">
        <v>37</v>
      </c>
      <c r="I1144" s="1" t="s">
        <v>60</v>
      </c>
      <c r="J1144" s="1" t="s">
        <v>48</v>
      </c>
      <c r="K1144" s="1" t="s">
        <v>33</v>
      </c>
      <c r="L1144" s="1">
        <v>37</v>
      </c>
      <c r="M1144" s="1">
        <v>8</v>
      </c>
      <c r="N1144" s="1" t="s">
        <v>32</v>
      </c>
      <c r="O1144" s="1">
        <v>3</v>
      </c>
      <c r="P1144" s="1">
        <v>2</v>
      </c>
      <c r="Q1144" s="1">
        <v>2</v>
      </c>
      <c r="R1144" s="1">
        <v>4071</v>
      </c>
      <c r="S1144" s="1">
        <v>19</v>
      </c>
      <c r="T1144" s="1">
        <v>2</v>
      </c>
      <c r="U1144" s="1">
        <v>10</v>
      </c>
      <c r="V1144" s="1">
        <v>0</v>
      </c>
      <c r="W1144" s="1">
        <v>4</v>
      </c>
      <c r="X1144" s="1">
        <v>7</v>
      </c>
    </row>
    <row r="1145" spans="1:24">
      <c r="A1145" s="1">
        <v>1144</v>
      </c>
      <c r="B1145" s="1" t="s">
        <v>33</v>
      </c>
      <c r="C1145" s="1" t="s">
        <v>25</v>
      </c>
      <c r="D1145" s="1" t="s">
        <v>43</v>
      </c>
      <c r="E1145" s="1" t="s">
        <v>59</v>
      </c>
      <c r="F1145" s="1" t="s">
        <v>45</v>
      </c>
      <c r="G1145" s="1">
        <v>1</v>
      </c>
      <c r="H1145" s="1" t="s">
        <v>37</v>
      </c>
      <c r="I1145" s="1" t="s">
        <v>60</v>
      </c>
      <c r="J1145" s="1" t="s">
        <v>39</v>
      </c>
      <c r="K1145" s="1" t="s">
        <v>33</v>
      </c>
      <c r="L1145" s="1">
        <v>29</v>
      </c>
      <c r="M1145" s="1">
        <v>6</v>
      </c>
      <c r="N1145" s="1" t="s">
        <v>40</v>
      </c>
      <c r="O1145" s="1">
        <v>4</v>
      </c>
      <c r="P1145" s="1">
        <v>1</v>
      </c>
      <c r="Q1145" s="1">
        <v>2</v>
      </c>
      <c r="R1145" s="1">
        <v>2804</v>
      </c>
      <c r="S1145" s="1">
        <v>1</v>
      </c>
      <c r="T1145" s="1">
        <v>3</v>
      </c>
      <c r="U1145" s="1">
        <v>1</v>
      </c>
      <c r="V1145" s="1">
        <v>0</v>
      </c>
      <c r="W1145" s="1">
        <v>0</v>
      </c>
      <c r="X1145" s="1">
        <v>0</v>
      </c>
    </row>
    <row r="1146" spans="1:24">
      <c r="A1146" s="1">
        <v>1145</v>
      </c>
      <c r="B1146" s="1" t="s">
        <v>33</v>
      </c>
      <c r="C1146" s="1" t="s">
        <v>25</v>
      </c>
      <c r="D1146" s="1" t="s">
        <v>43</v>
      </c>
      <c r="E1146" s="1" t="s">
        <v>59</v>
      </c>
      <c r="F1146" s="1" t="s">
        <v>41</v>
      </c>
      <c r="G1146" s="1">
        <v>1</v>
      </c>
      <c r="H1146" s="1" t="s">
        <v>37</v>
      </c>
      <c r="I1146" s="1" t="s">
        <v>60</v>
      </c>
      <c r="J1146" s="1" t="s">
        <v>31</v>
      </c>
      <c r="K1146" s="1" t="s">
        <v>33</v>
      </c>
      <c r="L1146" s="1">
        <v>29</v>
      </c>
      <c r="M1146" s="1">
        <v>17</v>
      </c>
      <c r="N1146" s="1" t="s">
        <v>47</v>
      </c>
      <c r="O1146" s="1">
        <v>2</v>
      </c>
      <c r="P1146" s="1">
        <v>3</v>
      </c>
      <c r="Q1146" s="1">
        <v>1</v>
      </c>
      <c r="R1146" s="1">
        <v>7988</v>
      </c>
      <c r="S1146" s="1">
        <v>10</v>
      </c>
      <c r="T1146" s="1">
        <v>2</v>
      </c>
      <c r="U1146" s="1">
        <v>10</v>
      </c>
      <c r="V1146" s="1">
        <v>9</v>
      </c>
      <c r="W1146" s="1">
        <v>0</v>
      </c>
      <c r="X1146" s="1">
        <v>9</v>
      </c>
    </row>
    <row r="1147" spans="1:24">
      <c r="A1147" s="1">
        <v>1146</v>
      </c>
      <c r="B1147" s="1" t="s">
        <v>33</v>
      </c>
      <c r="C1147" s="1" t="s">
        <v>25</v>
      </c>
      <c r="D1147" s="1" t="s">
        <v>26</v>
      </c>
      <c r="E1147" s="1" t="s">
        <v>59</v>
      </c>
      <c r="F1147" s="1" t="s">
        <v>28</v>
      </c>
      <c r="G1147" s="1">
        <v>1</v>
      </c>
      <c r="H1147" s="1" t="s">
        <v>37</v>
      </c>
      <c r="I1147" s="1" t="s">
        <v>60</v>
      </c>
      <c r="J1147" s="1" t="s">
        <v>31</v>
      </c>
      <c r="K1147" s="1" t="s">
        <v>33</v>
      </c>
      <c r="L1147" s="1">
        <v>43</v>
      </c>
      <c r="M1147" s="1">
        <v>2</v>
      </c>
      <c r="N1147" s="1" t="s">
        <v>47</v>
      </c>
      <c r="O1147" s="1">
        <v>2</v>
      </c>
      <c r="P1147" s="1">
        <v>1</v>
      </c>
      <c r="Q1147" s="1">
        <v>4</v>
      </c>
      <c r="R1147" s="1">
        <v>3539</v>
      </c>
      <c r="S1147" s="1">
        <v>10</v>
      </c>
      <c r="T1147" s="1">
        <v>3</v>
      </c>
      <c r="U1147" s="1">
        <v>9</v>
      </c>
      <c r="V1147" s="1">
        <v>7</v>
      </c>
      <c r="W1147" s="1">
        <v>1</v>
      </c>
      <c r="X1147" s="1">
        <v>8</v>
      </c>
    </row>
    <row r="1148" spans="1:24">
      <c r="A1148" s="1">
        <v>1147</v>
      </c>
      <c r="B1148" s="1" t="s">
        <v>33</v>
      </c>
      <c r="C1148" s="1" t="s">
        <v>25</v>
      </c>
      <c r="D1148" s="1" t="s">
        <v>46</v>
      </c>
      <c r="E1148" s="1" t="s">
        <v>36</v>
      </c>
      <c r="F1148" s="1" t="s">
        <v>57</v>
      </c>
      <c r="G1148" s="1">
        <v>1</v>
      </c>
      <c r="H1148" s="1" t="s">
        <v>37</v>
      </c>
      <c r="I1148" s="1" t="s">
        <v>38</v>
      </c>
      <c r="J1148" s="1" t="s">
        <v>48</v>
      </c>
      <c r="K1148" s="1" t="s">
        <v>33</v>
      </c>
      <c r="L1148" s="1">
        <v>55</v>
      </c>
      <c r="M1148" s="1">
        <v>22</v>
      </c>
      <c r="N1148" s="1" t="s">
        <v>47</v>
      </c>
      <c r="O1148" s="1">
        <v>1</v>
      </c>
      <c r="P1148" s="1">
        <v>1</v>
      </c>
      <c r="Q1148" s="1">
        <v>2</v>
      </c>
      <c r="R1148" s="1">
        <v>3537</v>
      </c>
      <c r="S1148" s="1">
        <v>8</v>
      </c>
      <c r="T1148" s="1">
        <v>3</v>
      </c>
      <c r="U1148" s="1">
        <v>4</v>
      </c>
      <c r="V1148" s="1">
        <v>2</v>
      </c>
      <c r="W1148" s="1">
        <v>1</v>
      </c>
      <c r="X1148" s="1">
        <v>2</v>
      </c>
    </row>
    <row r="1149" spans="1:24">
      <c r="A1149" s="1">
        <v>1148</v>
      </c>
      <c r="B1149" s="1" t="s">
        <v>33</v>
      </c>
      <c r="C1149" s="1" t="s">
        <v>25</v>
      </c>
      <c r="D1149" s="1" t="s">
        <v>43</v>
      </c>
      <c r="E1149" s="1" t="s">
        <v>36</v>
      </c>
      <c r="F1149" s="1" t="s">
        <v>28</v>
      </c>
      <c r="G1149" s="1">
        <v>1</v>
      </c>
      <c r="H1149" s="1" t="s">
        <v>37</v>
      </c>
      <c r="I1149" s="1" t="s">
        <v>38</v>
      </c>
      <c r="J1149" s="1" t="s">
        <v>48</v>
      </c>
      <c r="K1149" s="1" t="s">
        <v>33</v>
      </c>
      <c r="L1149" s="1">
        <v>28</v>
      </c>
      <c r="M1149" s="1">
        <v>1</v>
      </c>
      <c r="N1149" s="1" t="s">
        <v>47</v>
      </c>
      <c r="O1149" s="1">
        <v>1</v>
      </c>
      <c r="P1149" s="1">
        <v>1</v>
      </c>
      <c r="Q1149" s="1">
        <v>3</v>
      </c>
      <c r="R1149" s="1">
        <v>1563</v>
      </c>
      <c r="S1149" s="1">
        <v>1</v>
      </c>
      <c r="T1149" s="1">
        <v>1</v>
      </c>
      <c r="U1149" s="1">
        <v>1</v>
      </c>
      <c r="V1149" s="1">
        <v>0</v>
      </c>
      <c r="W1149" s="1">
        <v>0</v>
      </c>
      <c r="X1149" s="1">
        <v>0</v>
      </c>
    </row>
    <row r="1150" spans="1:24">
      <c r="A1150" s="1">
        <v>1149</v>
      </c>
      <c r="B1150" s="1" t="s">
        <v>33</v>
      </c>
      <c r="C1150" s="1" t="s">
        <v>25</v>
      </c>
      <c r="D1150" s="1" t="s">
        <v>26</v>
      </c>
      <c r="E1150" s="1" t="s">
        <v>36</v>
      </c>
      <c r="F1150" s="1" t="s">
        <v>28</v>
      </c>
      <c r="G1150" s="1">
        <v>1</v>
      </c>
      <c r="H1150" s="1" t="s">
        <v>37</v>
      </c>
      <c r="I1150" s="1" t="s">
        <v>53</v>
      </c>
      <c r="J1150" s="1" t="s">
        <v>48</v>
      </c>
      <c r="K1150" s="1" t="s">
        <v>33</v>
      </c>
      <c r="L1150" s="1">
        <v>40</v>
      </c>
      <c r="M1150" s="1">
        <v>1</v>
      </c>
      <c r="N1150" s="1" t="s">
        <v>44</v>
      </c>
      <c r="O1150" s="1">
        <v>1</v>
      </c>
      <c r="P1150" s="1">
        <v>4</v>
      </c>
      <c r="Q1150" s="1">
        <v>1</v>
      </c>
      <c r="R1150" s="1">
        <v>16823</v>
      </c>
      <c r="S1150" s="1">
        <v>22</v>
      </c>
      <c r="T1150" s="1">
        <v>3</v>
      </c>
      <c r="U1150" s="1">
        <v>19</v>
      </c>
      <c r="V1150" s="1">
        <v>7</v>
      </c>
      <c r="W1150" s="1">
        <v>11</v>
      </c>
      <c r="X1150" s="1">
        <v>16</v>
      </c>
    </row>
    <row r="1151" spans="1:24">
      <c r="A1151" s="1">
        <v>1150</v>
      </c>
      <c r="B1151" s="1" t="s">
        <v>33</v>
      </c>
      <c r="C1151" s="1" t="s">
        <v>25</v>
      </c>
      <c r="D1151" s="1" t="s">
        <v>43</v>
      </c>
      <c r="E1151" s="1" t="s">
        <v>36</v>
      </c>
      <c r="F1151" s="1" t="s">
        <v>28</v>
      </c>
      <c r="G1151" s="1">
        <v>1</v>
      </c>
      <c r="H1151" s="1" t="s">
        <v>37</v>
      </c>
      <c r="I1151" s="1" t="s">
        <v>42</v>
      </c>
      <c r="J1151" s="1" t="s">
        <v>48</v>
      </c>
      <c r="K1151" s="1" t="s">
        <v>33</v>
      </c>
      <c r="L1151" s="1">
        <v>31</v>
      </c>
      <c r="M1151" s="1">
        <v>20</v>
      </c>
      <c r="N1151" s="1" t="s">
        <v>47</v>
      </c>
      <c r="O1151" s="1">
        <v>2</v>
      </c>
      <c r="P1151" s="1">
        <v>2</v>
      </c>
      <c r="Q1151" s="1">
        <v>3</v>
      </c>
      <c r="R1151" s="1">
        <v>4197</v>
      </c>
      <c r="S1151" s="1">
        <v>10</v>
      </c>
      <c r="T1151" s="1">
        <v>3</v>
      </c>
      <c r="U1151" s="1">
        <v>10</v>
      </c>
      <c r="V1151" s="1">
        <v>8</v>
      </c>
      <c r="W1151" s="1">
        <v>0</v>
      </c>
      <c r="X1151" s="1">
        <v>2</v>
      </c>
    </row>
    <row r="1152" spans="1:24">
      <c r="A1152" s="1">
        <v>1151</v>
      </c>
      <c r="B1152" s="1" t="s">
        <v>33</v>
      </c>
      <c r="C1152" s="1" t="s">
        <v>25</v>
      </c>
      <c r="D1152" s="1" t="s">
        <v>26</v>
      </c>
      <c r="E1152" s="1" t="s">
        <v>36</v>
      </c>
      <c r="F1152" s="1" t="s">
        <v>45</v>
      </c>
      <c r="G1152" s="1">
        <v>1</v>
      </c>
      <c r="H1152" s="1" t="s">
        <v>37</v>
      </c>
      <c r="I1152" s="1" t="s">
        <v>42</v>
      </c>
      <c r="J1152" s="1" t="s">
        <v>48</v>
      </c>
      <c r="K1152" s="1" t="s">
        <v>33</v>
      </c>
      <c r="L1152" s="1">
        <v>39</v>
      </c>
      <c r="M1152" s="1">
        <v>3</v>
      </c>
      <c r="N1152" s="1" t="s">
        <v>32</v>
      </c>
      <c r="O1152" s="1">
        <v>3</v>
      </c>
      <c r="P1152" s="1">
        <v>2</v>
      </c>
      <c r="Q1152" s="1">
        <v>3</v>
      </c>
      <c r="R1152" s="1">
        <v>3069</v>
      </c>
      <c r="S1152" s="1">
        <v>11</v>
      </c>
      <c r="T1152" s="1">
        <v>3</v>
      </c>
      <c r="U1152" s="1">
        <v>10</v>
      </c>
      <c r="V1152" s="1">
        <v>8</v>
      </c>
      <c r="W1152" s="1">
        <v>0</v>
      </c>
      <c r="X1152" s="1">
        <v>7</v>
      </c>
    </row>
    <row r="1153" spans="1:24">
      <c r="A1153" s="1">
        <v>1152</v>
      </c>
      <c r="B1153" s="1" t="s">
        <v>33</v>
      </c>
      <c r="C1153" s="1" t="s">
        <v>25</v>
      </c>
      <c r="D1153" s="1" t="s">
        <v>26</v>
      </c>
      <c r="E1153" s="1" t="s">
        <v>36</v>
      </c>
      <c r="F1153" s="1" t="s">
        <v>45</v>
      </c>
      <c r="G1153" s="1">
        <v>1</v>
      </c>
      <c r="H1153" s="1" t="s">
        <v>37</v>
      </c>
      <c r="I1153" s="1" t="s">
        <v>38</v>
      </c>
      <c r="J1153" s="1" t="s">
        <v>48</v>
      </c>
      <c r="K1153" s="1" t="s">
        <v>33</v>
      </c>
      <c r="L1153" s="1">
        <v>40</v>
      </c>
      <c r="M1153" s="1">
        <v>2</v>
      </c>
      <c r="N1153" s="1" t="s">
        <v>47</v>
      </c>
      <c r="O1153" s="1">
        <v>3</v>
      </c>
      <c r="P1153" s="1">
        <v>1</v>
      </c>
      <c r="Q1153" s="1">
        <v>3</v>
      </c>
      <c r="R1153" s="1">
        <v>2345</v>
      </c>
      <c r="S1153" s="1">
        <v>8</v>
      </c>
      <c r="T1153" s="1">
        <v>4</v>
      </c>
      <c r="U1153" s="1">
        <v>3</v>
      </c>
      <c r="V1153" s="1">
        <v>1</v>
      </c>
      <c r="W1153" s="1">
        <v>1</v>
      </c>
      <c r="X1153" s="1">
        <v>2</v>
      </c>
    </row>
    <row r="1154" spans="1:24">
      <c r="A1154" s="1">
        <v>1153</v>
      </c>
      <c r="B1154" s="1" t="s">
        <v>33</v>
      </c>
      <c r="C1154" s="1" t="s">
        <v>25</v>
      </c>
      <c r="D1154" s="1" t="s">
        <v>35</v>
      </c>
      <c r="E1154" s="1" t="s">
        <v>36</v>
      </c>
      <c r="F1154" s="1" t="s">
        <v>28</v>
      </c>
      <c r="G1154" s="1">
        <v>1</v>
      </c>
      <c r="H1154" s="1" t="s">
        <v>37</v>
      </c>
      <c r="I1154" s="1" t="s">
        <v>49</v>
      </c>
      <c r="J1154" s="1" t="s">
        <v>48</v>
      </c>
      <c r="K1154" s="1" t="s">
        <v>33</v>
      </c>
      <c r="L1154" s="1">
        <v>46</v>
      </c>
      <c r="M1154" s="1">
        <v>2</v>
      </c>
      <c r="N1154" s="1" t="s">
        <v>32</v>
      </c>
      <c r="O1154" s="1">
        <v>4</v>
      </c>
      <c r="P1154" s="1">
        <v>3</v>
      </c>
      <c r="Q1154" s="1">
        <v>4</v>
      </c>
      <c r="R1154" s="1">
        <v>8578</v>
      </c>
      <c r="S1154" s="1">
        <v>12</v>
      </c>
      <c r="T1154" s="1">
        <v>2</v>
      </c>
      <c r="U1154" s="1">
        <v>9</v>
      </c>
      <c r="V1154" s="1">
        <v>8</v>
      </c>
      <c r="W1154" s="1">
        <v>4</v>
      </c>
      <c r="X1154" s="1">
        <v>7</v>
      </c>
    </row>
    <row r="1155" spans="1:24">
      <c r="A1155" s="1">
        <v>1154</v>
      </c>
      <c r="B1155" s="1" t="s">
        <v>33</v>
      </c>
      <c r="C1155" s="1" t="s">
        <v>25</v>
      </c>
      <c r="D1155" s="1" t="s">
        <v>26</v>
      </c>
      <c r="E1155" s="1" t="s">
        <v>36</v>
      </c>
      <c r="F1155" s="1" t="s">
        <v>57</v>
      </c>
      <c r="G1155" s="1">
        <v>1</v>
      </c>
      <c r="H1155" s="1" t="s">
        <v>37</v>
      </c>
      <c r="I1155" s="1" t="s">
        <v>42</v>
      </c>
      <c r="J1155" s="1" t="s">
        <v>48</v>
      </c>
      <c r="K1155" s="1" t="s">
        <v>33</v>
      </c>
      <c r="L1155" s="1">
        <v>43</v>
      </c>
      <c r="M1155" s="1">
        <v>27</v>
      </c>
      <c r="N1155" s="1" t="s">
        <v>47</v>
      </c>
      <c r="O1155" s="1">
        <v>4</v>
      </c>
      <c r="P1155" s="1">
        <v>1</v>
      </c>
      <c r="Q1155" s="1">
        <v>2</v>
      </c>
      <c r="R1155" s="1">
        <v>4876</v>
      </c>
      <c r="S1155" s="1">
        <v>8</v>
      </c>
      <c r="T1155" s="1">
        <v>3</v>
      </c>
      <c r="U1155" s="1">
        <v>6</v>
      </c>
      <c r="V1155" s="1">
        <v>4</v>
      </c>
      <c r="W1155" s="1">
        <v>0</v>
      </c>
      <c r="X1155" s="1">
        <v>2</v>
      </c>
    </row>
    <row r="1156" spans="1:24">
      <c r="A1156" s="1">
        <v>1155</v>
      </c>
      <c r="B1156" s="1" t="s">
        <v>33</v>
      </c>
      <c r="C1156" s="1" t="s">
        <v>25</v>
      </c>
      <c r="D1156" s="1" t="s">
        <v>26</v>
      </c>
      <c r="E1156" s="1" t="s">
        <v>36</v>
      </c>
      <c r="F1156" s="1" t="s">
        <v>28</v>
      </c>
      <c r="G1156" s="1">
        <v>1</v>
      </c>
      <c r="H1156" s="1" t="s">
        <v>37</v>
      </c>
      <c r="I1156" s="1" t="s">
        <v>38</v>
      </c>
      <c r="J1156" s="1" t="s">
        <v>48</v>
      </c>
      <c r="K1156" s="1" t="s">
        <v>33</v>
      </c>
      <c r="L1156" s="1">
        <v>38</v>
      </c>
      <c r="M1156" s="1">
        <v>9</v>
      </c>
      <c r="N1156" s="1" t="s">
        <v>32</v>
      </c>
      <c r="O1156" s="1">
        <v>2</v>
      </c>
      <c r="P1156" s="1">
        <v>1</v>
      </c>
      <c r="Q1156" s="1">
        <v>4</v>
      </c>
      <c r="R1156" s="1">
        <v>4771</v>
      </c>
      <c r="S1156" s="1">
        <v>10</v>
      </c>
      <c r="T1156" s="1">
        <v>4</v>
      </c>
      <c r="U1156" s="1">
        <v>5</v>
      </c>
      <c r="V1156" s="1">
        <v>2</v>
      </c>
      <c r="W1156" s="1">
        <v>0</v>
      </c>
      <c r="X1156" s="1">
        <v>3</v>
      </c>
    </row>
    <row r="1157" spans="1:24">
      <c r="A1157" s="1">
        <v>1156</v>
      </c>
      <c r="B1157" s="1" t="s">
        <v>33</v>
      </c>
      <c r="C1157" s="1" t="s">
        <v>25</v>
      </c>
      <c r="D1157" s="1" t="s">
        <v>46</v>
      </c>
      <c r="E1157" s="1" t="s">
        <v>36</v>
      </c>
      <c r="F1157" s="1" t="s">
        <v>45</v>
      </c>
      <c r="G1157" s="1">
        <v>1</v>
      </c>
      <c r="H1157" s="1" t="s">
        <v>37</v>
      </c>
      <c r="I1157" s="1" t="s">
        <v>55</v>
      </c>
      <c r="J1157" s="1" t="s">
        <v>48</v>
      </c>
      <c r="K1157" s="1" t="s">
        <v>33</v>
      </c>
      <c r="L1157" s="1">
        <v>55</v>
      </c>
      <c r="M1157" s="1">
        <v>1</v>
      </c>
      <c r="N1157" s="1" t="s">
        <v>44</v>
      </c>
      <c r="O1157" s="1">
        <v>2</v>
      </c>
      <c r="P1157" s="1">
        <v>4</v>
      </c>
      <c r="Q1157" s="1">
        <v>4</v>
      </c>
      <c r="R1157" s="1">
        <v>14732</v>
      </c>
      <c r="S1157" s="1">
        <v>31</v>
      </c>
      <c r="T1157" s="1">
        <v>4</v>
      </c>
      <c r="U1157" s="1">
        <v>7</v>
      </c>
      <c r="V1157" s="1">
        <v>7</v>
      </c>
      <c r="W1157" s="1">
        <v>0</v>
      </c>
      <c r="X1157" s="1">
        <v>0</v>
      </c>
    </row>
    <row r="1158" spans="1:24">
      <c r="A1158" s="1">
        <v>1157</v>
      </c>
      <c r="B1158" s="1" t="s">
        <v>33</v>
      </c>
      <c r="C1158" s="1" t="s">
        <v>25</v>
      </c>
      <c r="D1158" s="1" t="s">
        <v>35</v>
      </c>
      <c r="E1158" s="1" t="s">
        <v>36</v>
      </c>
      <c r="F1158" s="1" t="s">
        <v>28</v>
      </c>
      <c r="G1158" s="1">
        <v>1</v>
      </c>
      <c r="H1158" s="1" t="s">
        <v>37</v>
      </c>
      <c r="I1158" s="1" t="s">
        <v>50</v>
      </c>
      <c r="J1158" s="1" t="s">
        <v>48</v>
      </c>
      <c r="K1158" s="1" t="s">
        <v>33</v>
      </c>
      <c r="L1158" s="1">
        <v>49</v>
      </c>
      <c r="M1158" s="1">
        <v>7</v>
      </c>
      <c r="N1158" s="1" t="s">
        <v>44</v>
      </c>
      <c r="O1158" s="1">
        <v>3</v>
      </c>
      <c r="P1158" s="1">
        <v>3</v>
      </c>
      <c r="Q1158" s="1">
        <v>2</v>
      </c>
      <c r="R1158" s="1">
        <v>10466</v>
      </c>
      <c r="S1158" s="1">
        <v>29</v>
      </c>
      <c r="T1158" s="1">
        <v>3</v>
      </c>
      <c r="U1158" s="1">
        <v>8</v>
      </c>
      <c r="V1158" s="1">
        <v>7</v>
      </c>
      <c r="W1158" s="1">
        <v>0</v>
      </c>
      <c r="X1158" s="1">
        <v>7</v>
      </c>
    </row>
    <row r="1159" spans="1:24">
      <c r="A1159" s="1">
        <v>1158</v>
      </c>
      <c r="B1159" s="1" t="s">
        <v>33</v>
      </c>
      <c r="C1159" s="1" t="s">
        <v>25</v>
      </c>
      <c r="D1159" s="1" t="s">
        <v>43</v>
      </c>
      <c r="E1159" s="1" t="s">
        <v>36</v>
      </c>
      <c r="F1159" s="1" t="s">
        <v>28</v>
      </c>
      <c r="G1159" s="1">
        <v>1</v>
      </c>
      <c r="H1159" s="1" t="s">
        <v>37</v>
      </c>
      <c r="I1159" s="1" t="s">
        <v>50</v>
      </c>
      <c r="J1159" s="1" t="s">
        <v>48</v>
      </c>
      <c r="K1159" s="1" t="s">
        <v>33</v>
      </c>
      <c r="L1159" s="1">
        <v>29</v>
      </c>
      <c r="M1159" s="1">
        <v>29</v>
      </c>
      <c r="N1159" s="1" t="s">
        <v>40</v>
      </c>
      <c r="O1159" s="1">
        <v>4</v>
      </c>
      <c r="P1159" s="1">
        <v>2</v>
      </c>
      <c r="Q1159" s="1">
        <v>3</v>
      </c>
      <c r="R1159" s="1">
        <v>6384</v>
      </c>
      <c r="S1159" s="1">
        <v>11</v>
      </c>
      <c r="T1159" s="1">
        <v>3</v>
      </c>
      <c r="U1159" s="1">
        <v>7</v>
      </c>
      <c r="V1159" s="1">
        <v>0</v>
      </c>
      <c r="W1159" s="1">
        <v>1</v>
      </c>
      <c r="X1159" s="1">
        <v>6</v>
      </c>
    </row>
    <row r="1160" spans="1:24">
      <c r="A1160" s="1">
        <v>1159</v>
      </c>
      <c r="B1160" s="1" t="s">
        <v>33</v>
      </c>
      <c r="C1160" s="1" t="s">
        <v>25</v>
      </c>
      <c r="D1160" s="1" t="s">
        <v>43</v>
      </c>
      <c r="E1160" s="1" t="s">
        <v>36</v>
      </c>
      <c r="F1160" s="1" t="s">
        <v>41</v>
      </c>
      <c r="G1160" s="1">
        <v>1</v>
      </c>
      <c r="H1160" s="1" t="s">
        <v>37</v>
      </c>
      <c r="I1160" s="1" t="s">
        <v>42</v>
      </c>
      <c r="J1160" s="1" t="s">
        <v>48</v>
      </c>
      <c r="K1160" s="1" t="s">
        <v>33</v>
      </c>
      <c r="L1160" s="1">
        <v>27</v>
      </c>
      <c r="M1160" s="1">
        <v>19</v>
      </c>
      <c r="N1160" s="1" t="s">
        <v>47</v>
      </c>
      <c r="O1160" s="1">
        <v>4</v>
      </c>
      <c r="P1160" s="1">
        <v>1</v>
      </c>
      <c r="Q1160" s="1">
        <v>1</v>
      </c>
      <c r="R1160" s="1">
        <v>4066</v>
      </c>
      <c r="S1160" s="1">
        <v>7</v>
      </c>
      <c r="T1160" s="1">
        <v>3</v>
      </c>
      <c r="U1160" s="1">
        <v>7</v>
      </c>
      <c r="V1160" s="1">
        <v>7</v>
      </c>
      <c r="W1160" s="1">
        <v>0</v>
      </c>
      <c r="X1160" s="1">
        <v>7</v>
      </c>
    </row>
    <row r="1161" spans="1:24">
      <c r="A1161" s="1">
        <v>1160</v>
      </c>
      <c r="B1161" s="1" t="s">
        <v>33</v>
      </c>
      <c r="C1161" s="1" t="s">
        <v>25</v>
      </c>
      <c r="D1161" s="1" t="s">
        <v>43</v>
      </c>
      <c r="E1161" s="1" t="s">
        <v>36</v>
      </c>
      <c r="F1161" s="1" t="s">
        <v>45</v>
      </c>
      <c r="G1161" s="1">
        <v>1</v>
      </c>
      <c r="H1161" s="1" t="s">
        <v>37</v>
      </c>
      <c r="I1161" s="1" t="s">
        <v>38</v>
      </c>
      <c r="J1161" s="1" t="s">
        <v>48</v>
      </c>
      <c r="K1161" s="1" t="s">
        <v>33</v>
      </c>
      <c r="L1161" s="1">
        <v>32</v>
      </c>
      <c r="M1161" s="1">
        <v>2</v>
      </c>
      <c r="N1161" s="1" t="s">
        <v>47</v>
      </c>
      <c r="O1161" s="1">
        <v>4</v>
      </c>
      <c r="P1161" s="1">
        <v>2</v>
      </c>
      <c r="Q1161" s="1">
        <v>2</v>
      </c>
      <c r="R1161" s="1">
        <v>5470</v>
      </c>
      <c r="S1161" s="1">
        <v>10</v>
      </c>
      <c r="T1161" s="1">
        <v>2</v>
      </c>
      <c r="U1161" s="1">
        <v>9</v>
      </c>
      <c r="V1161" s="1">
        <v>5</v>
      </c>
      <c r="W1161" s="1">
        <v>1</v>
      </c>
      <c r="X1161" s="1">
        <v>6</v>
      </c>
    </row>
    <row r="1162" spans="1:24">
      <c r="A1162" s="1">
        <v>1161</v>
      </c>
      <c r="B1162" s="1" t="s">
        <v>33</v>
      </c>
      <c r="C1162" s="1" t="s">
        <v>25</v>
      </c>
      <c r="D1162" s="1" t="s">
        <v>35</v>
      </c>
      <c r="E1162" s="1" t="s">
        <v>36</v>
      </c>
      <c r="F1162" s="1" t="s">
        <v>57</v>
      </c>
      <c r="G1162" s="1">
        <v>1</v>
      </c>
      <c r="H1162" s="1" t="s">
        <v>37</v>
      </c>
      <c r="I1162" s="1" t="s">
        <v>50</v>
      </c>
      <c r="J1162" s="1" t="s">
        <v>48</v>
      </c>
      <c r="K1162" s="1" t="s">
        <v>33</v>
      </c>
      <c r="L1162" s="1">
        <v>45</v>
      </c>
      <c r="M1162" s="1">
        <v>1</v>
      </c>
      <c r="N1162" s="1" t="s">
        <v>44</v>
      </c>
      <c r="O1162" s="1">
        <v>1</v>
      </c>
      <c r="P1162" s="1">
        <v>3</v>
      </c>
      <c r="Q1162" s="1">
        <v>2</v>
      </c>
      <c r="R1162" s="1">
        <v>7441</v>
      </c>
      <c r="S1162" s="1">
        <v>10</v>
      </c>
      <c r="T1162" s="1">
        <v>3</v>
      </c>
      <c r="U1162" s="1">
        <v>10</v>
      </c>
      <c r="V1162" s="1">
        <v>8</v>
      </c>
      <c r="W1162" s="1">
        <v>7</v>
      </c>
      <c r="X1162" s="1">
        <v>7</v>
      </c>
    </row>
    <row r="1163" spans="1:24">
      <c r="A1163" s="1">
        <v>1162</v>
      </c>
      <c r="B1163" s="1" t="s">
        <v>33</v>
      </c>
      <c r="C1163" s="1" t="s">
        <v>25</v>
      </c>
      <c r="D1163" s="1" t="s">
        <v>52</v>
      </c>
      <c r="E1163" s="1" t="s">
        <v>36</v>
      </c>
      <c r="F1163" s="1" t="s">
        <v>45</v>
      </c>
      <c r="G1163" s="1">
        <v>1</v>
      </c>
      <c r="H1163" s="1" t="s">
        <v>37</v>
      </c>
      <c r="I1163" s="1" t="s">
        <v>42</v>
      </c>
      <c r="J1163" s="1" t="s">
        <v>48</v>
      </c>
      <c r="K1163" s="1" t="s">
        <v>33</v>
      </c>
      <c r="L1163" s="1">
        <v>24</v>
      </c>
      <c r="M1163" s="1">
        <v>29</v>
      </c>
      <c r="N1163" s="1" t="s">
        <v>40</v>
      </c>
      <c r="O1163" s="1">
        <v>2</v>
      </c>
      <c r="P1163" s="1">
        <v>1</v>
      </c>
      <c r="Q1163" s="1">
        <v>1</v>
      </c>
      <c r="R1163" s="1">
        <v>3907</v>
      </c>
      <c r="S1163" s="1">
        <v>6</v>
      </c>
      <c r="T1163" s="1">
        <v>4</v>
      </c>
      <c r="U1163" s="1">
        <v>6</v>
      </c>
      <c r="V1163" s="1">
        <v>2</v>
      </c>
      <c r="W1163" s="1">
        <v>1</v>
      </c>
      <c r="X1163" s="1">
        <v>2</v>
      </c>
    </row>
    <row r="1164" spans="1:24">
      <c r="A1164" s="1">
        <v>1163</v>
      </c>
      <c r="B1164" s="1" t="s">
        <v>33</v>
      </c>
      <c r="C1164" s="1" t="s">
        <v>25</v>
      </c>
      <c r="D1164" s="1" t="s">
        <v>52</v>
      </c>
      <c r="E1164" s="1" t="s">
        <v>36</v>
      </c>
      <c r="F1164" s="1" t="s">
        <v>57</v>
      </c>
      <c r="G1164" s="1">
        <v>1</v>
      </c>
      <c r="H1164" s="1" t="s">
        <v>37</v>
      </c>
      <c r="I1164" s="1" t="s">
        <v>42</v>
      </c>
      <c r="J1164" s="1" t="s">
        <v>48</v>
      </c>
      <c r="K1164" s="1" t="s">
        <v>33</v>
      </c>
      <c r="L1164" s="1">
        <v>24</v>
      </c>
      <c r="M1164" s="1">
        <v>21</v>
      </c>
      <c r="N1164" s="1" t="s">
        <v>32</v>
      </c>
      <c r="O1164" s="1">
        <v>3</v>
      </c>
      <c r="P1164" s="1">
        <v>1</v>
      </c>
      <c r="Q1164" s="1">
        <v>1</v>
      </c>
      <c r="R1164" s="1">
        <v>2296</v>
      </c>
      <c r="S1164" s="1">
        <v>2</v>
      </c>
      <c r="T1164" s="1">
        <v>3</v>
      </c>
      <c r="U1164" s="1">
        <v>1</v>
      </c>
      <c r="V1164" s="1">
        <v>1</v>
      </c>
      <c r="W1164" s="1">
        <v>0</v>
      </c>
      <c r="X1164" s="1">
        <v>0</v>
      </c>
    </row>
    <row r="1165" spans="1:24">
      <c r="A1165" s="1">
        <v>1164</v>
      </c>
      <c r="B1165" s="1" t="s">
        <v>33</v>
      </c>
      <c r="C1165" s="1" t="s">
        <v>25</v>
      </c>
      <c r="D1165" s="1" t="s">
        <v>26</v>
      </c>
      <c r="E1165" s="1" t="s">
        <v>36</v>
      </c>
      <c r="F1165" s="1" t="s">
        <v>41</v>
      </c>
      <c r="G1165" s="1">
        <v>1</v>
      </c>
      <c r="H1165" s="1" t="s">
        <v>37</v>
      </c>
      <c r="I1165" s="1" t="s">
        <v>38</v>
      </c>
      <c r="J1165" s="1" t="s">
        <v>48</v>
      </c>
      <c r="K1165" s="1" t="s">
        <v>33</v>
      </c>
      <c r="L1165" s="1">
        <v>39</v>
      </c>
      <c r="M1165" s="1">
        <v>19</v>
      </c>
      <c r="N1165" s="1" t="s">
        <v>44</v>
      </c>
      <c r="O1165" s="1">
        <v>4</v>
      </c>
      <c r="P1165" s="1">
        <v>2</v>
      </c>
      <c r="Q1165" s="1">
        <v>4</v>
      </c>
      <c r="R1165" s="1">
        <v>3902</v>
      </c>
      <c r="S1165" s="1">
        <v>7</v>
      </c>
      <c r="T1165" s="1">
        <v>3</v>
      </c>
      <c r="U1165" s="1">
        <v>2</v>
      </c>
      <c r="V1165" s="1">
        <v>2</v>
      </c>
      <c r="W1165" s="1">
        <v>2</v>
      </c>
      <c r="X1165" s="1">
        <v>2</v>
      </c>
    </row>
    <row r="1166" spans="1:24">
      <c r="A1166" s="1">
        <v>1165</v>
      </c>
      <c r="B1166" s="1" t="s">
        <v>33</v>
      </c>
      <c r="C1166" s="1" t="s">
        <v>25</v>
      </c>
      <c r="D1166" s="1" t="s">
        <v>26</v>
      </c>
      <c r="E1166" s="1" t="s">
        <v>36</v>
      </c>
      <c r="F1166" s="1" t="s">
        <v>28</v>
      </c>
      <c r="G1166" s="1">
        <v>1</v>
      </c>
      <c r="H1166" s="1" t="s">
        <v>37</v>
      </c>
      <c r="I1166" s="1" t="s">
        <v>53</v>
      </c>
      <c r="J1166" s="1" t="s">
        <v>39</v>
      </c>
      <c r="K1166" s="1" t="s">
        <v>33</v>
      </c>
      <c r="L1166" s="1">
        <v>42</v>
      </c>
      <c r="M1166" s="1">
        <v>2</v>
      </c>
      <c r="N1166" s="1" t="s">
        <v>47</v>
      </c>
      <c r="O1166" s="1">
        <v>1</v>
      </c>
      <c r="P1166" s="1">
        <v>5</v>
      </c>
      <c r="Q1166" s="1">
        <v>3</v>
      </c>
      <c r="R1166" s="1">
        <v>18880</v>
      </c>
      <c r="S1166" s="1">
        <v>24</v>
      </c>
      <c r="T1166" s="1">
        <v>2</v>
      </c>
      <c r="U1166" s="1">
        <v>22</v>
      </c>
      <c r="V1166" s="1">
        <v>6</v>
      </c>
      <c r="W1166" s="1">
        <v>4</v>
      </c>
      <c r="X1166" s="1">
        <v>14</v>
      </c>
    </row>
    <row r="1167" spans="1:24">
      <c r="A1167" s="1">
        <v>1166</v>
      </c>
      <c r="B1167" s="1" t="s">
        <v>33</v>
      </c>
      <c r="C1167" s="1" t="s">
        <v>25</v>
      </c>
      <c r="D1167" s="1" t="s">
        <v>26</v>
      </c>
      <c r="E1167" s="1" t="s">
        <v>36</v>
      </c>
      <c r="F1167" s="1" t="s">
        <v>45</v>
      </c>
      <c r="G1167" s="1">
        <v>1</v>
      </c>
      <c r="H1167" s="1" t="s">
        <v>37</v>
      </c>
      <c r="I1167" s="1" t="s">
        <v>38</v>
      </c>
      <c r="J1167" s="1" t="s">
        <v>39</v>
      </c>
      <c r="K1167" s="1" t="s">
        <v>33</v>
      </c>
      <c r="L1167" s="1">
        <v>37</v>
      </c>
      <c r="M1167" s="1">
        <v>13</v>
      </c>
      <c r="N1167" s="1" t="s">
        <v>47</v>
      </c>
      <c r="O1167" s="1">
        <v>1</v>
      </c>
      <c r="P1167" s="1">
        <v>2</v>
      </c>
      <c r="Q1167" s="1">
        <v>4</v>
      </c>
      <c r="R1167" s="1">
        <v>4285</v>
      </c>
      <c r="S1167" s="1">
        <v>10</v>
      </c>
      <c r="T1167" s="1">
        <v>3</v>
      </c>
      <c r="U1167" s="1">
        <v>10</v>
      </c>
      <c r="V1167" s="1">
        <v>8</v>
      </c>
      <c r="W1167" s="1">
        <v>3</v>
      </c>
      <c r="X1167" s="1">
        <v>7</v>
      </c>
    </row>
    <row r="1168" spans="1:24">
      <c r="A1168" s="1">
        <v>1167</v>
      </c>
      <c r="B1168" s="1" t="s">
        <v>33</v>
      </c>
      <c r="C1168" s="1" t="s">
        <v>25</v>
      </c>
      <c r="D1168" s="1" t="s">
        <v>43</v>
      </c>
      <c r="E1168" s="1" t="s">
        <v>36</v>
      </c>
      <c r="F1168" s="1" t="s">
        <v>28</v>
      </c>
      <c r="G1168" s="1">
        <v>1</v>
      </c>
      <c r="H1168" s="1" t="s">
        <v>37</v>
      </c>
      <c r="I1168" s="1" t="s">
        <v>42</v>
      </c>
      <c r="J1168" s="1" t="s">
        <v>39</v>
      </c>
      <c r="K1168" s="1" t="s">
        <v>33</v>
      </c>
      <c r="L1168" s="1">
        <v>27</v>
      </c>
      <c r="M1168" s="1">
        <v>11</v>
      </c>
      <c r="N1168" s="1" t="s">
        <v>40</v>
      </c>
      <c r="O1168" s="1">
        <v>2</v>
      </c>
      <c r="P1168" s="1">
        <v>1</v>
      </c>
      <c r="Q1168" s="1">
        <v>1</v>
      </c>
      <c r="R1168" s="1">
        <v>2099</v>
      </c>
      <c r="S1168" s="1">
        <v>6</v>
      </c>
      <c r="T1168" s="1">
        <v>4</v>
      </c>
      <c r="U1168" s="1">
        <v>5</v>
      </c>
      <c r="V1168" s="1">
        <v>0</v>
      </c>
      <c r="W1168" s="1">
        <v>1</v>
      </c>
      <c r="X1168" s="1">
        <v>4</v>
      </c>
    </row>
    <row r="1169" spans="1:24">
      <c r="A1169" s="1">
        <v>1168</v>
      </c>
      <c r="B1169" s="1" t="s">
        <v>33</v>
      </c>
      <c r="C1169" s="1" t="s">
        <v>25</v>
      </c>
      <c r="D1169" s="1" t="s">
        <v>26</v>
      </c>
      <c r="E1169" s="1" t="s">
        <v>36</v>
      </c>
      <c r="F1169" s="1" t="s">
        <v>28</v>
      </c>
      <c r="G1169" s="1">
        <v>1</v>
      </c>
      <c r="H1169" s="1" t="s">
        <v>37</v>
      </c>
      <c r="I1169" s="1" t="s">
        <v>38</v>
      </c>
      <c r="J1169" s="1" t="s">
        <v>39</v>
      </c>
      <c r="K1169" s="1" t="s">
        <v>33</v>
      </c>
      <c r="L1169" s="1">
        <v>35</v>
      </c>
      <c r="M1169" s="1">
        <v>18</v>
      </c>
      <c r="N1169" s="1" t="s">
        <v>58</v>
      </c>
      <c r="O1169" s="1">
        <v>2</v>
      </c>
      <c r="P1169" s="1">
        <v>2</v>
      </c>
      <c r="Q1169" s="1">
        <v>1</v>
      </c>
      <c r="R1169" s="1">
        <v>5208</v>
      </c>
      <c r="S1169" s="1">
        <v>16</v>
      </c>
      <c r="T1169" s="1">
        <v>3</v>
      </c>
      <c r="U1169" s="1">
        <v>16</v>
      </c>
      <c r="V1169" s="1">
        <v>15</v>
      </c>
      <c r="W1169" s="1">
        <v>1</v>
      </c>
      <c r="X1169" s="1">
        <v>10</v>
      </c>
    </row>
    <row r="1170" spans="1:24">
      <c r="A1170" s="1">
        <v>1169</v>
      </c>
      <c r="B1170" s="1" t="s">
        <v>33</v>
      </c>
      <c r="C1170" s="1" t="s">
        <v>25</v>
      </c>
      <c r="D1170" s="1" t="s">
        <v>43</v>
      </c>
      <c r="E1170" s="1" t="s">
        <v>36</v>
      </c>
      <c r="F1170" s="1" t="s">
        <v>45</v>
      </c>
      <c r="G1170" s="1">
        <v>1</v>
      </c>
      <c r="H1170" s="1" t="s">
        <v>37</v>
      </c>
      <c r="I1170" s="1" t="s">
        <v>42</v>
      </c>
      <c r="J1170" s="1" t="s">
        <v>39</v>
      </c>
      <c r="K1170" s="1" t="s">
        <v>33</v>
      </c>
      <c r="L1170" s="1">
        <v>34</v>
      </c>
      <c r="M1170" s="1">
        <v>8</v>
      </c>
      <c r="N1170" s="1" t="s">
        <v>47</v>
      </c>
      <c r="O1170" s="1">
        <v>2</v>
      </c>
      <c r="P1170" s="1">
        <v>2</v>
      </c>
      <c r="Q1170" s="1">
        <v>3</v>
      </c>
      <c r="R1170" s="1">
        <v>4404</v>
      </c>
      <c r="S1170" s="1">
        <v>6</v>
      </c>
      <c r="T1170" s="1">
        <v>4</v>
      </c>
      <c r="U1170" s="1">
        <v>4</v>
      </c>
      <c r="V1170" s="1">
        <v>3</v>
      </c>
      <c r="W1170" s="1">
        <v>1</v>
      </c>
      <c r="X1170" s="1">
        <v>2</v>
      </c>
    </row>
    <row r="1171" spans="1:24">
      <c r="A1171" s="1">
        <v>1170</v>
      </c>
      <c r="B1171" s="1" t="s">
        <v>33</v>
      </c>
      <c r="C1171" s="1" t="s">
        <v>25</v>
      </c>
      <c r="D1171" s="1" t="s">
        <v>35</v>
      </c>
      <c r="E1171" s="1" t="s">
        <v>36</v>
      </c>
      <c r="F1171" s="1" t="s">
        <v>45</v>
      </c>
      <c r="G1171" s="1">
        <v>1</v>
      </c>
      <c r="H1171" s="1" t="s">
        <v>37</v>
      </c>
      <c r="I1171" s="1" t="s">
        <v>50</v>
      </c>
      <c r="J1171" s="1" t="s">
        <v>39</v>
      </c>
      <c r="K1171" s="1" t="s">
        <v>33</v>
      </c>
      <c r="L1171" s="1">
        <v>53</v>
      </c>
      <c r="M1171" s="1">
        <v>24</v>
      </c>
      <c r="N1171" s="1" t="s">
        <v>44</v>
      </c>
      <c r="O1171" s="1">
        <v>2</v>
      </c>
      <c r="P1171" s="1">
        <v>3</v>
      </c>
      <c r="Q1171" s="1">
        <v>4</v>
      </c>
      <c r="R1171" s="1">
        <v>7005</v>
      </c>
      <c r="S1171" s="1">
        <v>11</v>
      </c>
      <c r="T1171" s="1">
        <v>3</v>
      </c>
      <c r="U1171" s="1">
        <v>4</v>
      </c>
      <c r="V1171" s="1">
        <v>3</v>
      </c>
      <c r="W1171" s="1">
        <v>1</v>
      </c>
      <c r="X1171" s="1">
        <v>2</v>
      </c>
    </row>
    <row r="1172" spans="1:24">
      <c r="A1172" s="1">
        <v>1171</v>
      </c>
      <c r="B1172" s="1" t="s">
        <v>33</v>
      </c>
      <c r="C1172" s="1" t="s">
        <v>25</v>
      </c>
      <c r="D1172" s="1" t="s">
        <v>35</v>
      </c>
      <c r="E1172" s="1" t="s">
        <v>36</v>
      </c>
      <c r="F1172" s="1" t="s">
        <v>28</v>
      </c>
      <c r="G1172" s="1">
        <v>1</v>
      </c>
      <c r="H1172" s="1" t="s">
        <v>37</v>
      </c>
      <c r="I1172" s="1" t="s">
        <v>55</v>
      </c>
      <c r="J1172" s="1" t="s">
        <v>39</v>
      </c>
      <c r="K1172" s="1" t="s">
        <v>33</v>
      </c>
      <c r="L1172" s="1">
        <v>48</v>
      </c>
      <c r="M1172" s="1">
        <v>10</v>
      </c>
      <c r="N1172" s="1" t="s">
        <v>47</v>
      </c>
      <c r="O1172" s="1">
        <v>4</v>
      </c>
      <c r="P1172" s="1">
        <v>5</v>
      </c>
      <c r="Q1172" s="1">
        <v>2</v>
      </c>
      <c r="R1172" s="1">
        <v>19665</v>
      </c>
      <c r="S1172" s="1">
        <v>29</v>
      </c>
      <c r="T1172" s="1">
        <v>3</v>
      </c>
      <c r="U1172" s="1">
        <v>22</v>
      </c>
      <c r="V1172" s="1">
        <v>10</v>
      </c>
      <c r="W1172" s="1">
        <v>12</v>
      </c>
      <c r="X1172" s="1">
        <v>9</v>
      </c>
    </row>
    <row r="1173" spans="1:24">
      <c r="A1173" s="1">
        <v>1172</v>
      </c>
      <c r="B1173" s="1" t="s">
        <v>33</v>
      </c>
      <c r="C1173" s="1" t="s">
        <v>25</v>
      </c>
      <c r="D1173" s="1" t="s">
        <v>43</v>
      </c>
      <c r="E1173" s="1" t="s">
        <v>36</v>
      </c>
      <c r="F1173" s="1" t="s">
        <v>45</v>
      </c>
      <c r="G1173" s="1">
        <v>1</v>
      </c>
      <c r="H1173" s="1" t="s">
        <v>37</v>
      </c>
      <c r="I1173" s="1" t="s">
        <v>42</v>
      </c>
      <c r="J1173" s="1" t="s">
        <v>39</v>
      </c>
      <c r="K1173" s="1" t="s">
        <v>33</v>
      </c>
      <c r="L1173" s="1">
        <v>30</v>
      </c>
      <c r="M1173" s="1">
        <v>1</v>
      </c>
      <c r="N1173" s="1" t="s">
        <v>32</v>
      </c>
      <c r="O1173" s="1">
        <v>4</v>
      </c>
      <c r="P1173" s="1">
        <v>1</v>
      </c>
      <c r="Q1173" s="1">
        <v>2</v>
      </c>
      <c r="R1173" s="1">
        <v>3748</v>
      </c>
      <c r="S1173" s="1">
        <v>12</v>
      </c>
      <c r="T1173" s="1">
        <v>2</v>
      </c>
      <c r="U1173" s="1">
        <v>12</v>
      </c>
      <c r="V1173" s="1">
        <v>8</v>
      </c>
      <c r="W1173" s="1">
        <v>1</v>
      </c>
      <c r="X1173" s="1">
        <v>7</v>
      </c>
    </row>
    <row r="1174" spans="1:24">
      <c r="A1174" s="1">
        <v>1173</v>
      </c>
      <c r="B1174" s="1" t="s">
        <v>33</v>
      </c>
      <c r="C1174" s="1" t="s">
        <v>25</v>
      </c>
      <c r="D1174" s="1" t="s">
        <v>43</v>
      </c>
      <c r="E1174" s="1" t="s">
        <v>36</v>
      </c>
      <c r="F1174" s="1" t="s">
        <v>28</v>
      </c>
      <c r="G1174" s="1">
        <v>1</v>
      </c>
      <c r="H1174" s="1" t="s">
        <v>37</v>
      </c>
      <c r="I1174" s="1" t="s">
        <v>50</v>
      </c>
      <c r="J1174" s="1" t="s">
        <v>39</v>
      </c>
      <c r="K1174" s="1" t="s">
        <v>33</v>
      </c>
      <c r="L1174" s="1">
        <v>29</v>
      </c>
      <c r="M1174" s="1">
        <v>1</v>
      </c>
      <c r="N1174" s="1" t="s">
        <v>47</v>
      </c>
      <c r="O1174" s="1">
        <v>1</v>
      </c>
      <c r="P1174" s="1">
        <v>2</v>
      </c>
      <c r="Q1174" s="1">
        <v>1</v>
      </c>
      <c r="R1174" s="1">
        <v>5373</v>
      </c>
      <c r="S1174" s="1">
        <v>6</v>
      </c>
      <c r="T1174" s="1">
        <v>2</v>
      </c>
      <c r="U1174" s="1">
        <v>5</v>
      </c>
      <c r="V1174" s="1">
        <v>3</v>
      </c>
      <c r="W1174" s="1">
        <v>0</v>
      </c>
      <c r="X1174" s="1">
        <v>2</v>
      </c>
    </row>
    <row r="1175" spans="1:24">
      <c r="A1175" s="1">
        <v>1174</v>
      </c>
      <c r="B1175" s="1" t="s">
        <v>33</v>
      </c>
      <c r="C1175" s="1" t="s">
        <v>25</v>
      </c>
      <c r="D1175" s="1" t="s">
        <v>35</v>
      </c>
      <c r="E1175" s="1" t="s">
        <v>36</v>
      </c>
      <c r="F1175" s="1" t="s">
        <v>57</v>
      </c>
      <c r="G1175" s="1">
        <v>1</v>
      </c>
      <c r="H1175" s="1" t="s">
        <v>37</v>
      </c>
      <c r="I1175" s="1" t="s">
        <v>50</v>
      </c>
      <c r="J1175" s="1" t="s">
        <v>39</v>
      </c>
      <c r="K1175" s="1" t="s">
        <v>33</v>
      </c>
      <c r="L1175" s="1">
        <v>49</v>
      </c>
      <c r="M1175" s="1">
        <v>5</v>
      </c>
      <c r="N1175" s="1" t="s">
        <v>44</v>
      </c>
      <c r="O1175" s="1">
        <v>1</v>
      </c>
      <c r="P1175" s="1">
        <v>2</v>
      </c>
      <c r="Q1175" s="1">
        <v>3</v>
      </c>
      <c r="R1175" s="1">
        <v>6651</v>
      </c>
      <c r="S1175" s="1">
        <v>20</v>
      </c>
      <c r="T1175" s="1">
        <v>2</v>
      </c>
      <c r="U1175" s="1">
        <v>3</v>
      </c>
      <c r="V1175" s="1">
        <v>2</v>
      </c>
      <c r="W1175" s="1">
        <v>1</v>
      </c>
      <c r="X1175" s="1">
        <v>2</v>
      </c>
    </row>
    <row r="1176" spans="1:24">
      <c r="A1176" s="1">
        <v>1175</v>
      </c>
      <c r="B1176" s="1" t="s">
        <v>33</v>
      </c>
      <c r="C1176" s="1" t="s">
        <v>25</v>
      </c>
      <c r="D1176" s="1" t="s">
        <v>26</v>
      </c>
      <c r="E1176" s="1" t="s">
        <v>36</v>
      </c>
      <c r="F1176" s="1" t="s">
        <v>28</v>
      </c>
      <c r="G1176" s="1">
        <v>1</v>
      </c>
      <c r="H1176" s="1" t="s">
        <v>37</v>
      </c>
      <c r="I1176" s="1" t="s">
        <v>50</v>
      </c>
      <c r="J1176" s="1" t="s">
        <v>39</v>
      </c>
      <c r="K1176" s="1" t="s">
        <v>33</v>
      </c>
      <c r="L1176" s="1">
        <v>43</v>
      </c>
      <c r="M1176" s="1">
        <v>11</v>
      </c>
      <c r="N1176" s="1" t="s">
        <v>47</v>
      </c>
      <c r="O1176" s="1">
        <v>1</v>
      </c>
      <c r="P1176" s="1">
        <v>3</v>
      </c>
      <c r="Q1176" s="1">
        <v>3</v>
      </c>
      <c r="R1176" s="1">
        <v>7510</v>
      </c>
      <c r="S1176" s="1">
        <v>10</v>
      </c>
      <c r="T1176" s="1">
        <v>3</v>
      </c>
      <c r="U1176" s="1">
        <v>10</v>
      </c>
      <c r="V1176" s="1">
        <v>9</v>
      </c>
      <c r="W1176" s="1">
        <v>0</v>
      </c>
      <c r="X1176" s="1">
        <v>9</v>
      </c>
    </row>
    <row r="1177" spans="1:24">
      <c r="A1177" s="1">
        <v>1176</v>
      </c>
      <c r="B1177" s="1" t="s">
        <v>33</v>
      </c>
      <c r="C1177" s="1" t="s">
        <v>25</v>
      </c>
      <c r="D1177" s="1" t="s">
        <v>43</v>
      </c>
      <c r="E1177" s="1" t="s">
        <v>36</v>
      </c>
      <c r="F1177" s="1" t="s">
        <v>57</v>
      </c>
      <c r="G1177" s="1">
        <v>1</v>
      </c>
      <c r="H1177" s="1" t="s">
        <v>37</v>
      </c>
      <c r="I1177" s="1" t="s">
        <v>42</v>
      </c>
      <c r="J1177" s="1" t="s">
        <v>39</v>
      </c>
      <c r="K1177" s="1" t="s">
        <v>33</v>
      </c>
      <c r="L1177" s="1">
        <v>25</v>
      </c>
      <c r="M1177" s="1">
        <v>1</v>
      </c>
      <c r="N1177" s="1" t="s">
        <v>47</v>
      </c>
      <c r="O1177" s="1">
        <v>1</v>
      </c>
      <c r="P1177" s="1">
        <v>1</v>
      </c>
      <c r="Q1177" s="1">
        <v>4</v>
      </c>
      <c r="R1177" s="1">
        <v>3229</v>
      </c>
      <c r="S1177" s="1">
        <v>7</v>
      </c>
      <c r="T1177" s="1">
        <v>2</v>
      </c>
      <c r="U1177" s="1">
        <v>3</v>
      </c>
      <c r="V1177" s="1">
        <v>2</v>
      </c>
      <c r="W1177" s="1">
        <v>0</v>
      </c>
      <c r="X1177" s="1">
        <v>2</v>
      </c>
    </row>
    <row r="1178" spans="1:24">
      <c r="A1178" s="1">
        <v>1177</v>
      </c>
      <c r="B1178" s="1" t="s">
        <v>33</v>
      </c>
      <c r="C1178" s="1" t="s">
        <v>25</v>
      </c>
      <c r="D1178" s="1" t="s">
        <v>35</v>
      </c>
      <c r="E1178" s="1" t="s">
        <v>36</v>
      </c>
      <c r="F1178" s="1" t="s">
        <v>57</v>
      </c>
      <c r="G1178" s="1">
        <v>1</v>
      </c>
      <c r="H1178" s="1" t="s">
        <v>37</v>
      </c>
      <c r="I1178" s="1" t="s">
        <v>38</v>
      </c>
      <c r="J1178" s="1" t="s">
        <v>39</v>
      </c>
      <c r="K1178" s="1" t="s">
        <v>33</v>
      </c>
      <c r="L1178" s="1">
        <v>47</v>
      </c>
      <c r="M1178" s="1">
        <v>1</v>
      </c>
      <c r="N1178" s="1" t="s">
        <v>47</v>
      </c>
      <c r="O1178" s="1">
        <v>1</v>
      </c>
      <c r="P1178" s="1">
        <v>1</v>
      </c>
      <c r="Q1178" s="1">
        <v>4</v>
      </c>
      <c r="R1178" s="1">
        <v>3420</v>
      </c>
      <c r="S1178" s="1">
        <v>17</v>
      </c>
      <c r="T1178" s="1">
        <v>2</v>
      </c>
      <c r="U1178" s="1">
        <v>6</v>
      </c>
      <c r="V1178" s="1">
        <v>5</v>
      </c>
      <c r="W1178" s="1">
        <v>1</v>
      </c>
      <c r="X1178" s="1">
        <v>2</v>
      </c>
    </row>
    <row r="1179" spans="1:24">
      <c r="A1179" s="1">
        <v>1178</v>
      </c>
      <c r="B1179" s="1" t="s">
        <v>33</v>
      </c>
      <c r="C1179" s="1" t="s">
        <v>25</v>
      </c>
      <c r="D1179" s="1" t="s">
        <v>26</v>
      </c>
      <c r="E1179" s="1" t="s">
        <v>36</v>
      </c>
      <c r="F1179" s="1" t="s">
        <v>45</v>
      </c>
      <c r="G1179" s="1">
        <v>1</v>
      </c>
      <c r="H1179" s="1" t="s">
        <v>37</v>
      </c>
      <c r="I1179" s="1" t="s">
        <v>42</v>
      </c>
      <c r="J1179" s="1" t="s">
        <v>39</v>
      </c>
      <c r="K1179" s="1" t="s">
        <v>33</v>
      </c>
      <c r="L1179" s="1">
        <v>35</v>
      </c>
      <c r="M1179" s="1">
        <v>23</v>
      </c>
      <c r="N1179" s="1" t="s">
        <v>44</v>
      </c>
      <c r="O1179" s="1">
        <v>2</v>
      </c>
      <c r="P1179" s="1">
        <v>1</v>
      </c>
      <c r="Q1179" s="1">
        <v>3</v>
      </c>
      <c r="R1179" s="1">
        <v>2705</v>
      </c>
      <c r="S1179" s="1">
        <v>6</v>
      </c>
      <c r="T1179" s="1">
        <v>4</v>
      </c>
      <c r="U1179" s="1">
        <v>5</v>
      </c>
      <c r="V1179" s="1">
        <v>4</v>
      </c>
      <c r="W1179" s="1">
        <v>0</v>
      </c>
      <c r="X1179" s="1">
        <v>3</v>
      </c>
    </row>
    <row r="1180" spans="1:24">
      <c r="A1180" s="1">
        <v>1179</v>
      </c>
      <c r="B1180" s="1" t="s">
        <v>33</v>
      </c>
      <c r="C1180" s="1" t="s">
        <v>25</v>
      </c>
      <c r="D1180" s="1" t="s">
        <v>43</v>
      </c>
      <c r="E1180" s="1" t="s">
        <v>36</v>
      </c>
      <c r="F1180" s="1" t="s">
        <v>45</v>
      </c>
      <c r="G1180" s="1">
        <v>1</v>
      </c>
      <c r="H1180" s="1" t="s">
        <v>37</v>
      </c>
      <c r="I1180" s="1" t="s">
        <v>38</v>
      </c>
      <c r="J1180" s="1" t="s">
        <v>39</v>
      </c>
      <c r="K1180" s="1" t="s">
        <v>33</v>
      </c>
      <c r="L1180" s="1">
        <v>30</v>
      </c>
      <c r="M1180" s="1">
        <v>7</v>
      </c>
      <c r="N1180" s="1" t="s">
        <v>47</v>
      </c>
      <c r="O1180" s="1">
        <v>2</v>
      </c>
      <c r="P1180" s="1">
        <v>1</v>
      </c>
      <c r="Q1180" s="1">
        <v>2</v>
      </c>
      <c r="R1180" s="1">
        <v>2141</v>
      </c>
      <c r="S1180" s="1">
        <v>6</v>
      </c>
      <c r="T1180" s="1">
        <v>2</v>
      </c>
      <c r="U1180" s="1">
        <v>6</v>
      </c>
      <c r="V1180" s="1">
        <v>4</v>
      </c>
      <c r="W1180" s="1">
        <v>1</v>
      </c>
      <c r="X1180" s="1">
        <v>1</v>
      </c>
    </row>
    <row r="1181" spans="1:24">
      <c r="A1181" s="1">
        <v>1180</v>
      </c>
      <c r="B1181" s="1" t="s">
        <v>33</v>
      </c>
      <c r="C1181" s="1" t="s">
        <v>25</v>
      </c>
      <c r="D1181" s="1" t="s">
        <v>43</v>
      </c>
      <c r="E1181" s="1" t="s">
        <v>36</v>
      </c>
      <c r="F1181" s="1" t="s">
        <v>45</v>
      </c>
      <c r="G1181" s="1">
        <v>1</v>
      </c>
      <c r="H1181" s="1" t="s">
        <v>37</v>
      </c>
      <c r="I1181" s="1" t="s">
        <v>42</v>
      </c>
      <c r="J1181" s="1" t="s">
        <v>39</v>
      </c>
      <c r="K1181" s="1" t="s">
        <v>33</v>
      </c>
      <c r="L1181" s="1">
        <v>34</v>
      </c>
      <c r="M1181" s="1">
        <v>5</v>
      </c>
      <c r="N1181" s="1" t="s">
        <v>32</v>
      </c>
      <c r="O1181" s="1">
        <v>2</v>
      </c>
      <c r="P1181" s="1">
        <v>2</v>
      </c>
      <c r="Q1181" s="1">
        <v>4</v>
      </c>
      <c r="R1181" s="1">
        <v>3986</v>
      </c>
      <c r="S1181" s="1">
        <v>15</v>
      </c>
      <c r="T1181" s="1">
        <v>4</v>
      </c>
      <c r="U1181" s="1">
        <v>15</v>
      </c>
      <c r="V1181" s="1">
        <v>10</v>
      </c>
      <c r="W1181" s="1">
        <v>4</v>
      </c>
      <c r="X1181" s="1">
        <v>13</v>
      </c>
    </row>
    <row r="1182" spans="1:24">
      <c r="A1182" s="1">
        <v>1181</v>
      </c>
      <c r="B1182" s="1" t="s">
        <v>33</v>
      </c>
      <c r="C1182" s="1" t="s">
        <v>25</v>
      </c>
      <c r="D1182" s="1" t="s">
        <v>43</v>
      </c>
      <c r="E1182" s="1" t="s">
        <v>36</v>
      </c>
      <c r="F1182" s="1" t="s">
        <v>57</v>
      </c>
      <c r="G1182" s="1">
        <v>1</v>
      </c>
      <c r="H1182" s="1" t="s">
        <v>37</v>
      </c>
      <c r="I1182" s="1" t="s">
        <v>38</v>
      </c>
      <c r="J1182" s="1" t="s">
        <v>39</v>
      </c>
      <c r="K1182" s="1" t="s">
        <v>33</v>
      </c>
      <c r="L1182" s="1">
        <v>27</v>
      </c>
      <c r="M1182" s="1">
        <v>2</v>
      </c>
      <c r="N1182" s="1" t="s">
        <v>44</v>
      </c>
      <c r="O1182" s="1">
        <v>2</v>
      </c>
      <c r="P1182" s="1">
        <v>1</v>
      </c>
      <c r="Q1182" s="1">
        <v>2</v>
      </c>
      <c r="R1182" s="1">
        <v>2226</v>
      </c>
      <c r="S1182" s="1">
        <v>6</v>
      </c>
      <c r="T1182" s="1">
        <v>2</v>
      </c>
      <c r="U1182" s="1">
        <v>5</v>
      </c>
      <c r="V1182" s="1">
        <v>3</v>
      </c>
      <c r="W1182" s="1">
        <v>1</v>
      </c>
      <c r="X1182" s="1">
        <v>2</v>
      </c>
    </row>
    <row r="1183" spans="1:24">
      <c r="A1183" s="1">
        <v>1182</v>
      </c>
      <c r="B1183" s="1" t="s">
        <v>33</v>
      </c>
      <c r="C1183" s="1" t="s">
        <v>25</v>
      </c>
      <c r="D1183" s="1" t="s">
        <v>43</v>
      </c>
      <c r="E1183" s="1" t="s">
        <v>36</v>
      </c>
      <c r="F1183" s="1" t="s">
        <v>28</v>
      </c>
      <c r="G1183" s="1">
        <v>1</v>
      </c>
      <c r="H1183" s="1" t="s">
        <v>37</v>
      </c>
      <c r="I1183" s="1" t="s">
        <v>42</v>
      </c>
      <c r="J1183" s="1" t="s">
        <v>39</v>
      </c>
      <c r="K1183" s="1" t="s">
        <v>33</v>
      </c>
      <c r="L1183" s="1">
        <v>31</v>
      </c>
      <c r="M1183" s="1">
        <v>2</v>
      </c>
      <c r="N1183" s="1" t="s">
        <v>44</v>
      </c>
      <c r="O1183" s="1">
        <v>2</v>
      </c>
      <c r="P1183" s="1">
        <v>1</v>
      </c>
      <c r="Q1183" s="1">
        <v>3</v>
      </c>
      <c r="R1183" s="1">
        <v>3477</v>
      </c>
      <c r="S1183" s="1">
        <v>6</v>
      </c>
      <c r="T1183" s="1">
        <v>4</v>
      </c>
      <c r="U1183" s="1">
        <v>5</v>
      </c>
      <c r="V1183" s="1">
        <v>2</v>
      </c>
      <c r="W1183" s="1">
        <v>0</v>
      </c>
      <c r="X1183" s="1">
        <v>3</v>
      </c>
    </row>
    <row r="1184" spans="1:24">
      <c r="A1184" s="1">
        <v>1183</v>
      </c>
      <c r="B1184" s="1" t="s">
        <v>33</v>
      </c>
      <c r="C1184" s="1" t="s">
        <v>25</v>
      </c>
      <c r="D1184" s="1" t="s">
        <v>43</v>
      </c>
      <c r="E1184" s="1" t="s">
        <v>36</v>
      </c>
      <c r="F1184" s="1" t="s">
        <v>28</v>
      </c>
      <c r="G1184" s="1">
        <v>1</v>
      </c>
      <c r="H1184" s="1" t="s">
        <v>37</v>
      </c>
      <c r="I1184" s="1" t="s">
        <v>38</v>
      </c>
      <c r="J1184" s="1" t="s">
        <v>39</v>
      </c>
      <c r="K1184" s="1" t="s">
        <v>33</v>
      </c>
      <c r="L1184" s="1">
        <v>30</v>
      </c>
      <c r="M1184" s="1">
        <v>16</v>
      </c>
      <c r="N1184" s="1" t="s">
        <v>40</v>
      </c>
      <c r="O1184" s="1">
        <v>2</v>
      </c>
      <c r="P1184" s="1">
        <v>1</v>
      </c>
      <c r="Q1184" s="1">
        <v>4</v>
      </c>
      <c r="R1184" s="1">
        <v>2862</v>
      </c>
      <c r="S1184" s="1">
        <v>10</v>
      </c>
      <c r="T1184" s="1">
        <v>2</v>
      </c>
      <c r="U1184" s="1">
        <v>10</v>
      </c>
      <c r="V1184" s="1">
        <v>0</v>
      </c>
      <c r="W1184" s="1">
        <v>0</v>
      </c>
      <c r="X1184" s="1">
        <v>8</v>
      </c>
    </row>
    <row r="1185" spans="1:24">
      <c r="A1185" s="1">
        <v>1184</v>
      </c>
      <c r="B1185" s="1" t="s">
        <v>33</v>
      </c>
      <c r="C1185" s="1" t="s">
        <v>25</v>
      </c>
      <c r="D1185" s="1" t="s">
        <v>43</v>
      </c>
      <c r="E1185" s="1" t="s">
        <v>36</v>
      </c>
      <c r="F1185" s="1" t="s">
        <v>28</v>
      </c>
      <c r="G1185" s="1">
        <v>1</v>
      </c>
      <c r="H1185" s="1" t="s">
        <v>37</v>
      </c>
      <c r="I1185" s="1" t="s">
        <v>38</v>
      </c>
      <c r="J1185" s="1" t="s">
        <v>39</v>
      </c>
      <c r="K1185" s="1" t="s">
        <v>33</v>
      </c>
      <c r="L1185" s="1">
        <v>34</v>
      </c>
      <c r="M1185" s="1">
        <v>1</v>
      </c>
      <c r="N1185" s="1" t="s">
        <v>44</v>
      </c>
      <c r="O1185" s="1">
        <v>2</v>
      </c>
      <c r="P1185" s="1">
        <v>2</v>
      </c>
      <c r="Q1185" s="1">
        <v>4</v>
      </c>
      <c r="R1185" s="1">
        <v>5484</v>
      </c>
      <c r="S1185" s="1">
        <v>9</v>
      </c>
      <c r="T1185" s="1">
        <v>2</v>
      </c>
      <c r="U1185" s="1">
        <v>2</v>
      </c>
      <c r="V1185" s="1">
        <v>2</v>
      </c>
      <c r="W1185" s="1">
        <v>2</v>
      </c>
      <c r="X1185" s="1">
        <v>1</v>
      </c>
    </row>
    <row r="1186" spans="1:24">
      <c r="A1186" s="1">
        <v>1185</v>
      </c>
      <c r="B1186" s="1" t="s">
        <v>33</v>
      </c>
      <c r="C1186" s="1" t="s">
        <v>25</v>
      </c>
      <c r="D1186" s="1" t="s">
        <v>26</v>
      </c>
      <c r="E1186" s="1" t="s">
        <v>36</v>
      </c>
      <c r="F1186" s="1" t="s">
        <v>28</v>
      </c>
      <c r="G1186" s="1">
        <v>1</v>
      </c>
      <c r="H1186" s="1" t="s">
        <v>37</v>
      </c>
      <c r="I1186" s="1" t="s">
        <v>50</v>
      </c>
      <c r="J1186" s="1" t="s">
        <v>39</v>
      </c>
      <c r="K1186" s="1" t="s">
        <v>33</v>
      </c>
      <c r="L1186" s="1">
        <v>44</v>
      </c>
      <c r="M1186" s="1">
        <v>1</v>
      </c>
      <c r="N1186" s="1" t="s">
        <v>44</v>
      </c>
      <c r="O1186" s="1">
        <v>2</v>
      </c>
      <c r="P1186" s="1">
        <v>2</v>
      </c>
      <c r="Q1186" s="1">
        <v>1</v>
      </c>
      <c r="R1186" s="1">
        <v>5033</v>
      </c>
      <c r="S1186" s="1">
        <v>10</v>
      </c>
      <c r="T1186" s="1">
        <v>3</v>
      </c>
      <c r="U1186" s="1">
        <v>2</v>
      </c>
      <c r="V1186" s="1">
        <v>0</v>
      </c>
      <c r="W1186" s="1">
        <v>2</v>
      </c>
      <c r="X1186" s="1">
        <v>2</v>
      </c>
    </row>
    <row r="1187" spans="1:24">
      <c r="A1187" s="1">
        <v>1186</v>
      </c>
      <c r="B1187" s="1" t="s">
        <v>33</v>
      </c>
      <c r="C1187" s="1" t="s">
        <v>25</v>
      </c>
      <c r="D1187" s="1" t="s">
        <v>26</v>
      </c>
      <c r="E1187" s="1" t="s">
        <v>36</v>
      </c>
      <c r="F1187" s="1" t="s">
        <v>45</v>
      </c>
      <c r="G1187" s="1">
        <v>1</v>
      </c>
      <c r="H1187" s="1" t="s">
        <v>37</v>
      </c>
      <c r="I1187" s="1" t="s">
        <v>42</v>
      </c>
      <c r="J1187" s="1" t="s">
        <v>39</v>
      </c>
      <c r="K1187" s="1" t="s">
        <v>33</v>
      </c>
      <c r="L1187" s="1">
        <v>42</v>
      </c>
      <c r="M1187" s="1">
        <v>2</v>
      </c>
      <c r="N1187" s="1" t="s">
        <v>47</v>
      </c>
      <c r="O1187" s="1">
        <v>3</v>
      </c>
      <c r="P1187" s="1">
        <v>1</v>
      </c>
      <c r="Q1187" s="1">
        <v>2</v>
      </c>
      <c r="R1187" s="1">
        <v>4841</v>
      </c>
      <c r="S1187" s="1">
        <v>4</v>
      </c>
      <c r="T1187" s="1">
        <v>3</v>
      </c>
      <c r="U1187" s="1">
        <v>1</v>
      </c>
      <c r="V1187" s="1">
        <v>0</v>
      </c>
      <c r="W1187" s="1">
        <v>0</v>
      </c>
      <c r="X1187" s="1">
        <v>0</v>
      </c>
    </row>
    <row r="1188" spans="1:24">
      <c r="A1188" s="1">
        <v>1187</v>
      </c>
      <c r="B1188" s="1" t="s">
        <v>33</v>
      </c>
      <c r="C1188" s="1" t="s">
        <v>25</v>
      </c>
      <c r="D1188" s="1" t="s">
        <v>26</v>
      </c>
      <c r="E1188" s="1" t="s">
        <v>36</v>
      </c>
      <c r="F1188" s="1" t="s">
        <v>28</v>
      </c>
      <c r="G1188" s="1">
        <v>1</v>
      </c>
      <c r="H1188" s="1" t="s">
        <v>37</v>
      </c>
      <c r="I1188" s="1" t="s">
        <v>42</v>
      </c>
      <c r="J1188" s="1" t="s">
        <v>39</v>
      </c>
      <c r="K1188" s="1" t="s">
        <v>33</v>
      </c>
      <c r="L1188" s="1">
        <v>35</v>
      </c>
      <c r="M1188" s="1">
        <v>7</v>
      </c>
      <c r="N1188" s="1" t="s">
        <v>32</v>
      </c>
      <c r="O1188" s="1">
        <v>3</v>
      </c>
      <c r="P1188" s="1">
        <v>1</v>
      </c>
      <c r="Q1188" s="1">
        <v>4</v>
      </c>
      <c r="R1188" s="1">
        <v>2690</v>
      </c>
      <c r="S1188" s="1">
        <v>1</v>
      </c>
      <c r="T1188" s="1">
        <v>2</v>
      </c>
      <c r="U1188" s="1">
        <v>1</v>
      </c>
      <c r="V1188" s="1">
        <v>0</v>
      </c>
      <c r="W1188" s="1">
        <v>0</v>
      </c>
      <c r="X1188" s="1">
        <v>1</v>
      </c>
    </row>
    <row r="1189" spans="1:24">
      <c r="A1189" s="1">
        <v>1188</v>
      </c>
      <c r="B1189" s="1" t="s">
        <v>33</v>
      </c>
      <c r="C1189" s="1" t="s">
        <v>25</v>
      </c>
      <c r="D1189" s="1" t="s">
        <v>26</v>
      </c>
      <c r="E1189" s="1" t="s">
        <v>36</v>
      </c>
      <c r="F1189" s="1" t="s">
        <v>45</v>
      </c>
      <c r="G1189" s="1">
        <v>1</v>
      </c>
      <c r="H1189" s="1" t="s">
        <v>37</v>
      </c>
      <c r="I1189" s="1" t="s">
        <v>55</v>
      </c>
      <c r="J1189" s="1" t="s">
        <v>39</v>
      </c>
      <c r="K1189" s="1" t="s">
        <v>33</v>
      </c>
      <c r="L1189" s="1">
        <v>42</v>
      </c>
      <c r="M1189" s="1">
        <v>6</v>
      </c>
      <c r="N1189" s="1" t="s">
        <v>47</v>
      </c>
      <c r="O1189" s="1">
        <v>3</v>
      </c>
      <c r="P1189" s="1">
        <v>3</v>
      </c>
      <c r="Q1189" s="1">
        <v>1</v>
      </c>
      <c r="R1189" s="1">
        <v>13348</v>
      </c>
      <c r="S1189" s="1">
        <v>18</v>
      </c>
      <c r="T1189" s="1">
        <v>4</v>
      </c>
      <c r="U1189" s="1">
        <v>13</v>
      </c>
      <c r="V1189" s="1">
        <v>7</v>
      </c>
      <c r="W1189" s="1">
        <v>5</v>
      </c>
      <c r="X1189" s="1">
        <v>7</v>
      </c>
    </row>
    <row r="1190" spans="1:24">
      <c r="A1190" s="1">
        <v>1189</v>
      </c>
      <c r="B1190" s="1" t="s">
        <v>33</v>
      </c>
      <c r="C1190" s="1" t="s">
        <v>25</v>
      </c>
      <c r="D1190" s="1" t="s">
        <v>43</v>
      </c>
      <c r="E1190" s="1" t="s">
        <v>36</v>
      </c>
      <c r="F1190" s="1" t="s">
        <v>28</v>
      </c>
      <c r="G1190" s="1">
        <v>1</v>
      </c>
      <c r="H1190" s="1" t="s">
        <v>37</v>
      </c>
      <c r="I1190" s="1" t="s">
        <v>38</v>
      </c>
      <c r="J1190" s="1" t="s">
        <v>39</v>
      </c>
      <c r="K1190" s="1" t="s">
        <v>33</v>
      </c>
      <c r="L1190" s="1">
        <v>28</v>
      </c>
      <c r="M1190" s="1">
        <v>1</v>
      </c>
      <c r="N1190" s="1" t="s">
        <v>47</v>
      </c>
      <c r="O1190" s="1">
        <v>3</v>
      </c>
      <c r="P1190" s="1">
        <v>1</v>
      </c>
      <c r="Q1190" s="1">
        <v>4</v>
      </c>
      <c r="R1190" s="1">
        <v>2044</v>
      </c>
      <c r="S1190" s="1">
        <v>5</v>
      </c>
      <c r="T1190" s="1">
        <v>4</v>
      </c>
      <c r="U1190" s="1">
        <v>5</v>
      </c>
      <c r="V1190" s="1">
        <v>3</v>
      </c>
      <c r="W1190" s="1">
        <v>0</v>
      </c>
      <c r="X1190" s="1">
        <v>3</v>
      </c>
    </row>
    <row r="1191" spans="1:24">
      <c r="A1191" s="1">
        <v>1190</v>
      </c>
      <c r="B1191" s="1" t="s">
        <v>33</v>
      </c>
      <c r="C1191" s="1" t="s">
        <v>25</v>
      </c>
      <c r="D1191" s="1" t="s">
        <v>43</v>
      </c>
      <c r="E1191" s="1" t="s">
        <v>36</v>
      </c>
      <c r="F1191" s="1" t="s">
        <v>28</v>
      </c>
      <c r="G1191" s="1">
        <v>1</v>
      </c>
      <c r="H1191" s="1" t="s">
        <v>37</v>
      </c>
      <c r="I1191" s="1" t="s">
        <v>50</v>
      </c>
      <c r="J1191" s="1" t="s">
        <v>39</v>
      </c>
      <c r="K1191" s="1" t="s">
        <v>33</v>
      </c>
      <c r="L1191" s="1">
        <v>30</v>
      </c>
      <c r="M1191" s="1">
        <v>16</v>
      </c>
      <c r="N1191" s="1" t="s">
        <v>47</v>
      </c>
      <c r="O1191" s="1">
        <v>3</v>
      </c>
      <c r="P1191" s="1">
        <v>2</v>
      </c>
      <c r="Q1191" s="1">
        <v>3</v>
      </c>
      <c r="R1191" s="1">
        <v>5294</v>
      </c>
      <c r="S1191" s="1">
        <v>10</v>
      </c>
      <c r="T1191" s="1">
        <v>3</v>
      </c>
      <c r="U1191" s="1">
        <v>7</v>
      </c>
      <c r="V1191" s="1">
        <v>0</v>
      </c>
      <c r="W1191" s="1">
        <v>1</v>
      </c>
      <c r="X1191" s="1">
        <v>7</v>
      </c>
    </row>
    <row r="1192" spans="1:24">
      <c r="A1192" s="1">
        <v>1191</v>
      </c>
      <c r="B1192" s="1" t="s">
        <v>33</v>
      </c>
      <c r="C1192" s="1" t="s">
        <v>25</v>
      </c>
      <c r="D1192" s="1" t="s">
        <v>52</v>
      </c>
      <c r="E1192" s="1" t="s">
        <v>36</v>
      </c>
      <c r="F1192" s="1" t="s">
        <v>45</v>
      </c>
      <c r="G1192" s="1">
        <v>1</v>
      </c>
      <c r="H1192" s="1" t="s">
        <v>37</v>
      </c>
      <c r="I1192" s="1" t="s">
        <v>38</v>
      </c>
      <c r="J1192" s="1" t="s">
        <v>39</v>
      </c>
      <c r="K1192" s="1" t="s">
        <v>33</v>
      </c>
      <c r="L1192" s="1">
        <v>24</v>
      </c>
      <c r="M1192" s="1">
        <v>9</v>
      </c>
      <c r="N1192" s="1" t="s">
        <v>47</v>
      </c>
      <c r="O1192" s="1">
        <v>3</v>
      </c>
      <c r="P1192" s="1">
        <v>1</v>
      </c>
      <c r="Q1192" s="1">
        <v>3</v>
      </c>
      <c r="R1192" s="1">
        <v>4401</v>
      </c>
      <c r="S1192" s="1">
        <v>5</v>
      </c>
      <c r="T1192" s="1">
        <v>3</v>
      </c>
      <c r="U1192" s="1">
        <v>5</v>
      </c>
      <c r="V1192" s="1">
        <v>3</v>
      </c>
      <c r="W1192" s="1">
        <v>0</v>
      </c>
      <c r="X1192" s="1">
        <v>4</v>
      </c>
    </row>
    <row r="1193" spans="1:24">
      <c r="A1193" s="1">
        <v>1192</v>
      </c>
      <c r="B1193" s="1" t="s">
        <v>33</v>
      </c>
      <c r="C1193" s="1" t="s">
        <v>25</v>
      </c>
      <c r="D1193" s="1" t="s">
        <v>26</v>
      </c>
      <c r="E1193" s="1" t="s">
        <v>36</v>
      </c>
      <c r="F1193" s="1" t="s">
        <v>45</v>
      </c>
      <c r="G1193" s="1">
        <v>1</v>
      </c>
      <c r="H1193" s="1" t="s">
        <v>37</v>
      </c>
      <c r="I1193" s="1" t="s">
        <v>50</v>
      </c>
      <c r="J1193" s="1" t="s">
        <v>39</v>
      </c>
      <c r="K1193" s="1" t="s">
        <v>33</v>
      </c>
      <c r="L1193" s="1">
        <v>39</v>
      </c>
      <c r="M1193" s="1">
        <v>6</v>
      </c>
      <c r="N1193" s="1" t="s">
        <v>40</v>
      </c>
      <c r="O1193" s="1">
        <v>4</v>
      </c>
      <c r="P1193" s="1">
        <v>3</v>
      </c>
      <c r="Q1193" s="1">
        <v>1</v>
      </c>
      <c r="R1193" s="1">
        <v>9991</v>
      </c>
      <c r="S1193" s="1">
        <v>9</v>
      </c>
      <c r="T1193" s="1">
        <v>3</v>
      </c>
      <c r="U1193" s="1">
        <v>7</v>
      </c>
      <c r="V1193" s="1">
        <v>7</v>
      </c>
      <c r="W1193" s="1">
        <v>1</v>
      </c>
      <c r="X1193" s="1">
        <v>7</v>
      </c>
    </row>
    <row r="1194" spans="1:24">
      <c r="A1194" s="1">
        <v>1193</v>
      </c>
      <c r="B1194" s="1" t="s">
        <v>33</v>
      </c>
      <c r="C1194" s="1" t="s">
        <v>25</v>
      </c>
      <c r="D1194" s="1" t="s">
        <v>26</v>
      </c>
      <c r="E1194" s="1" t="s">
        <v>36</v>
      </c>
      <c r="F1194" s="1" t="s">
        <v>28</v>
      </c>
      <c r="G1194" s="1">
        <v>1</v>
      </c>
      <c r="H1194" s="1" t="s">
        <v>37</v>
      </c>
      <c r="I1194" s="1" t="s">
        <v>55</v>
      </c>
      <c r="J1194" s="1" t="s">
        <v>39</v>
      </c>
      <c r="K1194" s="1" t="s">
        <v>33</v>
      </c>
      <c r="L1194" s="1">
        <v>44</v>
      </c>
      <c r="M1194" s="1">
        <v>28</v>
      </c>
      <c r="N1194" s="1" t="s">
        <v>47</v>
      </c>
      <c r="O1194" s="1">
        <v>4</v>
      </c>
      <c r="P1194" s="1">
        <v>4</v>
      </c>
      <c r="Q1194" s="1">
        <v>1</v>
      </c>
      <c r="R1194" s="1">
        <v>16328</v>
      </c>
      <c r="S1194" s="1">
        <v>24</v>
      </c>
      <c r="T1194" s="1">
        <v>4</v>
      </c>
      <c r="U1194" s="1">
        <v>20</v>
      </c>
      <c r="V1194" s="1">
        <v>6</v>
      </c>
      <c r="W1194" s="1">
        <v>14</v>
      </c>
      <c r="X1194" s="1">
        <v>17</v>
      </c>
    </row>
    <row r="1195" spans="1:24">
      <c r="A1195" s="1">
        <v>1194</v>
      </c>
      <c r="B1195" s="1" t="s">
        <v>33</v>
      </c>
      <c r="C1195" s="1" t="s">
        <v>25</v>
      </c>
      <c r="D1195" s="1" t="s">
        <v>26</v>
      </c>
      <c r="E1195" s="1" t="s">
        <v>36</v>
      </c>
      <c r="F1195" s="1" t="s">
        <v>28</v>
      </c>
      <c r="G1195" s="1">
        <v>1</v>
      </c>
      <c r="H1195" s="1" t="s">
        <v>37</v>
      </c>
      <c r="I1195" s="1" t="s">
        <v>49</v>
      </c>
      <c r="J1195" s="1" t="s">
        <v>39</v>
      </c>
      <c r="K1195" s="1" t="s">
        <v>33</v>
      </c>
      <c r="L1195" s="1">
        <v>35</v>
      </c>
      <c r="M1195" s="1">
        <v>27</v>
      </c>
      <c r="N1195" s="1" t="s">
        <v>44</v>
      </c>
      <c r="O1195" s="1">
        <v>4</v>
      </c>
      <c r="P1195" s="1">
        <v>2</v>
      </c>
      <c r="Q1195" s="1">
        <v>3</v>
      </c>
      <c r="R1195" s="1">
        <v>6883</v>
      </c>
      <c r="S1195" s="1">
        <v>17</v>
      </c>
      <c r="T1195" s="1">
        <v>3</v>
      </c>
      <c r="U1195" s="1">
        <v>7</v>
      </c>
      <c r="V1195" s="1">
        <v>7</v>
      </c>
      <c r="W1195" s="1">
        <v>0</v>
      </c>
      <c r="X1195" s="1">
        <v>7</v>
      </c>
    </row>
    <row r="1196" spans="1:24">
      <c r="A1196" s="1">
        <v>1195</v>
      </c>
      <c r="B1196" s="1" t="s">
        <v>33</v>
      </c>
      <c r="C1196" s="1" t="s">
        <v>25</v>
      </c>
      <c r="D1196" s="1" t="s">
        <v>43</v>
      </c>
      <c r="E1196" s="1" t="s">
        <v>36</v>
      </c>
      <c r="F1196" s="1" t="s">
        <v>28</v>
      </c>
      <c r="G1196" s="1">
        <v>1</v>
      </c>
      <c r="H1196" s="1" t="s">
        <v>37</v>
      </c>
      <c r="I1196" s="1" t="s">
        <v>38</v>
      </c>
      <c r="J1196" s="1" t="s">
        <v>39</v>
      </c>
      <c r="K1196" s="1" t="s">
        <v>33</v>
      </c>
      <c r="L1196" s="1">
        <v>33</v>
      </c>
      <c r="M1196" s="1">
        <v>8</v>
      </c>
      <c r="N1196" s="1" t="s">
        <v>44</v>
      </c>
      <c r="O1196" s="1">
        <v>4</v>
      </c>
      <c r="P1196" s="1">
        <v>1</v>
      </c>
      <c r="Q1196" s="1">
        <v>1</v>
      </c>
      <c r="R1196" s="1">
        <v>3143</v>
      </c>
      <c r="S1196" s="1">
        <v>14</v>
      </c>
      <c r="T1196" s="1">
        <v>3</v>
      </c>
      <c r="U1196" s="1">
        <v>10</v>
      </c>
      <c r="V1196" s="1">
        <v>8</v>
      </c>
      <c r="W1196" s="1">
        <v>7</v>
      </c>
      <c r="X1196" s="1">
        <v>6</v>
      </c>
    </row>
    <row r="1197" spans="1:24">
      <c r="A1197" s="1">
        <v>1196</v>
      </c>
      <c r="B1197" s="1" t="s">
        <v>33</v>
      </c>
      <c r="C1197" s="1" t="s">
        <v>25</v>
      </c>
      <c r="D1197" s="1" t="s">
        <v>52</v>
      </c>
      <c r="E1197" s="1" t="s">
        <v>36</v>
      </c>
      <c r="F1197" s="1" t="s">
        <v>57</v>
      </c>
      <c r="G1197" s="1">
        <v>1</v>
      </c>
      <c r="H1197" s="1" t="s">
        <v>37</v>
      </c>
      <c r="I1197" s="1" t="s">
        <v>38</v>
      </c>
      <c r="J1197" s="1" t="s">
        <v>39</v>
      </c>
      <c r="K1197" s="1" t="s">
        <v>33</v>
      </c>
      <c r="L1197" s="1">
        <v>23</v>
      </c>
      <c r="M1197" s="1">
        <v>10</v>
      </c>
      <c r="N1197" s="1" t="s">
        <v>47</v>
      </c>
      <c r="O1197" s="1">
        <v>4</v>
      </c>
      <c r="P1197" s="1">
        <v>1</v>
      </c>
      <c r="Q1197" s="1">
        <v>3</v>
      </c>
      <c r="R1197" s="1">
        <v>2073</v>
      </c>
      <c r="S1197" s="1">
        <v>4</v>
      </c>
      <c r="T1197" s="1">
        <v>3</v>
      </c>
      <c r="U1197" s="1">
        <v>2</v>
      </c>
      <c r="V1197" s="1">
        <v>2</v>
      </c>
      <c r="W1197" s="1">
        <v>2</v>
      </c>
      <c r="X1197" s="1">
        <v>2</v>
      </c>
    </row>
    <row r="1198" spans="1:24">
      <c r="A1198" s="1">
        <v>1197</v>
      </c>
      <c r="B1198" s="1" t="s">
        <v>33</v>
      </c>
      <c r="C1198" s="1" t="s">
        <v>25</v>
      </c>
      <c r="D1198" s="1" t="s">
        <v>26</v>
      </c>
      <c r="E1198" s="1" t="s">
        <v>36</v>
      </c>
      <c r="F1198" s="1" t="s">
        <v>28</v>
      </c>
      <c r="G1198" s="1">
        <v>1</v>
      </c>
      <c r="H1198" s="1" t="s">
        <v>37</v>
      </c>
      <c r="I1198" s="1" t="s">
        <v>50</v>
      </c>
      <c r="J1198" s="1" t="s">
        <v>39</v>
      </c>
      <c r="K1198" s="1" t="s">
        <v>33</v>
      </c>
      <c r="L1198" s="1">
        <v>36</v>
      </c>
      <c r="M1198" s="1">
        <v>26</v>
      </c>
      <c r="N1198" s="1" t="s">
        <v>44</v>
      </c>
      <c r="O1198" s="1">
        <v>1</v>
      </c>
      <c r="P1198" s="1">
        <v>2</v>
      </c>
      <c r="Q1198" s="1">
        <v>3</v>
      </c>
      <c r="R1198" s="1">
        <v>5347</v>
      </c>
      <c r="S1198" s="1">
        <v>10</v>
      </c>
      <c r="T1198" s="1">
        <v>2</v>
      </c>
      <c r="U1198" s="1">
        <v>3</v>
      </c>
      <c r="V1198" s="1">
        <v>2</v>
      </c>
      <c r="W1198" s="1">
        <v>0</v>
      </c>
      <c r="X1198" s="1">
        <v>2</v>
      </c>
    </row>
    <row r="1199" spans="1:24">
      <c r="A1199" s="1">
        <v>1198</v>
      </c>
      <c r="B1199" s="1" t="s">
        <v>33</v>
      </c>
      <c r="C1199" s="1" t="s">
        <v>25</v>
      </c>
      <c r="D1199" s="1" t="s">
        <v>26</v>
      </c>
      <c r="E1199" s="1" t="s">
        <v>36</v>
      </c>
      <c r="F1199" s="1" t="s">
        <v>28</v>
      </c>
      <c r="G1199" s="1">
        <v>1</v>
      </c>
      <c r="H1199" s="1" t="s">
        <v>37</v>
      </c>
      <c r="I1199" s="1" t="s">
        <v>42</v>
      </c>
      <c r="J1199" s="1" t="s">
        <v>39</v>
      </c>
      <c r="K1199" s="1" t="s">
        <v>33</v>
      </c>
      <c r="L1199" s="1">
        <v>40</v>
      </c>
      <c r="M1199" s="1">
        <v>1</v>
      </c>
      <c r="N1199" s="1" t="s">
        <v>44</v>
      </c>
      <c r="O1199" s="1">
        <v>1</v>
      </c>
      <c r="P1199" s="1">
        <v>1</v>
      </c>
      <c r="Q1199" s="1">
        <v>4</v>
      </c>
      <c r="R1199" s="1">
        <v>2406</v>
      </c>
      <c r="S1199" s="1">
        <v>8</v>
      </c>
      <c r="T1199" s="1">
        <v>2</v>
      </c>
      <c r="U1199" s="1">
        <v>1</v>
      </c>
      <c r="V1199" s="1">
        <v>0</v>
      </c>
      <c r="W1199" s="1">
        <v>0</v>
      </c>
      <c r="X1199" s="1">
        <v>0</v>
      </c>
    </row>
    <row r="1200" spans="1:24">
      <c r="A1200" s="1">
        <v>1199</v>
      </c>
      <c r="B1200" s="1" t="s">
        <v>33</v>
      </c>
      <c r="C1200" s="1" t="s">
        <v>25</v>
      </c>
      <c r="D1200" s="1" t="s">
        <v>26</v>
      </c>
      <c r="E1200" s="1" t="s">
        <v>36</v>
      </c>
      <c r="F1200" s="1" t="s">
        <v>45</v>
      </c>
      <c r="G1200" s="1">
        <v>1</v>
      </c>
      <c r="H1200" s="1" t="s">
        <v>37</v>
      </c>
      <c r="I1200" s="1" t="s">
        <v>50</v>
      </c>
      <c r="J1200" s="1" t="s">
        <v>39</v>
      </c>
      <c r="K1200" s="1" t="s">
        <v>33</v>
      </c>
      <c r="L1200" s="1">
        <v>42</v>
      </c>
      <c r="M1200" s="1">
        <v>13</v>
      </c>
      <c r="N1200" s="1" t="s">
        <v>47</v>
      </c>
      <c r="O1200" s="1">
        <v>2</v>
      </c>
      <c r="P1200" s="1">
        <v>2</v>
      </c>
      <c r="Q1200" s="1">
        <v>1</v>
      </c>
      <c r="R1200" s="1">
        <v>5538</v>
      </c>
      <c r="S1200" s="1">
        <v>10</v>
      </c>
      <c r="T1200" s="1">
        <v>2</v>
      </c>
      <c r="U1200" s="1">
        <v>0</v>
      </c>
      <c r="V1200" s="1">
        <v>0</v>
      </c>
      <c r="W1200" s="1">
        <v>0</v>
      </c>
      <c r="X1200" s="1">
        <v>0</v>
      </c>
    </row>
    <row r="1201" spans="1:24">
      <c r="A1201" s="1">
        <v>1200</v>
      </c>
      <c r="B1201" s="1" t="s">
        <v>33</v>
      </c>
      <c r="C1201" s="1" t="s">
        <v>25</v>
      </c>
      <c r="D1201" s="1" t="s">
        <v>26</v>
      </c>
      <c r="E1201" s="1" t="s">
        <v>36</v>
      </c>
      <c r="F1201" s="1" t="s">
        <v>28</v>
      </c>
      <c r="G1201" s="1">
        <v>1</v>
      </c>
      <c r="H1201" s="1" t="s">
        <v>37</v>
      </c>
      <c r="I1201" s="1" t="s">
        <v>42</v>
      </c>
      <c r="J1201" s="1" t="s">
        <v>39</v>
      </c>
      <c r="K1201" s="1" t="s">
        <v>33</v>
      </c>
      <c r="L1201" s="1">
        <v>35</v>
      </c>
      <c r="M1201" s="1">
        <v>28</v>
      </c>
      <c r="N1201" s="1" t="s">
        <v>47</v>
      </c>
      <c r="O1201" s="1">
        <v>2</v>
      </c>
      <c r="P1201" s="1">
        <v>2</v>
      </c>
      <c r="Q1201" s="1">
        <v>3</v>
      </c>
      <c r="R1201" s="1">
        <v>3407</v>
      </c>
      <c r="S1201" s="1">
        <v>10</v>
      </c>
      <c r="T1201" s="1">
        <v>2</v>
      </c>
      <c r="U1201" s="1">
        <v>10</v>
      </c>
      <c r="V1201" s="1">
        <v>9</v>
      </c>
      <c r="W1201" s="1">
        <v>6</v>
      </c>
      <c r="X1201" s="1">
        <v>8</v>
      </c>
    </row>
    <row r="1202" spans="1:24">
      <c r="A1202" s="1">
        <v>1201</v>
      </c>
      <c r="B1202" s="1" t="s">
        <v>33</v>
      </c>
      <c r="C1202" s="1" t="s">
        <v>25</v>
      </c>
      <c r="D1202" s="1" t="s">
        <v>43</v>
      </c>
      <c r="E1202" s="1" t="s">
        <v>36</v>
      </c>
      <c r="F1202" s="1" t="s">
        <v>28</v>
      </c>
      <c r="G1202" s="1">
        <v>1</v>
      </c>
      <c r="H1202" s="1" t="s">
        <v>37</v>
      </c>
      <c r="I1202" s="1" t="s">
        <v>49</v>
      </c>
      <c r="J1202" s="1" t="s">
        <v>39</v>
      </c>
      <c r="K1202" s="1" t="s">
        <v>33</v>
      </c>
      <c r="L1202" s="1">
        <v>28</v>
      </c>
      <c r="M1202" s="1">
        <v>29</v>
      </c>
      <c r="N1202" s="1" t="s">
        <v>40</v>
      </c>
      <c r="O1202" s="1">
        <v>3</v>
      </c>
      <c r="P1202" s="1">
        <v>2</v>
      </c>
      <c r="Q1202" s="1">
        <v>2</v>
      </c>
      <c r="R1202" s="1">
        <v>6549</v>
      </c>
      <c r="S1202" s="1">
        <v>8</v>
      </c>
      <c r="T1202" s="1">
        <v>2</v>
      </c>
      <c r="U1202" s="1">
        <v>8</v>
      </c>
      <c r="V1202" s="1">
        <v>6</v>
      </c>
      <c r="W1202" s="1">
        <v>1</v>
      </c>
      <c r="X1202" s="1">
        <v>7</v>
      </c>
    </row>
    <row r="1203" spans="1:24">
      <c r="A1203" s="1">
        <v>1202</v>
      </c>
      <c r="B1203" s="1" t="s">
        <v>33</v>
      </c>
      <c r="C1203" s="1" t="s">
        <v>25</v>
      </c>
      <c r="D1203" s="1" t="s">
        <v>43</v>
      </c>
      <c r="E1203" s="1" t="s">
        <v>36</v>
      </c>
      <c r="F1203" s="1" t="s">
        <v>28</v>
      </c>
      <c r="G1203" s="1">
        <v>1</v>
      </c>
      <c r="H1203" s="1" t="s">
        <v>37</v>
      </c>
      <c r="I1203" s="1" t="s">
        <v>38</v>
      </c>
      <c r="J1203" s="1" t="s">
        <v>39</v>
      </c>
      <c r="K1203" s="1" t="s">
        <v>33</v>
      </c>
      <c r="L1203" s="1">
        <v>29</v>
      </c>
      <c r="M1203" s="1">
        <v>9</v>
      </c>
      <c r="N1203" s="1" t="s">
        <v>47</v>
      </c>
      <c r="O1203" s="1">
        <v>3</v>
      </c>
      <c r="P1203" s="1">
        <v>1</v>
      </c>
      <c r="Q1203" s="1">
        <v>3</v>
      </c>
      <c r="R1203" s="1">
        <v>2451</v>
      </c>
      <c r="S1203" s="1">
        <v>5</v>
      </c>
      <c r="T1203" s="1">
        <v>2</v>
      </c>
      <c r="U1203" s="1">
        <v>1</v>
      </c>
      <c r="V1203" s="1">
        <v>0</v>
      </c>
      <c r="W1203" s="1">
        <v>0</v>
      </c>
      <c r="X1203" s="1">
        <v>0</v>
      </c>
    </row>
    <row r="1204" spans="1:24">
      <c r="A1204" s="1">
        <v>1203</v>
      </c>
      <c r="B1204" s="1" t="s">
        <v>33</v>
      </c>
      <c r="C1204" s="1" t="s">
        <v>25</v>
      </c>
      <c r="D1204" s="1" t="s">
        <v>26</v>
      </c>
      <c r="E1204" s="1" t="s">
        <v>36</v>
      </c>
      <c r="F1204" s="1" t="s">
        <v>45</v>
      </c>
      <c r="G1204" s="1">
        <v>1</v>
      </c>
      <c r="H1204" s="1" t="s">
        <v>37</v>
      </c>
      <c r="I1204" s="1" t="s">
        <v>49</v>
      </c>
      <c r="J1204" s="1" t="s">
        <v>39</v>
      </c>
      <c r="K1204" s="1" t="s">
        <v>33</v>
      </c>
      <c r="L1204" s="1">
        <v>39</v>
      </c>
      <c r="M1204" s="1">
        <v>10</v>
      </c>
      <c r="N1204" s="1" t="s">
        <v>58</v>
      </c>
      <c r="O1204" s="1">
        <v>2</v>
      </c>
      <c r="P1204" s="1">
        <v>2</v>
      </c>
      <c r="Q1204" s="1">
        <v>1</v>
      </c>
      <c r="R1204" s="1">
        <v>5377</v>
      </c>
      <c r="S1204" s="1">
        <v>10</v>
      </c>
      <c r="T1204" s="1">
        <v>3</v>
      </c>
      <c r="U1204" s="1">
        <v>7</v>
      </c>
      <c r="V1204" s="1">
        <v>7</v>
      </c>
      <c r="W1204" s="1">
        <v>7</v>
      </c>
      <c r="X1204" s="1">
        <v>7</v>
      </c>
    </row>
    <row r="1205" spans="1:24">
      <c r="A1205" s="1">
        <v>1204</v>
      </c>
      <c r="B1205" s="1" t="s">
        <v>33</v>
      </c>
      <c r="C1205" s="1" t="s">
        <v>25</v>
      </c>
      <c r="D1205" s="1" t="s">
        <v>43</v>
      </c>
      <c r="E1205" s="1" t="s">
        <v>36</v>
      </c>
      <c r="F1205" s="1" t="s">
        <v>45</v>
      </c>
      <c r="G1205" s="1">
        <v>1</v>
      </c>
      <c r="H1205" s="1" t="s">
        <v>37</v>
      </c>
      <c r="I1205" s="1" t="s">
        <v>42</v>
      </c>
      <c r="J1205" s="1" t="s">
        <v>39</v>
      </c>
      <c r="K1205" s="1" t="s">
        <v>33</v>
      </c>
      <c r="L1205" s="1">
        <v>33</v>
      </c>
      <c r="M1205" s="1">
        <v>21</v>
      </c>
      <c r="N1205" s="1" t="s">
        <v>47</v>
      </c>
      <c r="O1205" s="1">
        <v>2</v>
      </c>
      <c r="P1205" s="1">
        <v>1</v>
      </c>
      <c r="Q1205" s="1">
        <v>2</v>
      </c>
      <c r="R1205" s="1">
        <v>2028</v>
      </c>
      <c r="S1205" s="1">
        <v>14</v>
      </c>
      <c r="T1205" s="1">
        <v>3</v>
      </c>
      <c r="U1205" s="1">
        <v>14</v>
      </c>
      <c r="V1205" s="1">
        <v>11</v>
      </c>
      <c r="W1205" s="1">
        <v>2</v>
      </c>
      <c r="X1205" s="1">
        <v>13</v>
      </c>
    </row>
    <row r="1206" spans="1:24">
      <c r="A1206" s="1">
        <v>1205</v>
      </c>
      <c r="B1206" s="1" t="s">
        <v>33</v>
      </c>
      <c r="C1206" s="1" t="s">
        <v>25</v>
      </c>
      <c r="D1206" s="1" t="s">
        <v>46</v>
      </c>
      <c r="E1206" s="1" t="s">
        <v>36</v>
      </c>
      <c r="F1206" s="1" t="s">
        <v>45</v>
      </c>
      <c r="G1206" s="1">
        <v>1</v>
      </c>
      <c r="H1206" s="1" t="s">
        <v>37</v>
      </c>
      <c r="I1206" s="1" t="s">
        <v>55</v>
      </c>
      <c r="J1206" s="1" t="s">
        <v>39</v>
      </c>
      <c r="K1206" s="1" t="s">
        <v>33</v>
      </c>
      <c r="L1206" s="1">
        <v>55</v>
      </c>
      <c r="M1206" s="1">
        <v>2</v>
      </c>
      <c r="N1206" s="1" t="s">
        <v>47</v>
      </c>
      <c r="O1206" s="1">
        <v>3</v>
      </c>
      <c r="P1206" s="1">
        <v>5</v>
      </c>
      <c r="Q1206" s="1">
        <v>1</v>
      </c>
      <c r="R1206" s="1">
        <v>19038</v>
      </c>
      <c r="S1206" s="1">
        <v>34</v>
      </c>
      <c r="T1206" s="1">
        <v>3</v>
      </c>
      <c r="U1206" s="1">
        <v>1</v>
      </c>
      <c r="V1206" s="1">
        <v>0</v>
      </c>
      <c r="W1206" s="1">
        <v>0</v>
      </c>
      <c r="X1206" s="1">
        <v>0</v>
      </c>
    </row>
    <row r="1207" spans="1:24">
      <c r="A1207" s="1">
        <v>1206</v>
      </c>
      <c r="B1207" s="1" t="s">
        <v>33</v>
      </c>
      <c r="C1207" s="1" t="s">
        <v>25</v>
      </c>
      <c r="D1207" s="1" t="s">
        <v>26</v>
      </c>
      <c r="E1207" s="1" t="s">
        <v>36</v>
      </c>
      <c r="F1207" s="1" t="s">
        <v>28</v>
      </c>
      <c r="G1207" s="1">
        <v>1</v>
      </c>
      <c r="H1207" s="1" t="s">
        <v>37</v>
      </c>
      <c r="I1207" s="1" t="s">
        <v>49</v>
      </c>
      <c r="J1207" s="1" t="s">
        <v>39</v>
      </c>
      <c r="K1207" s="1" t="s">
        <v>33</v>
      </c>
      <c r="L1207" s="1">
        <v>37</v>
      </c>
      <c r="M1207" s="1">
        <v>19</v>
      </c>
      <c r="N1207" s="1" t="s">
        <v>47</v>
      </c>
      <c r="O1207" s="1">
        <v>3</v>
      </c>
      <c r="P1207" s="1">
        <v>2</v>
      </c>
      <c r="Q1207" s="1">
        <v>3</v>
      </c>
      <c r="R1207" s="1">
        <v>5768</v>
      </c>
      <c r="S1207" s="1">
        <v>9</v>
      </c>
      <c r="T1207" s="1">
        <v>2</v>
      </c>
      <c r="U1207" s="1">
        <v>4</v>
      </c>
      <c r="V1207" s="1">
        <v>3</v>
      </c>
      <c r="W1207" s="1">
        <v>0</v>
      </c>
      <c r="X1207" s="1">
        <v>2</v>
      </c>
    </row>
    <row r="1208" spans="1:24">
      <c r="A1208" s="1">
        <v>1207</v>
      </c>
      <c r="B1208" s="1" t="s">
        <v>33</v>
      </c>
      <c r="C1208" s="1" t="s">
        <v>25</v>
      </c>
      <c r="D1208" s="1" t="s">
        <v>43</v>
      </c>
      <c r="E1208" s="1" t="s">
        <v>36</v>
      </c>
      <c r="F1208" s="1" t="s">
        <v>45</v>
      </c>
      <c r="G1208" s="1">
        <v>1</v>
      </c>
      <c r="H1208" s="1" t="s">
        <v>37</v>
      </c>
      <c r="I1208" s="1" t="s">
        <v>42</v>
      </c>
      <c r="J1208" s="1" t="s">
        <v>39</v>
      </c>
      <c r="K1208" s="1" t="s">
        <v>33</v>
      </c>
      <c r="L1208" s="1">
        <v>26</v>
      </c>
      <c r="M1208" s="1">
        <v>17</v>
      </c>
      <c r="N1208" s="1" t="s">
        <v>44</v>
      </c>
      <c r="O1208" s="1">
        <v>4</v>
      </c>
      <c r="P1208" s="1">
        <v>1</v>
      </c>
      <c r="Q1208" s="1">
        <v>3</v>
      </c>
      <c r="R1208" s="1">
        <v>2305</v>
      </c>
      <c r="S1208" s="1">
        <v>3</v>
      </c>
      <c r="T1208" s="1">
        <v>4</v>
      </c>
      <c r="U1208" s="1">
        <v>3</v>
      </c>
      <c r="V1208" s="1">
        <v>2</v>
      </c>
      <c r="W1208" s="1">
        <v>0</v>
      </c>
      <c r="X1208" s="1">
        <v>2</v>
      </c>
    </row>
    <row r="1209" spans="1:24">
      <c r="A1209" s="1">
        <v>1208</v>
      </c>
      <c r="B1209" s="1" t="s">
        <v>33</v>
      </c>
      <c r="C1209" s="1" t="s">
        <v>25</v>
      </c>
      <c r="D1209" s="1" t="s">
        <v>26</v>
      </c>
      <c r="E1209" s="1" t="s">
        <v>36</v>
      </c>
      <c r="F1209" s="1" t="s">
        <v>28</v>
      </c>
      <c r="G1209" s="1">
        <v>1</v>
      </c>
      <c r="H1209" s="1" t="s">
        <v>37</v>
      </c>
      <c r="I1209" s="1" t="s">
        <v>42</v>
      </c>
      <c r="J1209" s="1" t="s">
        <v>31</v>
      </c>
      <c r="K1209" s="1" t="s">
        <v>33</v>
      </c>
      <c r="L1209" s="1">
        <v>36</v>
      </c>
      <c r="M1209" s="1">
        <v>4</v>
      </c>
      <c r="N1209" s="1" t="s">
        <v>44</v>
      </c>
      <c r="O1209" s="1">
        <v>1</v>
      </c>
      <c r="P1209" s="1">
        <v>2</v>
      </c>
      <c r="Q1209" s="1">
        <v>4</v>
      </c>
      <c r="R1209" s="1">
        <v>5810</v>
      </c>
      <c r="S1209" s="1">
        <v>10</v>
      </c>
      <c r="T1209" s="1">
        <v>2</v>
      </c>
      <c r="U1209" s="1">
        <v>10</v>
      </c>
      <c r="V1209" s="1">
        <v>4</v>
      </c>
      <c r="W1209" s="1">
        <v>1</v>
      </c>
      <c r="X1209" s="1">
        <v>8</v>
      </c>
    </row>
    <row r="1210" spans="1:24">
      <c r="A1210" s="1">
        <v>1209</v>
      </c>
      <c r="B1210" s="1" t="s">
        <v>33</v>
      </c>
      <c r="C1210" s="1" t="s">
        <v>25</v>
      </c>
      <c r="D1210" s="1" t="s">
        <v>26</v>
      </c>
      <c r="E1210" s="1" t="s">
        <v>36</v>
      </c>
      <c r="F1210" s="1" t="s">
        <v>28</v>
      </c>
      <c r="G1210" s="1">
        <v>1</v>
      </c>
      <c r="H1210" s="1" t="s">
        <v>37</v>
      </c>
      <c r="I1210" s="1" t="s">
        <v>42</v>
      </c>
      <c r="J1210" s="1" t="s">
        <v>31</v>
      </c>
      <c r="K1210" s="1" t="s">
        <v>33</v>
      </c>
      <c r="L1210" s="1">
        <v>36</v>
      </c>
      <c r="M1210" s="1">
        <v>7</v>
      </c>
      <c r="N1210" s="1" t="s">
        <v>47</v>
      </c>
      <c r="O1210" s="1">
        <v>1</v>
      </c>
      <c r="P1210" s="1">
        <v>1</v>
      </c>
      <c r="Q1210" s="1">
        <v>2</v>
      </c>
      <c r="R1210" s="1">
        <v>2013</v>
      </c>
      <c r="S1210" s="1">
        <v>15</v>
      </c>
      <c r="T1210" s="1">
        <v>3</v>
      </c>
      <c r="U1210" s="1">
        <v>4</v>
      </c>
      <c r="V1210" s="1">
        <v>3</v>
      </c>
      <c r="W1210" s="1">
        <v>1</v>
      </c>
      <c r="X1210" s="1">
        <v>3</v>
      </c>
    </row>
    <row r="1211" spans="1:24">
      <c r="A1211" s="1">
        <v>1210</v>
      </c>
      <c r="B1211" s="1" t="s">
        <v>33</v>
      </c>
      <c r="C1211" s="1" t="s">
        <v>25</v>
      </c>
      <c r="D1211" s="1" t="s">
        <v>52</v>
      </c>
      <c r="E1211" s="1" t="s">
        <v>36</v>
      </c>
      <c r="F1211" s="1" t="s">
        <v>28</v>
      </c>
      <c r="G1211" s="1">
        <v>1</v>
      </c>
      <c r="H1211" s="1" t="s">
        <v>37</v>
      </c>
      <c r="I1211" s="1" t="s">
        <v>42</v>
      </c>
      <c r="J1211" s="1" t="s">
        <v>31</v>
      </c>
      <c r="K1211" s="1" t="s">
        <v>33</v>
      </c>
      <c r="L1211" s="1">
        <v>23</v>
      </c>
      <c r="M1211" s="1">
        <v>20</v>
      </c>
      <c r="N1211" s="1" t="s">
        <v>40</v>
      </c>
      <c r="O1211" s="1">
        <v>1</v>
      </c>
      <c r="P1211" s="1">
        <v>2</v>
      </c>
      <c r="Q1211" s="1">
        <v>3</v>
      </c>
      <c r="R1211" s="1">
        <v>2272</v>
      </c>
      <c r="S1211" s="1">
        <v>5</v>
      </c>
      <c r="T1211" s="1">
        <v>3</v>
      </c>
      <c r="U1211" s="1">
        <v>4</v>
      </c>
      <c r="V1211" s="1">
        <v>3</v>
      </c>
      <c r="W1211" s="1">
        <v>1</v>
      </c>
      <c r="X1211" s="1">
        <v>2</v>
      </c>
    </row>
    <row r="1212" spans="1:24">
      <c r="A1212" s="1">
        <v>1211</v>
      </c>
      <c r="B1212" s="1" t="s">
        <v>33</v>
      </c>
      <c r="C1212" s="1" t="s">
        <v>25</v>
      </c>
      <c r="D1212" s="1" t="s">
        <v>43</v>
      </c>
      <c r="E1212" s="1" t="s">
        <v>36</v>
      </c>
      <c r="F1212" s="1" t="s">
        <v>45</v>
      </c>
      <c r="G1212" s="1">
        <v>1</v>
      </c>
      <c r="H1212" s="1" t="s">
        <v>37</v>
      </c>
      <c r="I1212" s="1" t="s">
        <v>38</v>
      </c>
      <c r="J1212" s="1" t="s">
        <v>31</v>
      </c>
      <c r="K1212" s="1" t="s">
        <v>33</v>
      </c>
      <c r="L1212" s="1">
        <v>34</v>
      </c>
      <c r="M1212" s="1">
        <v>7</v>
      </c>
      <c r="N1212" s="1" t="s">
        <v>44</v>
      </c>
      <c r="O1212" s="1">
        <v>1</v>
      </c>
      <c r="P1212" s="1">
        <v>1</v>
      </c>
      <c r="Q1212" s="1">
        <v>4</v>
      </c>
      <c r="R1212" s="1">
        <v>2972</v>
      </c>
      <c r="S1212" s="1">
        <v>1</v>
      </c>
      <c r="T1212" s="1">
        <v>1</v>
      </c>
      <c r="U1212" s="1">
        <v>1</v>
      </c>
      <c r="V1212" s="1">
        <v>0</v>
      </c>
      <c r="W1212" s="1">
        <v>0</v>
      </c>
      <c r="X1212" s="1">
        <v>0</v>
      </c>
    </row>
    <row r="1213" spans="1:24">
      <c r="A1213" s="1">
        <v>1212</v>
      </c>
      <c r="B1213" s="1" t="s">
        <v>33</v>
      </c>
      <c r="C1213" s="1" t="s">
        <v>25</v>
      </c>
      <c r="D1213" s="1" t="s">
        <v>26</v>
      </c>
      <c r="E1213" s="1" t="s">
        <v>36</v>
      </c>
      <c r="F1213" s="1" t="s">
        <v>28</v>
      </c>
      <c r="G1213" s="1">
        <v>1</v>
      </c>
      <c r="H1213" s="1" t="s">
        <v>37</v>
      </c>
      <c r="I1213" s="1" t="s">
        <v>38</v>
      </c>
      <c r="J1213" s="1" t="s">
        <v>31</v>
      </c>
      <c r="K1213" s="1" t="s">
        <v>33</v>
      </c>
      <c r="L1213" s="1">
        <v>39</v>
      </c>
      <c r="M1213" s="1">
        <v>24</v>
      </c>
      <c r="N1213" s="1" t="s">
        <v>40</v>
      </c>
      <c r="O1213" s="1">
        <v>1</v>
      </c>
      <c r="P1213" s="1">
        <v>2</v>
      </c>
      <c r="Q1213" s="1">
        <v>4</v>
      </c>
      <c r="R1213" s="1">
        <v>4108</v>
      </c>
      <c r="S1213" s="1">
        <v>18</v>
      </c>
      <c r="T1213" s="1">
        <v>3</v>
      </c>
      <c r="U1213" s="1">
        <v>7</v>
      </c>
      <c r="V1213" s="1">
        <v>7</v>
      </c>
      <c r="W1213" s="1">
        <v>1</v>
      </c>
      <c r="X1213" s="1">
        <v>7</v>
      </c>
    </row>
    <row r="1214" spans="1:24">
      <c r="A1214" s="1">
        <v>1213</v>
      </c>
      <c r="B1214" s="1" t="s">
        <v>33</v>
      </c>
      <c r="C1214" s="1" t="s">
        <v>25</v>
      </c>
      <c r="D1214" s="1" t="s">
        <v>52</v>
      </c>
      <c r="E1214" s="1" t="s">
        <v>36</v>
      </c>
      <c r="F1214" s="1" t="s">
        <v>28</v>
      </c>
      <c r="G1214" s="1">
        <v>1</v>
      </c>
      <c r="H1214" s="1" t="s">
        <v>37</v>
      </c>
      <c r="I1214" s="1" t="s">
        <v>50</v>
      </c>
      <c r="J1214" s="1" t="s">
        <v>31</v>
      </c>
      <c r="K1214" s="1" t="s">
        <v>33</v>
      </c>
      <c r="L1214" s="1">
        <v>24</v>
      </c>
      <c r="M1214" s="1">
        <v>1</v>
      </c>
      <c r="N1214" s="1" t="s">
        <v>32</v>
      </c>
      <c r="O1214" s="1">
        <v>2</v>
      </c>
      <c r="P1214" s="1">
        <v>2</v>
      </c>
      <c r="Q1214" s="1">
        <v>3</v>
      </c>
      <c r="R1214" s="1">
        <v>4617</v>
      </c>
      <c r="S1214" s="1">
        <v>4</v>
      </c>
      <c r="T1214" s="1">
        <v>2</v>
      </c>
      <c r="U1214" s="1">
        <v>4</v>
      </c>
      <c r="V1214" s="1">
        <v>3</v>
      </c>
      <c r="W1214" s="1">
        <v>1</v>
      </c>
      <c r="X1214" s="1">
        <v>2</v>
      </c>
    </row>
    <row r="1215" spans="1:24">
      <c r="A1215" s="1">
        <v>1214</v>
      </c>
      <c r="B1215" s="1" t="s">
        <v>33</v>
      </c>
      <c r="C1215" s="1" t="s">
        <v>25</v>
      </c>
      <c r="D1215" s="1" t="s">
        <v>26</v>
      </c>
      <c r="E1215" s="1" t="s">
        <v>36</v>
      </c>
      <c r="F1215" s="1" t="s">
        <v>45</v>
      </c>
      <c r="G1215" s="1">
        <v>1</v>
      </c>
      <c r="H1215" s="1" t="s">
        <v>37</v>
      </c>
      <c r="I1215" s="1" t="s">
        <v>38</v>
      </c>
      <c r="J1215" s="1" t="s">
        <v>31</v>
      </c>
      <c r="K1215" s="1" t="s">
        <v>33</v>
      </c>
      <c r="L1215" s="1">
        <v>35</v>
      </c>
      <c r="M1215" s="1">
        <v>9</v>
      </c>
      <c r="N1215" s="1" t="s">
        <v>44</v>
      </c>
      <c r="O1215" s="1">
        <v>2</v>
      </c>
      <c r="P1215" s="1">
        <v>2</v>
      </c>
      <c r="Q1215" s="1">
        <v>3</v>
      </c>
      <c r="R1215" s="1">
        <v>5098</v>
      </c>
      <c r="S1215" s="1">
        <v>10</v>
      </c>
      <c r="T1215" s="1">
        <v>3</v>
      </c>
      <c r="U1215" s="1">
        <v>10</v>
      </c>
      <c r="V1215" s="1">
        <v>7</v>
      </c>
      <c r="W1215" s="1">
        <v>0</v>
      </c>
      <c r="X1215" s="1">
        <v>8</v>
      </c>
    </row>
    <row r="1216" spans="1:24">
      <c r="A1216" s="1">
        <v>1215</v>
      </c>
      <c r="B1216" s="1" t="s">
        <v>33</v>
      </c>
      <c r="C1216" s="1" t="s">
        <v>25</v>
      </c>
      <c r="D1216" s="1" t="s">
        <v>26</v>
      </c>
      <c r="E1216" s="1" t="s">
        <v>36</v>
      </c>
      <c r="F1216" s="1" t="s">
        <v>28</v>
      </c>
      <c r="G1216" s="1">
        <v>1</v>
      </c>
      <c r="H1216" s="1" t="s">
        <v>37</v>
      </c>
      <c r="I1216" s="1" t="s">
        <v>50</v>
      </c>
      <c r="J1216" s="1" t="s">
        <v>31</v>
      </c>
      <c r="K1216" s="1" t="s">
        <v>33</v>
      </c>
      <c r="L1216" s="1">
        <v>41</v>
      </c>
      <c r="M1216" s="1">
        <v>5</v>
      </c>
      <c r="N1216" s="1" t="s">
        <v>47</v>
      </c>
      <c r="O1216" s="1">
        <v>2</v>
      </c>
      <c r="P1216" s="1">
        <v>2</v>
      </c>
      <c r="Q1216" s="1">
        <v>2</v>
      </c>
      <c r="R1216" s="1">
        <v>6870</v>
      </c>
      <c r="S1216" s="1">
        <v>11</v>
      </c>
      <c r="T1216" s="1">
        <v>1</v>
      </c>
      <c r="U1216" s="1">
        <v>3</v>
      </c>
      <c r="V1216" s="1">
        <v>2</v>
      </c>
      <c r="W1216" s="1">
        <v>1</v>
      </c>
      <c r="X1216" s="1">
        <v>2</v>
      </c>
    </row>
    <row r="1217" spans="1:24">
      <c r="A1217" s="1">
        <v>1216</v>
      </c>
      <c r="B1217" s="1" t="s">
        <v>33</v>
      </c>
      <c r="C1217" s="1" t="s">
        <v>25</v>
      </c>
      <c r="D1217" s="1" t="s">
        <v>26</v>
      </c>
      <c r="E1217" s="1" t="s">
        <v>36</v>
      </c>
      <c r="F1217" s="1" t="s">
        <v>28</v>
      </c>
      <c r="G1217" s="1">
        <v>1</v>
      </c>
      <c r="H1217" s="1" t="s">
        <v>37</v>
      </c>
      <c r="I1217" s="1" t="s">
        <v>38</v>
      </c>
      <c r="J1217" s="1" t="s">
        <v>31</v>
      </c>
      <c r="K1217" s="1" t="s">
        <v>33</v>
      </c>
      <c r="L1217" s="1">
        <v>40</v>
      </c>
      <c r="M1217" s="1">
        <v>2</v>
      </c>
      <c r="N1217" s="1" t="s">
        <v>44</v>
      </c>
      <c r="O1217" s="1">
        <v>3</v>
      </c>
      <c r="P1217" s="1">
        <v>1</v>
      </c>
      <c r="Q1217" s="1">
        <v>3</v>
      </c>
      <c r="R1217" s="1">
        <v>2809</v>
      </c>
      <c r="S1217" s="1">
        <v>8</v>
      </c>
      <c r="T1217" s="1">
        <v>3</v>
      </c>
      <c r="U1217" s="1">
        <v>2</v>
      </c>
      <c r="V1217" s="1">
        <v>2</v>
      </c>
      <c r="W1217" s="1">
        <v>2</v>
      </c>
      <c r="X1217" s="1">
        <v>2</v>
      </c>
    </row>
    <row r="1218" spans="1:24">
      <c r="A1218" s="1">
        <v>1217</v>
      </c>
      <c r="B1218" s="1" t="s">
        <v>33</v>
      </c>
      <c r="C1218" s="1" t="s">
        <v>25</v>
      </c>
      <c r="D1218" s="1" t="s">
        <v>43</v>
      </c>
      <c r="E1218" s="1" t="s">
        <v>36</v>
      </c>
      <c r="F1218" s="1" t="s">
        <v>45</v>
      </c>
      <c r="G1218" s="1">
        <v>1</v>
      </c>
      <c r="H1218" s="1" t="s">
        <v>37</v>
      </c>
      <c r="I1218" s="1" t="s">
        <v>42</v>
      </c>
      <c r="J1218" s="1" t="s">
        <v>31</v>
      </c>
      <c r="K1218" s="1" t="s">
        <v>33</v>
      </c>
      <c r="L1218" s="1">
        <v>26</v>
      </c>
      <c r="M1218" s="1">
        <v>1</v>
      </c>
      <c r="N1218" s="1" t="s">
        <v>47</v>
      </c>
      <c r="O1218" s="1">
        <v>3</v>
      </c>
      <c r="P1218" s="1">
        <v>1</v>
      </c>
      <c r="Q1218" s="1">
        <v>1</v>
      </c>
      <c r="R1218" s="1">
        <v>2867</v>
      </c>
      <c r="S1218" s="1">
        <v>8</v>
      </c>
      <c r="T1218" s="1">
        <v>2</v>
      </c>
      <c r="U1218" s="1">
        <v>7</v>
      </c>
      <c r="V1218" s="1">
        <v>7</v>
      </c>
      <c r="W1218" s="1">
        <v>7</v>
      </c>
      <c r="X1218" s="1">
        <v>6</v>
      </c>
    </row>
    <row r="1219" spans="1:24">
      <c r="A1219" s="1">
        <v>1218</v>
      </c>
      <c r="B1219" s="1" t="s">
        <v>33</v>
      </c>
      <c r="C1219" s="1" t="s">
        <v>25</v>
      </c>
      <c r="D1219" s="1" t="s">
        <v>35</v>
      </c>
      <c r="E1219" s="1" t="s">
        <v>36</v>
      </c>
      <c r="F1219" s="1" t="s">
        <v>28</v>
      </c>
      <c r="G1219" s="1">
        <v>1</v>
      </c>
      <c r="H1219" s="1" t="s">
        <v>37</v>
      </c>
      <c r="I1219" s="1" t="s">
        <v>50</v>
      </c>
      <c r="J1219" s="1" t="s">
        <v>31</v>
      </c>
      <c r="K1219" s="1" t="s">
        <v>33</v>
      </c>
      <c r="L1219" s="1">
        <v>46</v>
      </c>
      <c r="M1219" s="1">
        <v>13</v>
      </c>
      <c r="N1219" s="1" t="s">
        <v>44</v>
      </c>
      <c r="O1219" s="1">
        <v>3</v>
      </c>
      <c r="P1219" s="1">
        <v>2</v>
      </c>
      <c r="Q1219" s="1">
        <v>2</v>
      </c>
      <c r="R1219" s="1">
        <v>5562</v>
      </c>
      <c r="S1219" s="1">
        <v>19</v>
      </c>
      <c r="T1219" s="1">
        <v>3</v>
      </c>
      <c r="U1219" s="1">
        <v>10</v>
      </c>
      <c r="V1219" s="1">
        <v>7</v>
      </c>
      <c r="W1219" s="1">
        <v>0</v>
      </c>
      <c r="X1219" s="1">
        <v>9</v>
      </c>
    </row>
    <row r="1220" spans="1:24">
      <c r="A1220" s="1">
        <v>1219</v>
      </c>
      <c r="B1220" s="1" t="s">
        <v>33</v>
      </c>
      <c r="C1220" s="1" t="s">
        <v>25</v>
      </c>
      <c r="D1220" s="1" t="s">
        <v>35</v>
      </c>
      <c r="E1220" s="1" t="s">
        <v>36</v>
      </c>
      <c r="F1220" s="1" t="s">
        <v>28</v>
      </c>
      <c r="G1220" s="1">
        <v>1</v>
      </c>
      <c r="H1220" s="1" t="s">
        <v>37</v>
      </c>
      <c r="I1220" s="1" t="s">
        <v>53</v>
      </c>
      <c r="J1220" s="1" t="s">
        <v>31</v>
      </c>
      <c r="K1220" s="1" t="s">
        <v>33</v>
      </c>
      <c r="L1220" s="1">
        <v>49</v>
      </c>
      <c r="M1220" s="1">
        <v>1</v>
      </c>
      <c r="N1220" s="1" t="s">
        <v>47</v>
      </c>
      <c r="O1220" s="1">
        <v>3</v>
      </c>
      <c r="P1220" s="1">
        <v>4</v>
      </c>
      <c r="Q1220" s="1">
        <v>3</v>
      </c>
      <c r="R1220" s="1">
        <v>15379</v>
      </c>
      <c r="S1220" s="1">
        <v>23</v>
      </c>
      <c r="T1220" s="1">
        <v>3</v>
      </c>
      <c r="U1220" s="1">
        <v>8</v>
      </c>
      <c r="V1220" s="1">
        <v>7</v>
      </c>
      <c r="W1220" s="1">
        <v>0</v>
      </c>
      <c r="X1220" s="1">
        <v>0</v>
      </c>
    </row>
    <row r="1221" spans="1:24">
      <c r="A1221" s="1">
        <v>1220</v>
      </c>
      <c r="B1221" s="1" t="s">
        <v>33</v>
      </c>
      <c r="C1221" s="1" t="s">
        <v>25</v>
      </c>
      <c r="D1221" s="1" t="s">
        <v>52</v>
      </c>
      <c r="E1221" s="1" t="s">
        <v>36</v>
      </c>
      <c r="F1221" s="1" t="s">
        <v>45</v>
      </c>
      <c r="G1221" s="1">
        <v>1</v>
      </c>
      <c r="H1221" s="1" t="s">
        <v>37</v>
      </c>
      <c r="I1221" s="1" t="s">
        <v>38</v>
      </c>
      <c r="J1221" s="1" t="s">
        <v>31</v>
      </c>
      <c r="K1221" s="1" t="s">
        <v>33</v>
      </c>
      <c r="L1221" s="1">
        <v>21</v>
      </c>
      <c r="M1221" s="1">
        <v>5</v>
      </c>
      <c r="N1221" s="1" t="s">
        <v>40</v>
      </c>
      <c r="O1221" s="1">
        <v>3</v>
      </c>
      <c r="P1221" s="1">
        <v>1</v>
      </c>
      <c r="Q1221" s="1">
        <v>4</v>
      </c>
      <c r="R1221" s="1">
        <v>3117</v>
      </c>
      <c r="S1221" s="1">
        <v>3</v>
      </c>
      <c r="T1221" s="1">
        <v>3</v>
      </c>
      <c r="U1221" s="1">
        <v>2</v>
      </c>
      <c r="V1221" s="1">
        <v>2</v>
      </c>
      <c r="W1221" s="1">
        <v>2</v>
      </c>
      <c r="X1221" s="1">
        <v>2</v>
      </c>
    </row>
    <row r="1222" spans="1:24">
      <c r="A1222" s="1">
        <v>1221</v>
      </c>
      <c r="B1222" s="1" t="s">
        <v>33</v>
      </c>
      <c r="C1222" s="1" t="s">
        <v>25</v>
      </c>
      <c r="D1222" s="1" t="s">
        <v>43</v>
      </c>
      <c r="E1222" s="1" t="s">
        <v>36</v>
      </c>
      <c r="F1222" s="1" t="s">
        <v>41</v>
      </c>
      <c r="G1222" s="1">
        <v>1</v>
      </c>
      <c r="H1222" s="1" t="s">
        <v>37</v>
      </c>
      <c r="I1222" s="1" t="s">
        <v>42</v>
      </c>
      <c r="J1222" s="1" t="s">
        <v>31</v>
      </c>
      <c r="K1222" s="1" t="s">
        <v>33</v>
      </c>
      <c r="L1222" s="1">
        <v>26</v>
      </c>
      <c r="M1222" s="1">
        <v>7</v>
      </c>
      <c r="N1222" s="1" t="s">
        <v>47</v>
      </c>
      <c r="O1222" s="1">
        <v>3</v>
      </c>
      <c r="P1222" s="1">
        <v>1</v>
      </c>
      <c r="Q1222" s="1">
        <v>1</v>
      </c>
      <c r="R1222" s="1">
        <v>3578</v>
      </c>
      <c r="S1222" s="1">
        <v>8</v>
      </c>
      <c r="T1222" s="1">
        <v>3</v>
      </c>
      <c r="U1222" s="1">
        <v>7</v>
      </c>
      <c r="V1222" s="1">
        <v>7</v>
      </c>
      <c r="W1222" s="1">
        <v>0</v>
      </c>
      <c r="X1222" s="1">
        <v>7</v>
      </c>
    </row>
    <row r="1223" spans="1:24">
      <c r="A1223" s="1">
        <v>1222</v>
      </c>
      <c r="B1223" s="1" t="s">
        <v>33</v>
      </c>
      <c r="C1223" s="1" t="s">
        <v>25</v>
      </c>
      <c r="D1223" s="1" t="s">
        <v>26</v>
      </c>
      <c r="E1223" s="1" t="s">
        <v>36</v>
      </c>
      <c r="F1223" s="1" t="s">
        <v>45</v>
      </c>
      <c r="G1223" s="1">
        <v>1</v>
      </c>
      <c r="H1223" s="1" t="s">
        <v>37</v>
      </c>
      <c r="I1223" s="1" t="s">
        <v>42</v>
      </c>
      <c r="J1223" s="1" t="s">
        <v>31</v>
      </c>
      <c r="K1223" s="1" t="s">
        <v>33</v>
      </c>
      <c r="L1223" s="1">
        <v>35</v>
      </c>
      <c r="M1223" s="1">
        <v>1</v>
      </c>
      <c r="N1223" s="1" t="s">
        <v>47</v>
      </c>
      <c r="O1223" s="1">
        <v>4</v>
      </c>
      <c r="P1223" s="1">
        <v>1</v>
      </c>
      <c r="Q1223" s="1">
        <v>1</v>
      </c>
      <c r="R1223" s="1">
        <v>2450</v>
      </c>
      <c r="S1223" s="1">
        <v>3</v>
      </c>
      <c r="T1223" s="1">
        <v>3</v>
      </c>
      <c r="U1223" s="1">
        <v>3</v>
      </c>
      <c r="V1223" s="1">
        <v>0</v>
      </c>
      <c r="W1223" s="1">
        <v>1</v>
      </c>
      <c r="X1223" s="1">
        <v>2</v>
      </c>
    </row>
    <row r="1224" spans="1:24">
      <c r="A1224" s="1">
        <v>1223</v>
      </c>
      <c r="B1224" s="1" t="s">
        <v>33</v>
      </c>
      <c r="C1224" s="1" t="s">
        <v>25</v>
      </c>
      <c r="D1224" s="1" t="s">
        <v>43</v>
      </c>
      <c r="E1224" s="1" t="s">
        <v>36</v>
      </c>
      <c r="F1224" s="1" t="s">
        <v>28</v>
      </c>
      <c r="G1224" s="1">
        <v>1</v>
      </c>
      <c r="H1224" s="1" t="s">
        <v>37</v>
      </c>
      <c r="I1224" s="1" t="s">
        <v>49</v>
      </c>
      <c r="J1224" s="1" t="s">
        <v>31</v>
      </c>
      <c r="K1224" s="1" t="s">
        <v>33</v>
      </c>
      <c r="L1224" s="1">
        <v>33</v>
      </c>
      <c r="M1224" s="1">
        <v>25</v>
      </c>
      <c r="N1224" s="1" t="s">
        <v>47</v>
      </c>
      <c r="O1224" s="1">
        <v>4</v>
      </c>
      <c r="P1224" s="1">
        <v>2</v>
      </c>
      <c r="Q1224" s="1">
        <v>2</v>
      </c>
      <c r="R1224" s="1">
        <v>4320</v>
      </c>
      <c r="S1224" s="1">
        <v>5</v>
      </c>
      <c r="T1224" s="1">
        <v>3</v>
      </c>
      <c r="U1224" s="1">
        <v>5</v>
      </c>
      <c r="V1224" s="1">
        <v>3</v>
      </c>
      <c r="W1224" s="1">
        <v>0</v>
      </c>
      <c r="X1224" s="1">
        <v>2</v>
      </c>
    </row>
    <row r="1225" spans="1:24">
      <c r="A1225" s="1">
        <v>1224</v>
      </c>
      <c r="B1225" s="1" t="s">
        <v>33</v>
      </c>
      <c r="C1225" s="1" t="s">
        <v>25</v>
      </c>
      <c r="D1225" s="1" t="s">
        <v>43</v>
      </c>
      <c r="E1225" s="1" t="s">
        <v>36</v>
      </c>
      <c r="F1225" s="1" t="s">
        <v>28</v>
      </c>
      <c r="G1225" s="1">
        <v>1</v>
      </c>
      <c r="H1225" s="1" t="s">
        <v>37</v>
      </c>
      <c r="I1225" s="1" t="s">
        <v>42</v>
      </c>
      <c r="J1225" s="1" t="s">
        <v>31</v>
      </c>
      <c r="K1225" s="1" t="s">
        <v>33</v>
      </c>
      <c r="L1225" s="1">
        <v>29</v>
      </c>
      <c r="M1225" s="1">
        <v>7</v>
      </c>
      <c r="N1225" s="1" t="s">
        <v>47</v>
      </c>
      <c r="O1225" s="1">
        <v>4</v>
      </c>
      <c r="P1225" s="1">
        <v>1</v>
      </c>
      <c r="Q1225" s="1">
        <v>1</v>
      </c>
      <c r="R1225" s="1">
        <v>2062</v>
      </c>
      <c r="S1225" s="1">
        <v>11</v>
      </c>
      <c r="T1225" s="1">
        <v>3</v>
      </c>
      <c r="U1225" s="1">
        <v>3</v>
      </c>
      <c r="V1225" s="1">
        <v>2</v>
      </c>
      <c r="W1225" s="1">
        <v>1</v>
      </c>
      <c r="X1225" s="1">
        <v>2</v>
      </c>
    </row>
    <row r="1226" spans="1:24">
      <c r="A1226" s="1">
        <v>1225</v>
      </c>
      <c r="B1226" s="1" t="s">
        <v>33</v>
      </c>
      <c r="C1226" s="1" t="s">
        <v>25</v>
      </c>
      <c r="D1226" s="1" t="s">
        <v>43</v>
      </c>
      <c r="E1226" s="1" t="s">
        <v>36</v>
      </c>
      <c r="F1226" s="1" t="s">
        <v>57</v>
      </c>
      <c r="G1226" s="1">
        <v>1</v>
      </c>
      <c r="H1226" s="1" t="s">
        <v>37</v>
      </c>
      <c r="I1226" s="1" t="s">
        <v>38</v>
      </c>
      <c r="J1226" s="1" t="s">
        <v>31</v>
      </c>
      <c r="K1226" s="1" t="s">
        <v>33</v>
      </c>
      <c r="L1226" s="1">
        <v>32</v>
      </c>
      <c r="M1226" s="1">
        <v>2</v>
      </c>
      <c r="N1226" s="1" t="s">
        <v>47</v>
      </c>
      <c r="O1226" s="1">
        <v>4</v>
      </c>
      <c r="P1226" s="1">
        <v>1</v>
      </c>
      <c r="Q1226" s="1">
        <v>1</v>
      </c>
      <c r="R1226" s="1">
        <v>2439</v>
      </c>
      <c r="S1226" s="1">
        <v>4</v>
      </c>
      <c r="T1226" s="1">
        <v>3</v>
      </c>
      <c r="U1226" s="1">
        <v>4</v>
      </c>
      <c r="V1226" s="1">
        <v>2</v>
      </c>
      <c r="W1226" s="1">
        <v>1</v>
      </c>
      <c r="X1226" s="1">
        <v>2</v>
      </c>
    </row>
    <row r="1227" spans="1:24">
      <c r="A1227" s="1">
        <v>1226</v>
      </c>
      <c r="B1227" s="1" t="s">
        <v>33</v>
      </c>
      <c r="C1227" s="1" t="s">
        <v>25</v>
      </c>
      <c r="D1227" s="1" t="s">
        <v>26</v>
      </c>
      <c r="E1227" s="1" t="s">
        <v>36</v>
      </c>
      <c r="F1227" s="1" t="s">
        <v>28</v>
      </c>
      <c r="G1227" s="1">
        <v>1</v>
      </c>
      <c r="H1227" s="1" t="s">
        <v>37</v>
      </c>
      <c r="I1227" s="1" t="s">
        <v>38</v>
      </c>
      <c r="J1227" s="1" t="s">
        <v>31</v>
      </c>
      <c r="K1227" s="1" t="s">
        <v>33</v>
      </c>
      <c r="L1227" s="1">
        <v>44</v>
      </c>
      <c r="M1227" s="1">
        <v>20</v>
      </c>
      <c r="N1227" s="1" t="s">
        <v>47</v>
      </c>
      <c r="O1227" s="1">
        <v>4</v>
      </c>
      <c r="P1227" s="1">
        <v>1</v>
      </c>
      <c r="Q1227" s="1">
        <v>2</v>
      </c>
      <c r="R1227" s="1">
        <v>3420</v>
      </c>
      <c r="S1227" s="1">
        <v>6</v>
      </c>
      <c r="T1227" s="1">
        <v>2</v>
      </c>
      <c r="U1227" s="1">
        <v>5</v>
      </c>
      <c r="V1227" s="1">
        <v>2</v>
      </c>
      <c r="W1227" s="1">
        <v>1</v>
      </c>
      <c r="X1227" s="1">
        <v>3</v>
      </c>
    </row>
    <row r="1228" spans="1:24">
      <c r="A1228" s="1">
        <v>1227</v>
      </c>
      <c r="B1228" s="1" t="s">
        <v>33</v>
      </c>
      <c r="C1228" s="1" t="s">
        <v>25</v>
      </c>
      <c r="D1228" s="1" t="s">
        <v>26</v>
      </c>
      <c r="E1228" s="1" t="s">
        <v>36</v>
      </c>
      <c r="F1228" s="1" t="s">
        <v>28</v>
      </c>
      <c r="G1228" s="1">
        <v>1</v>
      </c>
      <c r="H1228" s="1" t="s">
        <v>37</v>
      </c>
      <c r="I1228" s="1" t="s">
        <v>42</v>
      </c>
      <c r="J1228" s="1" t="s">
        <v>31</v>
      </c>
      <c r="K1228" s="1" t="s">
        <v>33</v>
      </c>
      <c r="L1228" s="1">
        <v>42</v>
      </c>
      <c r="M1228" s="1">
        <v>8</v>
      </c>
      <c r="N1228" s="1" t="s">
        <v>47</v>
      </c>
      <c r="O1228" s="1">
        <v>4</v>
      </c>
      <c r="P1228" s="1">
        <v>1</v>
      </c>
      <c r="Q1228" s="1">
        <v>3</v>
      </c>
      <c r="R1228" s="1">
        <v>3968</v>
      </c>
      <c r="S1228" s="1">
        <v>8</v>
      </c>
      <c r="T1228" s="1">
        <v>3</v>
      </c>
      <c r="U1228" s="1">
        <v>0</v>
      </c>
      <c r="V1228" s="1">
        <v>0</v>
      </c>
      <c r="W1228" s="1">
        <v>0</v>
      </c>
      <c r="X1228" s="1">
        <v>0</v>
      </c>
    </row>
    <row r="1229" spans="1:24">
      <c r="A1229" s="1">
        <v>1228</v>
      </c>
      <c r="B1229" s="1" t="s">
        <v>33</v>
      </c>
      <c r="C1229" s="1" t="s">
        <v>25</v>
      </c>
      <c r="D1229" s="1" t="s">
        <v>52</v>
      </c>
      <c r="E1229" s="1" t="s">
        <v>36</v>
      </c>
      <c r="F1229" s="1" t="s">
        <v>28</v>
      </c>
      <c r="G1229" s="1">
        <v>1</v>
      </c>
      <c r="H1229" s="1" t="s">
        <v>37</v>
      </c>
      <c r="I1229" s="1" t="s">
        <v>38</v>
      </c>
      <c r="J1229" s="1" t="s">
        <v>31</v>
      </c>
      <c r="K1229" s="1" t="s">
        <v>33</v>
      </c>
      <c r="L1229" s="1">
        <v>22</v>
      </c>
      <c r="M1229" s="1">
        <v>1</v>
      </c>
      <c r="N1229" s="1" t="s">
        <v>32</v>
      </c>
      <c r="O1229" s="1">
        <v>4</v>
      </c>
      <c r="P1229" s="1">
        <v>1</v>
      </c>
      <c r="Q1229" s="1">
        <v>3</v>
      </c>
      <c r="R1229" s="1">
        <v>3375</v>
      </c>
      <c r="S1229" s="1">
        <v>4</v>
      </c>
      <c r="T1229" s="1">
        <v>4</v>
      </c>
      <c r="U1229" s="1">
        <v>3</v>
      </c>
      <c r="V1229" s="1">
        <v>2</v>
      </c>
      <c r="W1229" s="1">
        <v>1</v>
      </c>
      <c r="X1229" s="1">
        <v>2</v>
      </c>
    </row>
    <row r="1230" spans="1:24">
      <c r="A1230" s="1">
        <v>1229</v>
      </c>
      <c r="B1230" s="1" t="s">
        <v>33</v>
      </c>
      <c r="C1230" s="1" t="s">
        <v>25</v>
      </c>
      <c r="D1230" s="1" t="s">
        <v>52</v>
      </c>
      <c r="E1230" s="1" t="s">
        <v>36</v>
      </c>
      <c r="F1230" s="1" t="s">
        <v>41</v>
      </c>
      <c r="G1230" s="1">
        <v>1</v>
      </c>
      <c r="H1230" s="1" t="s">
        <v>37</v>
      </c>
      <c r="I1230" s="1" t="s">
        <v>42</v>
      </c>
      <c r="J1230" s="1" t="s">
        <v>31</v>
      </c>
      <c r="K1230" s="1" t="s">
        <v>33</v>
      </c>
      <c r="L1230" s="1">
        <v>23</v>
      </c>
      <c r="M1230" s="1">
        <v>12</v>
      </c>
      <c r="N1230" s="1" t="s">
        <v>32</v>
      </c>
      <c r="O1230" s="1">
        <v>4</v>
      </c>
      <c r="P1230" s="1">
        <v>1</v>
      </c>
      <c r="Q1230" s="1">
        <v>4</v>
      </c>
      <c r="R1230" s="1">
        <v>2647</v>
      </c>
      <c r="S1230" s="1">
        <v>5</v>
      </c>
      <c r="T1230" s="1">
        <v>4</v>
      </c>
      <c r="U1230" s="1">
        <v>5</v>
      </c>
      <c r="V1230" s="1">
        <v>2</v>
      </c>
      <c r="W1230" s="1">
        <v>1</v>
      </c>
      <c r="X1230" s="1">
        <v>4</v>
      </c>
    </row>
    <row r="1231" spans="1:24">
      <c r="A1231" s="1">
        <v>1230</v>
      </c>
      <c r="B1231" s="1" t="s">
        <v>33</v>
      </c>
      <c r="C1231" s="1" t="s">
        <v>25</v>
      </c>
      <c r="D1231" s="1" t="s">
        <v>35</v>
      </c>
      <c r="E1231" s="1" t="s">
        <v>36</v>
      </c>
      <c r="F1231" s="1" t="s">
        <v>45</v>
      </c>
      <c r="G1231" s="1">
        <v>1</v>
      </c>
      <c r="H1231" s="1" t="s">
        <v>37</v>
      </c>
      <c r="I1231" s="1" t="s">
        <v>55</v>
      </c>
      <c r="J1231" s="1" t="s">
        <v>31</v>
      </c>
      <c r="K1231" s="1" t="s">
        <v>33</v>
      </c>
      <c r="L1231" s="1">
        <v>53</v>
      </c>
      <c r="M1231" s="1">
        <v>2</v>
      </c>
      <c r="N1231" s="1" t="s">
        <v>47</v>
      </c>
      <c r="O1231" s="1">
        <v>4</v>
      </c>
      <c r="P1231" s="1">
        <v>4</v>
      </c>
      <c r="Q1231" s="1">
        <v>2</v>
      </c>
      <c r="R1231" s="1">
        <v>16598</v>
      </c>
      <c r="S1231" s="1">
        <v>35</v>
      </c>
      <c r="T1231" s="1">
        <v>2</v>
      </c>
      <c r="U1231" s="1">
        <v>9</v>
      </c>
      <c r="V1231" s="1">
        <v>8</v>
      </c>
      <c r="W1231" s="1">
        <v>8</v>
      </c>
      <c r="X1231" s="1">
        <v>8</v>
      </c>
    </row>
    <row r="1232" spans="1:24">
      <c r="A1232" s="1">
        <v>1231</v>
      </c>
      <c r="B1232" s="1" t="s">
        <v>33</v>
      </c>
      <c r="C1232" s="1" t="s">
        <v>25</v>
      </c>
      <c r="D1232" s="1" t="s">
        <v>43</v>
      </c>
      <c r="E1232" s="1" t="s">
        <v>27</v>
      </c>
      <c r="F1232" s="1" t="s">
        <v>28</v>
      </c>
      <c r="G1232" s="1">
        <v>1</v>
      </c>
      <c r="H1232" s="1" t="s">
        <v>37</v>
      </c>
      <c r="I1232" s="1" t="s">
        <v>30</v>
      </c>
      <c r="J1232" s="1" t="s">
        <v>48</v>
      </c>
      <c r="K1232" s="1" t="s">
        <v>33</v>
      </c>
      <c r="L1232" s="1">
        <v>31</v>
      </c>
      <c r="M1232" s="1">
        <v>8</v>
      </c>
      <c r="N1232" s="1" t="s">
        <v>32</v>
      </c>
      <c r="O1232" s="1">
        <v>1</v>
      </c>
      <c r="P1232" s="1">
        <v>3</v>
      </c>
      <c r="Q1232" s="1">
        <v>4</v>
      </c>
      <c r="R1232" s="1">
        <v>10793</v>
      </c>
      <c r="S1232" s="1">
        <v>13</v>
      </c>
      <c r="T1232" s="1">
        <v>3</v>
      </c>
      <c r="U1232" s="1">
        <v>13</v>
      </c>
      <c r="V1232" s="1">
        <v>7</v>
      </c>
      <c r="W1232" s="1">
        <v>9</v>
      </c>
      <c r="X1232" s="1">
        <v>9</v>
      </c>
    </row>
    <row r="1233" spans="1:24">
      <c r="A1233" s="1">
        <v>1232</v>
      </c>
      <c r="B1233" s="1" t="s">
        <v>33</v>
      </c>
      <c r="C1233" s="1" t="s">
        <v>25</v>
      </c>
      <c r="D1233" s="1" t="s">
        <v>43</v>
      </c>
      <c r="E1233" s="1" t="s">
        <v>27</v>
      </c>
      <c r="F1233" s="1" t="s">
        <v>56</v>
      </c>
      <c r="G1233" s="1">
        <v>1</v>
      </c>
      <c r="H1233" s="1" t="s">
        <v>37</v>
      </c>
      <c r="I1233" s="1" t="s">
        <v>30</v>
      </c>
      <c r="J1233" s="1" t="s">
        <v>48</v>
      </c>
      <c r="K1233" s="1" t="s">
        <v>33</v>
      </c>
      <c r="L1233" s="1">
        <v>30</v>
      </c>
      <c r="M1233" s="1">
        <v>15</v>
      </c>
      <c r="N1233" s="1" t="s">
        <v>32</v>
      </c>
      <c r="O1233" s="1">
        <v>3</v>
      </c>
      <c r="P1233" s="1">
        <v>3</v>
      </c>
      <c r="Q1233" s="1">
        <v>1</v>
      </c>
      <c r="R1233" s="1">
        <v>7140</v>
      </c>
      <c r="S1233" s="1">
        <v>12</v>
      </c>
      <c r="T1233" s="1">
        <v>3</v>
      </c>
      <c r="U1233" s="1">
        <v>7</v>
      </c>
      <c r="V1233" s="1">
        <v>7</v>
      </c>
      <c r="W1233" s="1">
        <v>1</v>
      </c>
      <c r="X1233" s="1">
        <v>7</v>
      </c>
    </row>
    <row r="1234" spans="1:24">
      <c r="A1234" s="1">
        <v>1233</v>
      </c>
      <c r="B1234" s="1" t="s">
        <v>33</v>
      </c>
      <c r="C1234" s="1" t="s">
        <v>25</v>
      </c>
      <c r="D1234" s="1" t="s">
        <v>26</v>
      </c>
      <c r="E1234" s="1" t="s">
        <v>27</v>
      </c>
      <c r="F1234" s="1" t="s">
        <v>28</v>
      </c>
      <c r="G1234" s="1">
        <v>1</v>
      </c>
      <c r="H1234" s="1" t="s">
        <v>37</v>
      </c>
      <c r="I1234" s="1" t="s">
        <v>30</v>
      </c>
      <c r="J1234" s="1" t="s">
        <v>48</v>
      </c>
      <c r="K1234" s="1" t="s">
        <v>33</v>
      </c>
      <c r="L1234" s="1">
        <v>41</v>
      </c>
      <c r="M1234" s="1">
        <v>3</v>
      </c>
      <c r="N1234" s="1" t="s">
        <v>47</v>
      </c>
      <c r="O1234" s="1">
        <v>3</v>
      </c>
      <c r="P1234" s="1">
        <v>2</v>
      </c>
      <c r="Q1234" s="1">
        <v>2</v>
      </c>
      <c r="R1234" s="1">
        <v>8938</v>
      </c>
      <c r="S1234" s="1">
        <v>14</v>
      </c>
      <c r="T1234" s="1">
        <v>3</v>
      </c>
      <c r="U1234" s="1">
        <v>5</v>
      </c>
      <c r="V1234" s="1">
        <v>4</v>
      </c>
      <c r="W1234" s="1">
        <v>0</v>
      </c>
      <c r="X1234" s="1">
        <v>4</v>
      </c>
    </row>
    <row r="1235" spans="1:24">
      <c r="A1235" s="1">
        <v>1234</v>
      </c>
      <c r="B1235" s="1" t="s">
        <v>33</v>
      </c>
      <c r="C1235" s="1" t="s">
        <v>25</v>
      </c>
      <c r="D1235" s="1" t="s">
        <v>43</v>
      </c>
      <c r="E1235" s="1" t="s">
        <v>27</v>
      </c>
      <c r="F1235" s="1" t="s">
        <v>45</v>
      </c>
      <c r="G1235" s="1">
        <v>1</v>
      </c>
      <c r="H1235" s="1" t="s">
        <v>37</v>
      </c>
      <c r="I1235" s="1" t="s">
        <v>30</v>
      </c>
      <c r="J1235" s="1" t="s">
        <v>48</v>
      </c>
      <c r="K1235" s="1" t="s">
        <v>33</v>
      </c>
      <c r="L1235" s="1">
        <v>34</v>
      </c>
      <c r="M1235" s="1">
        <v>13</v>
      </c>
      <c r="N1235" s="1" t="s">
        <v>44</v>
      </c>
      <c r="O1235" s="1">
        <v>4</v>
      </c>
      <c r="P1235" s="1">
        <v>3</v>
      </c>
      <c r="Q1235" s="1">
        <v>3</v>
      </c>
      <c r="R1235" s="1">
        <v>8628</v>
      </c>
      <c r="S1235" s="1">
        <v>9</v>
      </c>
      <c r="T1235" s="1">
        <v>2</v>
      </c>
      <c r="U1235" s="1">
        <v>8</v>
      </c>
      <c r="V1235" s="1">
        <v>7</v>
      </c>
      <c r="W1235" s="1">
        <v>1</v>
      </c>
      <c r="X1235" s="1">
        <v>1</v>
      </c>
    </row>
    <row r="1236" spans="1:24">
      <c r="A1236" s="1">
        <v>1235</v>
      </c>
      <c r="B1236" s="1" t="s">
        <v>33</v>
      </c>
      <c r="C1236" s="1" t="s">
        <v>25</v>
      </c>
      <c r="D1236" s="1" t="s">
        <v>43</v>
      </c>
      <c r="E1236" s="1" t="s">
        <v>27</v>
      </c>
      <c r="F1236" s="1" t="s">
        <v>28</v>
      </c>
      <c r="G1236" s="1">
        <v>1</v>
      </c>
      <c r="H1236" s="1" t="s">
        <v>37</v>
      </c>
      <c r="I1236" s="1" t="s">
        <v>30</v>
      </c>
      <c r="J1236" s="1" t="s">
        <v>48</v>
      </c>
      <c r="K1236" s="1" t="s">
        <v>33</v>
      </c>
      <c r="L1236" s="1">
        <v>29</v>
      </c>
      <c r="M1236" s="1">
        <v>19</v>
      </c>
      <c r="N1236" s="1" t="s">
        <v>47</v>
      </c>
      <c r="O1236" s="1">
        <v>3</v>
      </c>
      <c r="P1236" s="1">
        <v>2</v>
      </c>
      <c r="Q1236" s="1">
        <v>3</v>
      </c>
      <c r="R1236" s="1">
        <v>8620</v>
      </c>
      <c r="S1236" s="1">
        <v>10</v>
      </c>
      <c r="T1236" s="1">
        <v>3</v>
      </c>
      <c r="U1236" s="1">
        <v>10</v>
      </c>
      <c r="V1236" s="1">
        <v>7</v>
      </c>
      <c r="W1236" s="1">
        <v>0</v>
      </c>
      <c r="X1236" s="1">
        <v>4</v>
      </c>
    </row>
    <row r="1237" spans="1:24">
      <c r="A1237" s="1">
        <v>1236</v>
      </c>
      <c r="B1237" s="1" t="s">
        <v>33</v>
      </c>
      <c r="C1237" s="1" t="s">
        <v>25</v>
      </c>
      <c r="D1237" s="1" t="s">
        <v>43</v>
      </c>
      <c r="E1237" s="1" t="s">
        <v>27</v>
      </c>
      <c r="F1237" s="1" t="s">
        <v>45</v>
      </c>
      <c r="G1237" s="1">
        <v>1</v>
      </c>
      <c r="H1237" s="1" t="s">
        <v>37</v>
      </c>
      <c r="I1237" s="1" t="s">
        <v>30</v>
      </c>
      <c r="J1237" s="1" t="s">
        <v>48</v>
      </c>
      <c r="K1237" s="1" t="s">
        <v>33</v>
      </c>
      <c r="L1237" s="1">
        <v>33</v>
      </c>
      <c r="M1237" s="1">
        <v>2</v>
      </c>
      <c r="N1237" s="1" t="s">
        <v>44</v>
      </c>
      <c r="O1237" s="1">
        <v>4</v>
      </c>
      <c r="P1237" s="1">
        <v>2</v>
      </c>
      <c r="Q1237" s="1">
        <v>4</v>
      </c>
      <c r="R1237" s="1">
        <v>5505</v>
      </c>
      <c r="S1237" s="1">
        <v>6</v>
      </c>
      <c r="T1237" s="1">
        <v>3</v>
      </c>
      <c r="U1237" s="1">
        <v>6</v>
      </c>
      <c r="V1237" s="1">
        <v>2</v>
      </c>
      <c r="W1237" s="1">
        <v>0</v>
      </c>
      <c r="X1237" s="1">
        <v>4</v>
      </c>
    </row>
    <row r="1238" spans="1:24">
      <c r="A1238" s="1">
        <v>1237</v>
      </c>
      <c r="B1238" s="1" t="s">
        <v>33</v>
      </c>
      <c r="C1238" s="1" t="s">
        <v>25</v>
      </c>
      <c r="D1238" s="1" t="s">
        <v>35</v>
      </c>
      <c r="E1238" s="1" t="s">
        <v>27</v>
      </c>
      <c r="F1238" s="1" t="s">
        <v>56</v>
      </c>
      <c r="G1238" s="1">
        <v>1</v>
      </c>
      <c r="H1238" s="1" t="s">
        <v>37</v>
      </c>
      <c r="I1238" s="1" t="s">
        <v>30</v>
      </c>
      <c r="J1238" s="1" t="s">
        <v>48</v>
      </c>
      <c r="K1238" s="1" t="s">
        <v>33</v>
      </c>
      <c r="L1238" s="1">
        <v>48</v>
      </c>
      <c r="M1238" s="1">
        <v>7</v>
      </c>
      <c r="N1238" s="1" t="s">
        <v>47</v>
      </c>
      <c r="O1238" s="1">
        <v>3</v>
      </c>
      <c r="P1238" s="1">
        <v>2</v>
      </c>
      <c r="Q1238" s="1">
        <v>1</v>
      </c>
      <c r="R1238" s="1">
        <v>5486</v>
      </c>
      <c r="S1238" s="1">
        <v>15</v>
      </c>
      <c r="T1238" s="1">
        <v>3</v>
      </c>
      <c r="U1238" s="1">
        <v>2</v>
      </c>
      <c r="V1238" s="1">
        <v>2</v>
      </c>
      <c r="W1238" s="1">
        <v>2</v>
      </c>
      <c r="X1238" s="1">
        <v>2</v>
      </c>
    </row>
    <row r="1239" spans="1:24">
      <c r="A1239" s="1">
        <v>1238</v>
      </c>
      <c r="B1239" s="1" t="s">
        <v>33</v>
      </c>
      <c r="C1239" s="1" t="s">
        <v>25</v>
      </c>
      <c r="D1239" s="1" t="s">
        <v>26</v>
      </c>
      <c r="E1239" s="1" t="s">
        <v>27</v>
      </c>
      <c r="F1239" s="1" t="s">
        <v>45</v>
      </c>
      <c r="G1239" s="1">
        <v>1</v>
      </c>
      <c r="H1239" s="1" t="s">
        <v>37</v>
      </c>
      <c r="I1239" s="1" t="s">
        <v>30</v>
      </c>
      <c r="J1239" s="1" t="s">
        <v>39</v>
      </c>
      <c r="K1239" s="1" t="s">
        <v>33</v>
      </c>
      <c r="L1239" s="1">
        <v>40</v>
      </c>
      <c r="M1239" s="1">
        <v>9</v>
      </c>
      <c r="N1239" s="1" t="s">
        <v>32</v>
      </c>
      <c r="O1239" s="1">
        <v>1</v>
      </c>
      <c r="P1239" s="1">
        <v>2</v>
      </c>
      <c r="Q1239" s="1">
        <v>1</v>
      </c>
      <c r="R1239" s="1">
        <v>5473</v>
      </c>
      <c r="S1239" s="1">
        <v>9</v>
      </c>
      <c r="T1239" s="1">
        <v>4</v>
      </c>
      <c r="U1239" s="1">
        <v>8</v>
      </c>
      <c r="V1239" s="1">
        <v>4</v>
      </c>
      <c r="W1239" s="1">
        <v>7</v>
      </c>
      <c r="X1239" s="1">
        <v>1</v>
      </c>
    </row>
    <row r="1240" spans="1:24">
      <c r="A1240" s="1">
        <v>1239</v>
      </c>
      <c r="B1240" s="1" t="s">
        <v>33</v>
      </c>
      <c r="C1240" s="1" t="s">
        <v>25</v>
      </c>
      <c r="D1240" s="1" t="s">
        <v>43</v>
      </c>
      <c r="E1240" s="1" t="s">
        <v>27</v>
      </c>
      <c r="F1240" s="1" t="s">
        <v>28</v>
      </c>
      <c r="G1240" s="1">
        <v>1</v>
      </c>
      <c r="H1240" s="1" t="s">
        <v>37</v>
      </c>
      <c r="I1240" s="1" t="s">
        <v>30</v>
      </c>
      <c r="J1240" s="1" t="s">
        <v>39</v>
      </c>
      <c r="K1240" s="1" t="s">
        <v>33</v>
      </c>
      <c r="L1240" s="1">
        <v>33</v>
      </c>
      <c r="M1240" s="1">
        <v>8</v>
      </c>
      <c r="N1240" s="1" t="s">
        <v>44</v>
      </c>
      <c r="O1240" s="1">
        <v>1</v>
      </c>
      <c r="P1240" s="1">
        <v>2</v>
      </c>
      <c r="Q1240" s="1">
        <v>1</v>
      </c>
      <c r="R1240" s="1">
        <v>6392</v>
      </c>
      <c r="S1240" s="1">
        <v>8</v>
      </c>
      <c r="T1240" s="1">
        <v>1</v>
      </c>
      <c r="U1240" s="1">
        <v>2</v>
      </c>
      <c r="V1240" s="1">
        <v>2</v>
      </c>
      <c r="W1240" s="1">
        <v>2</v>
      </c>
      <c r="X1240" s="1">
        <v>2</v>
      </c>
    </row>
    <row r="1241" spans="1:24">
      <c r="A1241" s="1">
        <v>1240</v>
      </c>
      <c r="B1241" s="1" t="s">
        <v>33</v>
      </c>
      <c r="C1241" s="1" t="s">
        <v>25</v>
      </c>
      <c r="D1241" s="1" t="s">
        <v>43</v>
      </c>
      <c r="E1241" s="1" t="s">
        <v>27</v>
      </c>
      <c r="F1241" s="1" t="s">
        <v>28</v>
      </c>
      <c r="G1241" s="1">
        <v>1</v>
      </c>
      <c r="H1241" s="1" t="s">
        <v>37</v>
      </c>
      <c r="I1241" s="1" t="s">
        <v>54</v>
      </c>
      <c r="J1241" s="1" t="s">
        <v>39</v>
      </c>
      <c r="K1241" s="1" t="s">
        <v>33</v>
      </c>
      <c r="L1241" s="1">
        <v>31</v>
      </c>
      <c r="M1241" s="1">
        <v>2</v>
      </c>
      <c r="N1241" s="1" t="s">
        <v>32</v>
      </c>
      <c r="O1241" s="1">
        <v>1</v>
      </c>
      <c r="P1241" s="1">
        <v>1</v>
      </c>
      <c r="Q1241" s="1">
        <v>3</v>
      </c>
      <c r="R1241" s="1">
        <v>3067</v>
      </c>
      <c r="S1241" s="1">
        <v>3</v>
      </c>
      <c r="T1241" s="1">
        <v>3</v>
      </c>
      <c r="U1241" s="1">
        <v>2</v>
      </c>
      <c r="V1241" s="1">
        <v>2</v>
      </c>
      <c r="W1241" s="1">
        <v>1</v>
      </c>
      <c r="X1241" s="1">
        <v>2</v>
      </c>
    </row>
    <row r="1242" spans="1:24">
      <c r="A1242" s="1">
        <v>1241</v>
      </c>
      <c r="B1242" s="1" t="s">
        <v>33</v>
      </c>
      <c r="C1242" s="1" t="s">
        <v>25</v>
      </c>
      <c r="D1242" s="1" t="s">
        <v>43</v>
      </c>
      <c r="E1242" s="1" t="s">
        <v>27</v>
      </c>
      <c r="F1242" s="1" t="s">
        <v>57</v>
      </c>
      <c r="G1242" s="1">
        <v>1</v>
      </c>
      <c r="H1242" s="1" t="s">
        <v>37</v>
      </c>
      <c r="I1242" s="1" t="s">
        <v>30</v>
      </c>
      <c r="J1242" s="1" t="s">
        <v>39</v>
      </c>
      <c r="K1242" s="1" t="s">
        <v>33</v>
      </c>
      <c r="L1242" s="1">
        <v>31</v>
      </c>
      <c r="M1242" s="1">
        <v>5</v>
      </c>
      <c r="N1242" s="1" t="s">
        <v>47</v>
      </c>
      <c r="O1242" s="1">
        <v>1</v>
      </c>
      <c r="P1242" s="1">
        <v>2</v>
      </c>
      <c r="Q1242" s="1">
        <v>3</v>
      </c>
      <c r="R1242" s="1">
        <v>8346</v>
      </c>
      <c r="S1242" s="1">
        <v>6</v>
      </c>
      <c r="T1242" s="1">
        <v>3</v>
      </c>
      <c r="U1242" s="1">
        <v>5</v>
      </c>
      <c r="V1242" s="1">
        <v>2</v>
      </c>
      <c r="W1242" s="1">
        <v>0</v>
      </c>
      <c r="X1242" s="1">
        <v>2</v>
      </c>
    </row>
    <row r="1243" spans="1:24">
      <c r="A1243" s="1">
        <v>1242</v>
      </c>
      <c r="B1243" s="1" t="s">
        <v>33</v>
      </c>
      <c r="C1243" s="1" t="s">
        <v>25</v>
      </c>
      <c r="D1243" s="1" t="s">
        <v>43</v>
      </c>
      <c r="E1243" s="1" t="s">
        <v>27</v>
      </c>
      <c r="F1243" s="1" t="s">
        <v>45</v>
      </c>
      <c r="G1243" s="1">
        <v>1</v>
      </c>
      <c r="H1243" s="1" t="s">
        <v>37</v>
      </c>
      <c r="I1243" s="1" t="s">
        <v>54</v>
      </c>
      <c r="J1243" s="1" t="s">
        <v>39</v>
      </c>
      <c r="K1243" s="1" t="s">
        <v>33</v>
      </c>
      <c r="L1243" s="1">
        <v>32</v>
      </c>
      <c r="M1243" s="1">
        <v>1</v>
      </c>
      <c r="N1243" s="1" t="s">
        <v>44</v>
      </c>
      <c r="O1243" s="1">
        <v>2</v>
      </c>
      <c r="P1243" s="1">
        <v>1</v>
      </c>
      <c r="Q1243" s="1">
        <v>2</v>
      </c>
      <c r="R1243" s="1">
        <v>2269</v>
      </c>
      <c r="S1243" s="1">
        <v>3</v>
      </c>
      <c r="T1243" s="1">
        <v>3</v>
      </c>
      <c r="U1243" s="1">
        <v>2</v>
      </c>
      <c r="V1243" s="1">
        <v>2</v>
      </c>
      <c r="W1243" s="1">
        <v>2</v>
      </c>
      <c r="X1243" s="1">
        <v>2</v>
      </c>
    </row>
    <row r="1244" spans="1:24">
      <c r="A1244" s="1">
        <v>1243</v>
      </c>
      <c r="B1244" s="1" t="s">
        <v>33</v>
      </c>
      <c r="C1244" s="1" t="s">
        <v>25</v>
      </c>
      <c r="D1244" s="1" t="s">
        <v>26</v>
      </c>
      <c r="E1244" s="1" t="s">
        <v>27</v>
      </c>
      <c r="F1244" s="1" t="s">
        <v>45</v>
      </c>
      <c r="G1244" s="1">
        <v>1</v>
      </c>
      <c r="H1244" s="1" t="s">
        <v>37</v>
      </c>
      <c r="I1244" s="1" t="s">
        <v>30</v>
      </c>
      <c r="J1244" s="1" t="s">
        <v>39</v>
      </c>
      <c r="K1244" s="1" t="s">
        <v>33</v>
      </c>
      <c r="L1244" s="1">
        <v>35</v>
      </c>
      <c r="M1244" s="1">
        <v>18</v>
      </c>
      <c r="N1244" s="1" t="s">
        <v>44</v>
      </c>
      <c r="O1244" s="1">
        <v>2</v>
      </c>
      <c r="P1244" s="1">
        <v>2</v>
      </c>
      <c r="Q1244" s="1">
        <v>1</v>
      </c>
      <c r="R1244" s="1">
        <v>5561</v>
      </c>
      <c r="S1244" s="1">
        <v>6</v>
      </c>
      <c r="T1244" s="1">
        <v>1</v>
      </c>
      <c r="U1244" s="1">
        <v>5</v>
      </c>
      <c r="V1244" s="1">
        <v>3</v>
      </c>
      <c r="W1244" s="1">
        <v>0</v>
      </c>
      <c r="X1244" s="1">
        <v>4</v>
      </c>
    </row>
    <row r="1245" spans="1:24">
      <c r="A1245" s="1">
        <v>1244</v>
      </c>
      <c r="B1245" s="1" t="s">
        <v>33</v>
      </c>
      <c r="C1245" s="1" t="s">
        <v>25</v>
      </c>
      <c r="D1245" s="1" t="s">
        <v>43</v>
      </c>
      <c r="E1245" s="1" t="s">
        <v>27</v>
      </c>
      <c r="F1245" s="1" t="s">
        <v>57</v>
      </c>
      <c r="G1245" s="1">
        <v>1</v>
      </c>
      <c r="H1245" s="1" t="s">
        <v>37</v>
      </c>
      <c r="I1245" s="1" t="s">
        <v>30</v>
      </c>
      <c r="J1245" s="1" t="s">
        <v>39</v>
      </c>
      <c r="K1245" s="1" t="s">
        <v>33</v>
      </c>
      <c r="L1245" s="1">
        <v>30</v>
      </c>
      <c r="M1245" s="1">
        <v>29</v>
      </c>
      <c r="N1245" s="1" t="s">
        <v>44</v>
      </c>
      <c r="O1245" s="1">
        <v>3</v>
      </c>
      <c r="P1245" s="1">
        <v>3</v>
      </c>
      <c r="Q1245" s="1">
        <v>2</v>
      </c>
      <c r="R1245" s="1">
        <v>9250</v>
      </c>
      <c r="S1245" s="1">
        <v>9</v>
      </c>
      <c r="T1245" s="1">
        <v>3</v>
      </c>
      <c r="U1245" s="1">
        <v>4</v>
      </c>
      <c r="V1245" s="1">
        <v>2</v>
      </c>
      <c r="W1245" s="1">
        <v>1</v>
      </c>
      <c r="X1245" s="1">
        <v>3</v>
      </c>
    </row>
    <row r="1246" spans="1:24">
      <c r="A1246" s="1">
        <v>1245</v>
      </c>
      <c r="B1246" s="1" t="s">
        <v>33</v>
      </c>
      <c r="C1246" s="1" t="s">
        <v>25</v>
      </c>
      <c r="D1246" s="1" t="s">
        <v>26</v>
      </c>
      <c r="E1246" s="1" t="s">
        <v>27</v>
      </c>
      <c r="F1246" s="1" t="s">
        <v>28</v>
      </c>
      <c r="G1246" s="1">
        <v>1</v>
      </c>
      <c r="H1246" s="1" t="s">
        <v>37</v>
      </c>
      <c r="I1246" s="1" t="s">
        <v>30</v>
      </c>
      <c r="J1246" s="1" t="s">
        <v>39</v>
      </c>
      <c r="K1246" s="1" t="s">
        <v>33</v>
      </c>
      <c r="L1246" s="1">
        <v>38</v>
      </c>
      <c r="M1246" s="1">
        <v>14</v>
      </c>
      <c r="N1246" s="1" t="s">
        <v>47</v>
      </c>
      <c r="O1246" s="1">
        <v>3</v>
      </c>
      <c r="P1246" s="1">
        <v>2</v>
      </c>
      <c r="Q1246" s="1">
        <v>2</v>
      </c>
      <c r="R1246" s="1">
        <v>9924</v>
      </c>
      <c r="S1246" s="1">
        <v>10</v>
      </c>
      <c r="T1246" s="1">
        <v>3</v>
      </c>
      <c r="U1246" s="1">
        <v>9</v>
      </c>
      <c r="V1246" s="1">
        <v>8</v>
      </c>
      <c r="W1246" s="1">
        <v>7</v>
      </c>
      <c r="X1246" s="1">
        <v>7</v>
      </c>
    </row>
    <row r="1247" spans="1:24">
      <c r="A1247" s="1">
        <v>1246</v>
      </c>
      <c r="B1247" s="1" t="s">
        <v>33</v>
      </c>
      <c r="C1247" s="1" t="s">
        <v>25</v>
      </c>
      <c r="D1247" s="1" t="s">
        <v>43</v>
      </c>
      <c r="E1247" s="1" t="s">
        <v>27</v>
      </c>
      <c r="F1247" s="1" t="s">
        <v>28</v>
      </c>
      <c r="G1247" s="1">
        <v>1</v>
      </c>
      <c r="H1247" s="1" t="s">
        <v>37</v>
      </c>
      <c r="I1247" s="1" t="s">
        <v>30</v>
      </c>
      <c r="J1247" s="1" t="s">
        <v>39</v>
      </c>
      <c r="K1247" s="1" t="s">
        <v>33</v>
      </c>
      <c r="L1247" s="1">
        <v>32</v>
      </c>
      <c r="M1247" s="1">
        <v>19</v>
      </c>
      <c r="N1247" s="1" t="s">
        <v>47</v>
      </c>
      <c r="O1247" s="1">
        <v>4</v>
      </c>
      <c r="P1247" s="1">
        <v>3</v>
      </c>
      <c r="Q1247" s="1">
        <v>3</v>
      </c>
      <c r="R1247" s="1">
        <v>9610</v>
      </c>
      <c r="S1247" s="1">
        <v>10</v>
      </c>
      <c r="T1247" s="1">
        <v>1</v>
      </c>
      <c r="U1247" s="1">
        <v>4</v>
      </c>
      <c r="V1247" s="1">
        <v>3</v>
      </c>
      <c r="W1247" s="1">
        <v>0</v>
      </c>
      <c r="X1247" s="1">
        <v>2</v>
      </c>
    </row>
    <row r="1248" spans="1:24">
      <c r="A1248" s="1">
        <v>1247</v>
      </c>
      <c r="B1248" s="1" t="s">
        <v>33</v>
      </c>
      <c r="C1248" s="1" t="s">
        <v>25</v>
      </c>
      <c r="D1248" s="1" t="s">
        <v>26</v>
      </c>
      <c r="E1248" s="1" t="s">
        <v>27</v>
      </c>
      <c r="F1248" s="1" t="s">
        <v>28</v>
      </c>
      <c r="G1248" s="1">
        <v>1</v>
      </c>
      <c r="H1248" s="1" t="s">
        <v>37</v>
      </c>
      <c r="I1248" s="1" t="s">
        <v>54</v>
      </c>
      <c r="J1248" s="1" t="s">
        <v>39</v>
      </c>
      <c r="K1248" s="1" t="s">
        <v>33</v>
      </c>
      <c r="L1248" s="1">
        <v>35</v>
      </c>
      <c r="M1248" s="1">
        <v>7</v>
      </c>
      <c r="N1248" s="1" t="s">
        <v>40</v>
      </c>
      <c r="O1248" s="1">
        <v>4</v>
      </c>
      <c r="P1248" s="1">
        <v>1</v>
      </c>
      <c r="Q1248" s="1">
        <v>3</v>
      </c>
      <c r="R1248" s="1">
        <v>2404</v>
      </c>
      <c r="S1248" s="1">
        <v>1</v>
      </c>
      <c r="T1248" s="1">
        <v>3</v>
      </c>
      <c r="U1248" s="1">
        <v>1</v>
      </c>
      <c r="V1248" s="1">
        <v>0</v>
      </c>
      <c r="W1248" s="1">
        <v>0</v>
      </c>
      <c r="X1248" s="1">
        <v>0</v>
      </c>
    </row>
    <row r="1249" spans="1:24">
      <c r="A1249" s="1">
        <v>1248</v>
      </c>
      <c r="B1249" s="1" t="s">
        <v>33</v>
      </c>
      <c r="C1249" s="1" t="s">
        <v>25</v>
      </c>
      <c r="D1249" s="1" t="s">
        <v>43</v>
      </c>
      <c r="E1249" s="1" t="s">
        <v>27</v>
      </c>
      <c r="F1249" s="1" t="s">
        <v>56</v>
      </c>
      <c r="G1249" s="1">
        <v>1</v>
      </c>
      <c r="H1249" s="1" t="s">
        <v>37</v>
      </c>
      <c r="I1249" s="1" t="s">
        <v>30</v>
      </c>
      <c r="J1249" s="1" t="s">
        <v>39</v>
      </c>
      <c r="K1249" s="1" t="s">
        <v>33</v>
      </c>
      <c r="L1249" s="1">
        <v>32</v>
      </c>
      <c r="M1249" s="1">
        <v>7</v>
      </c>
      <c r="N1249" s="1" t="s">
        <v>58</v>
      </c>
      <c r="O1249" s="1">
        <v>4</v>
      </c>
      <c r="P1249" s="1">
        <v>2</v>
      </c>
      <c r="Q1249" s="1">
        <v>4</v>
      </c>
      <c r="R1249" s="1">
        <v>9204</v>
      </c>
      <c r="S1249" s="1">
        <v>7</v>
      </c>
      <c r="T1249" s="1">
        <v>2</v>
      </c>
      <c r="U1249" s="1">
        <v>4</v>
      </c>
      <c r="V1249" s="1">
        <v>3</v>
      </c>
      <c r="W1249" s="1">
        <v>0</v>
      </c>
      <c r="X1249" s="1">
        <v>3</v>
      </c>
    </row>
    <row r="1250" spans="1:24">
      <c r="A1250" s="1">
        <v>1249</v>
      </c>
      <c r="B1250" s="1" t="s">
        <v>33</v>
      </c>
      <c r="C1250" s="1" t="s">
        <v>25</v>
      </c>
      <c r="D1250" s="1" t="s">
        <v>26</v>
      </c>
      <c r="E1250" s="1" t="s">
        <v>27</v>
      </c>
      <c r="F1250" s="1" t="s">
        <v>45</v>
      </c>
      <c r="G1250" s="1">
        <v>1</v>
      </c>
      <c r="H1250" s="1" t="s">
        <v>37</v>
      </c>
      <c r="I1250" s="1" t="s">
        <v>30</v>
      </c>
      <c r="J1250" s="1" t="s">
        <v>39</v>
      </c>
      <c r="K1250" s="1" t="s">
        <v>33</v>
      </c>
      <c r="L1250" s="1">
        <v>39</v>
      </c>
      <c r="M1250" s="1">
        <v>6</v>
      </c>
      <c r="N1250" s="1" t="s">
        <v>47</v>
      </c>
      <c r="O1250" s="1">
        <v>4</v>
      </c>
      <c r="P1250" s="1">
        <v>3</v>
      </c>
      <c r="Q1250" s="1">
        <v>3</v>
      </c>
      <c r="R1250" s="1">
        <v>8237</v>
      </c>
      <c r="S1250" s="1">
        <v>11</v>
      </c>
      <c r="T1250" s="1">
        <v>3</v>
      </c>
      <c r="U1250" s="1">
        <v>7</v>
      </c>
      <c r="V1250" s="1">
        <v>6</v>
      </c>
      <c r="W1250" s="1">
        <v>7</v>
      </c>
      <c r="X1250" s="1">
        <v>6</v>
      </c>
    </row>
    <row r="1251" spans="1:24">
      <c r="A1251" s="1">
        <v>1250</v>
      </c>
      <c r="B1251" s="1" t="s">
        <v>33</v>
      </c>
      <c r="C1251" s="1" t="s">
        <v>25</v>
      </c>
      <c r="D1251" s="1" t="s">
        <v>26</v>
      </c>
      <c r="E1251" s="1" t="s">
        <v>27</v>
      </c>
      <c r="F1251" s="1" t="s">
        <v>56</v>
      </c>
      <c r="G1251" s="1">
        <v>1</v>
      </c>
      <c r="H1251" s="1" t="s">
        <v>37</v>
      </c>
      <c r="I1251" s="1" t="s">
        <v>30</v>
      </c>
      <c r="J1251" s="1" t="s">
        <v>39</v>
      </c>
      <c r="K1251" s="1" t="s">
        <v>33</v>
      </c>
      <c r="L1251" s="1">
        <v>37</v>
      </c>
      <c r="M1251" s="1">
        <v>9</v>
      </c>
      <c r="N1251" s="1" t="s">
        <v>32</v>
      </c>
      <c r="O1251" s="1">
        <v>2</v>
      </c>
      <c r="P1251" s="1">
        <v>2</v>
      </c>
      <c r="Q1251" s="1">
        <v>2</v>
      </c>
      <c r="R1251" s="1">
        <v>4189</v>
      </c>
      <c r="S1251" s="1">
        <v>5</v>
      </c>
      <c r="T1251" s="1">
        <v>3</v>
      </c>
      <c r="U1251" s="1">
        <v>5</v>
      </c>
      <c r="V1251" s="1">
        <v>2</v>
      </c>
      <c r="W1251" s="1">
        <v>0</v>
      </c>
      <c r="X1251" s="1">
        <v>3</v>
      </c>
    </row>
    <row r="1252" spans="1:24">
      <c r="A1252" s="1">
        <v>1251</v>
      </c>
      <c r="B1252" s="1" t="s">
        <v>33</v>
      </c>
      <c r="C1252" s="1" t="s">
        <v>25</v>
      </c>
      <c r="D1252" s="1" t="s">
        <v>26</v>
      </c>
      <c r="E1252" s="1" t="s">
        <v>27</v>
      </c>
      <c r="F1252" s="1" t="s">
        <v>56</v>
      </c>
      <c r="G1252" s="1">
        <v>1</v>
      </c>
      <c r="H1252" s="1" t="s">
        <v>37</v>
      </c>
      <c r="I1252" s="1" t="s">
        <v>30</v>
      </c>
      <c r="J1252" s="1" t="s">
        <v>39</v>
      </c>
      <c r="K1252" s="1" t="s">
        <v>33</v>
      </c>
      <c r="L1252" s="1">
        <v>36</v>
      </c>
      <c r="M1252" s="1">
        <v>17</v>
      </c>
      <c r="N1252" s="1" t="s">
        <v>32</v>
      </c>
      <c r="O1252" s="1">
        <v>3</v>
      </c>
      <c r="P1252" s="1">
        <v>2</v>
      </c>
      <c r="Q1252" s="1">
        <v>2</v>
      </c>
      <c r="R1252" s="1">
        <v>5507</v>
      </c>
      <c r="S1252" s="1">
        <v>12</v>
      </c>
      <c r="T1252" s="1">
        <v>1</v>
      </c>
      <c r="U1252" s="1">
        <v>4</v>
      </c>
      <c r="V1252" s="1">
        <v>2</v>
      </c>
      <c r="W1252" s="1">
        <v>1</v>
      </c>
      <c r="X1252" s="1">
        <v>3</v>
      </c>
    </row>
    <row r="1253" spans="1:24">
      <c r="A1253" s="1">
        <v>1252</v>
      </c>
      <c r="B1253" s="1" t="s">
        <v>33</v>
      </c>
      <c r="C1253" s="1" t="s">
        <v>25</v>
      </c>
      <c r="D1253" s="1" t="s">
        <v>26</v>
      </c>
      <c r="E1253" s="1" t="s">
        <v>27</v>
      </c>
      <c r="F1253" s="1" t="s">
        <v>28</v>
      </c>
      <c r="G1253" s="1">
        <v>1</v>
      </c>
      <c r="H1253" s="1" t="s">
        <v>37</v>
      </c>
      <c r="I1253" s="1" t="s">
        <v>30</v>
      </c>
      <c r="J1253" s="1" t="s">
        <v>39</v>
      </c>
      <c r="K1253" s="1" t="s">
        <v>33</v>
      </c>
      <c r="L1253" s="1">
        <v>38</v>
      </c>
      <c r="M1253" s="1">
        <v>1</v>
      </c>
      <c r="N1253" s="1" t="s">
        <v>44</v>
      </c>
      <c r="O1253" s="1">
        <v>4</v>
      </c>
      <c r="P1253" s="1">
        <v>2</v>
      </c>
      <c r="Q1253" s="1">
        <v>2</v>
      </c>
      <c r="R1253" s="1">
        <v>4440</v>
      </c>
      <c r="S1253" s="1">
        <v>16</v>
      </c>
      <c r="T1253" s="1">
        <v>3</v>
      </c>
      <c r="U1253" s="1">
        <v>15</v>
      </c>
      <c r="V1253" s="1">
        <v>13</v>
      </c>
      <c r="W1253" s="1">
        <v>5</v>
      </c>
      <c r="X1253" s="1">
        <v>8</v>
      </c>
    </row>
    <row r="1254" spans="1:24">
      <c r="A1254" s="1">
        <v>1253</v>
      </c>
      <c r="B1254" s="1" t="s">
        <v>33</v>
      </c>
      <c r="C1254" s="1" t="s">
        <v>25</v>
      </c>
      <c r="D1254" s="1" t="s">
        <v>43</v>
      </c>
      <c r="E1254" s="1" t="s">
        <v>27</v>
      </c>
      <c r="F1254" s="1" t="s">
        <v>28</v>
      </c>
      <c r="G1254" s="1">
        <v>1</v>
      </c>
      <c r="H1254" s="1" t="s">
        <v>37</v>
      </c>
      <c r="I1254" s="1" t="s">
        <v>30</v>
      </c>
      <c r="J1254" s="1" t="s">
        <v>39</v>
      </c>
      <c r="K1254" s="1" t="s">
        <v>33</v>
      </c>
      <c r="L1254" s="1">
        <v>30</v>
      </c>
      <c r="M1254" s="1">
        <v>16</v>
      </c>
      <c r="N1254" s="1" t="s">
        <v>40</v>
      </c>
      <c r="O1254" s="1">
        <v>4</v>
      </c>
      <c r="P1254" s="1">
        <v>2</v>
      </c>
      <c r="Q1254" s="1">
        <v>3</v>
      </c>
      <c r="R1254" s="1">
        <v>5301</v>
      </c>
      <c r="S1254" s="1">
        <v>4</v>
      </c>
      <c r="T1254" s="1">
        <v>2</v>
      </c>
      <c r="U1254" s="1">
        <v>2</v>
      </c>
      <c r="V1254" s="1">
        <v>1</v>
      </c>
      <c r="W1254" s="1">
        <v>2</v>
      </c>
      <c r="X1254" s="1">
        <v>2</v>
      </c>
    </row>
    <row r="1255" spans="1:24">
      <c r="A1255" s="1">
        <v>1254</v>
      </c>
      <c r="B1255" s="1" t="s">
        <v>33</v>
      </c>
      <c r="C1255" s="1" t="s">
        <v>25</v>
      </c>
      <c r="D1255" s="1" t="s">
        <v>26</v>
      </c>
      <c r="E1255" s="1" t="s">
        <v>27</v>
      </c>
      <c r="F1255" s="1" t="s">
        <v>28</v>
      </c>
      <c r="G1255" s="1">
        <v>1</v>
      </c>
      <c r="H1255" s="1" t="s">
        <v>37</v>
      </c>
      <c r="I1255" s="1" t="s">
        <v>54</v>
      </c>
      <c r="J1255" s="1" t="s">
        <v>31</v>
      </c>
      <c r="K1255" s="1" t="s">
        <v>33</v>
      </c>
      <c r="L1255" s="1">
        <v>38</v>
      </c>
      <c r="M1255" s="1">
        <v>1</v>
      </c>
      <c r="N1255" s="1" t="s">
        <v>47</v>
      </c>
      <c r="O1255" s="1">
        <v>1</v>
      </c>
      <c r="P1255" s="1">
        <v>1</v>
      </c>
      <c r="Q1255" s="1">
        <v>1</v>
      </c>
      <c r="R1255" s="1">
        <v>2858</v>
      </c>
      <c r="S1255" s="1">
        <v>20</v>
      </c>
      <c r="T1255" s="1">
        <v>2</v>
      </c>
      <c r="U1255" s="1">
        <v>1</v>
      </c>
      <c r="V1255" s="1">
        <v>0</v>
      </c>
      <c r="W1255" s="1">
        <v>0</v>
      </c>
      <c r="X1255" s="1">
        <v>0</v>
      </c>
    </row>
    <row r="1256" spans="1:24">
      <c r="A1256" s="1">
        <v>1255</v>
      </c>
      <c r="B1256" s="1" t="s">
        <v>33</v>
      </c>
      <c r="C1256" s="1" t="s">
        <v>25</v>
      </c>
      <c r="D1256" s="1" t="s">
        <v>26</v>
      </c>
      <c r="E1256" s="1" t="s">
        <v>27</v>
      </c>
      <c r="F1256" s="1" t="s">
        <v>56</v>
      </c>
      <c r="G1256" s="1">
        <v>1</v>
      </c>
      <c r="H1256" s="1" t="s">
        <v>37</v>
      </c>
      <c r="I1256" s="1" t="s">
        <v>30</v>
      </c>
      <c r="J1256" s="1" t="s">
        <v>31</v>
      </c>
      <c r="K1256" s="1" t="s">
        <v>33</v>
      </c>
      <c r="L1256" s="1">
        <v>39</v>
      </c>
      <c r="M1256" s="1">
        <v>15</v>
      </c>
      <c r="N1256" s="1" t="s">
        <v>44</v>
      </c>
      <c r="O1256" s="1">
        <v>2</v>
      </c>
      <c r="P1256" s="1">
        <v>4</v>
      </c>
      <c r="Q1256" s="1">
        <v>1</v>
      </c>
      <c r="R1256" s="1">
        <v>13341</v>
      </c>
      <c r="S1256" s="1">
        <v>21</v>
      </c>
      <c r="T1256" s="1">
        <v>3</v>
      </c>
      <c r="U1256" s="1">
        <v>20</v>
      </c>
      <c r="V1256" s="1">
        <v>8</v>
      </c>
      <c r="W1256" s="1">
        <v>11</v>
      </c>
      <c r="X1256" s="1">
        <v>10</v>
      </c>
    </row>
    <row r="1257" spans="1:24">
      <c r="A1257" s="1">
        <v>1256</v>
      </c>
      <c r="B1257" s="1" t="s">
        <v>33</v>
      </c>
      <c r="C1257" s="1" t="s">
        <v>25</v>
      </c>
      <c r="D1257" s="1" t="s">
        <v>26</v>
      </c>
      <c r="E1257" s="1" t="s">
        <v>27</v>
      </c>
      <c r="F1257" s="1" t="s">
        <v>45</v>
      </c>
      <c r="G1257" s="1">
        <v>1</v>
      </c>
      <c r="H1257" s="1" t="s">
        <v>37</v>
      </c>
      <c r="I1257" s="1" t="s">
        <v>53</v>
      </c>
      <c r="J1257" s="1" t="s">
        <v>31</v>
      </c>
      <c r="K1257" s="1" t="s">
        <v>33</v>
      </c>
      <c r="L1257" s="1">
        <v>40</v>
      </c>
      <c r="M1257" s="1">
        <v>7</v>
      </c>
      <c r="N1257" s="1" t="s">
        <v>44</v>
      </c>
      <c r="O1257" s="1">
        <v>2</v>
      </c>
      <c r="P1257" s="1">
        <v>5</v>
      </c>
      <c r="Q1257" s="1">
        <v>2</v>
      </c>
      <c r="R1257" s="1">
        <v>19833</v>
      </c>
      <c r="S1257" s="1">
        <v>21</v>
      </c>
      <c r="T1257" s="1">
        <v>2</v>
      </c>
      <c r="U1257" s="1">
        <v>21</v>
      </c>
      <c r="V1257" s="1">
        <v>8</v>
      </c>
      <c r="W1257" s="1">
        <v>12</v>
      </c>
      <c r="X1257" s="1">
        <v>8</v>
      </c>
    </row>
    <row r="1258" spans="1:24">
      <c r="A1258" s="1">
        <v>1257</v>
      </c>
      <c r="B1258" s="1" t="s">
        <v>33</v>
      </c>
      <c r="C1258" s="1" t="s">
        <v>25</v>
      </c>
      <c r="D1258" s="1" t="s">
        <v>43</v>
      </c>
      <c r="E1258" s="1" t="s">
        <v>27</v>
      </c>
      <c r="F1258" s="1" t="s">
        <v>56</v>
      </c>
      <c r="G1258" s="1">
        <v>1</v>
      </c>
      <c r="H1258" s="1" t="s">
        <v>37</v>
      </c>
      <c r="I1258" s="1" t="s">
        <v>30</v>
      </c>
      <c r="J1258" s="1" t="s">
        <v>31</v>
      </c>
      <c r="K1258" s="1" t="s">
        <v>33</v>
      </c>
      <c r="L1258" s="1">
        <v>33</v>
      </c>
      <c r="M1258" s="1">
        <v>10</v>
      </c>
      <c r="N1258" s="1" t="s">
        <v>44</v>
      </c>
      <c r="O1258" s="1">
        <v>2</v>
      </c>
      <c r="P1258" s="1">
        <v>2</v>
      </c>
      <c r="Q1258" s="1">
        <v>3</v>
      </c>
      <c r="R1258" s="1">
        <v>5487</v>
      </c>
      <c r="S1258" s="1">
        <v>10</v>
      </c>
      <c r="T1258" s="1">
        <v>2</v>
      </c>
      <c r="U1258" s="1">
        <v>10</v>
      </c>
      <c r="V1258" s="1">
        <v>4</v>
      </c>
      <c r="W1258" s="1">
        <v>0</v>
      </c>
      <c r="X1258" s="1">
        <v>9</v>
      </c>
    </row>
    <row r="1259" spans="1:24">
      <c r="A1259" s="1">
        <v>1258</v>
      </c>
      <c r="B1259" s="1" t="s">
        <v>33</v>
      </c>
      <c r="C1259" s="1" t="s">
        <v>25</v>
      </c>
      <c r="D1259" s="1" t="s">
        <v>43</v>
      </c>
      <c r="E1259" s="1" t="s">
        <v>27</v>
      </c>
      <c r="F1259" s="1" t="s">
        <v>45</v>
      </c>
      <c r="G1259" s="1">
        <v>1</v>
      </c>
      <c r="H1259" s="1" t="s">
        <v>37</v>
      </c>
      <c r="I1259" s="1" t="s">
        <v>30</v>
      </c>
      <c r="J1259" s="1" t="s">
        <v>31</v>
      </c>
      <c r="K1259" s="1" t="s">
        <v>33</v>
      </c>
      <c r="L1259" s="1">
        <v>29</v>
      </c>
      <c r="M1259" s="1">
        <v>10</v>
      </c>
      <c r="N1259" s="1" t="s">
        <v>47</v>
      </c>
      <c r="O1259" s="1">
        <v>3</v>
      </c>
      <c r="P1259" s="1">
        <v>2</v>
      </c>
      <c r="Q1259" s="1">
        <v>3</v>
      </c>
      <c r="R1259" s="1">
        <v>5869</v>
      </c>
      <c r="S1259" s="1">
        <v>8</v>
      </c>
      <c r="T1259" s="1">
        <v>3</v>
      </c>
      <c r="U1259" s="1">
        <v>5</v>
      </c>
      <c r="V1259" s="1">
        <v>2</v>
      </c>
      <c r="W1259" s="1">
        <v>1</v>
      </c>
      <c r="X1259" s="1">
        <v>4</v>
      </c>
    </row>
    <row r="1260" spans="1:24">
      <c r="A1260" s="1">
        <v>1259</v>
      </c>
      <c r="B1260" s="1" t="s">
        <v>33</v>
      </c>
      <c r="C1260" s="1" t="s">
        <v>25</v>
      </c>
      <c r="D1260" s="1" t="s">
        <v>43</v>
      </c>
      <c r="E1260" s="1" t="s">
        <v>27</v>
      </c>
      <c r="F1260" s="1" t="s">
        <v>45</v>
      </c>
      <c r="G1260" s="1">
        <v>1</v>
      </c>
      <c r="H1260" s="1" t="s">
        <v>37</v>
      </c>
      <c r="I1260" s="1" t="s">
        <v>30</v>
      </c>
      <c r="J1260" s="1" t="s">
        <v>31</v>
      </c>
      <c r="K1260" s="1" t="s">
        <v>33</v>
      </c>
      <c r="L1260" s="1">
        <v>26</v>
      </c>
      <c r="M1260" s="1">
        <v>10</v>
      </c>
      <c r="N1260" s="1" t="s">
        <v>47</v>
      </c>
      <c r="O1260" s="1">
        <v>3</v>
      </c>
      <c r="P1260" s="1">
        <v>2</v>
      </c>
      <c r="Q1260" s="1">
        <v>4</v>
      </c>
      <c r="R1260" s="1">
        <v>4684</v>
      </c>
      <c r="S1260" s="1">
        <v>5</v>
      </c>
      <c r="T1260" s="1">
        <v>3</v>
      </c>
      <c r="U1260" s="1">
        <v>5</v>
      </c>
      <c r="V1260" s="1">
        <v>3</v>
      </c>
      <c r="W1260" s="1">
        <v>1</v>
      </c>
      <c r="X1260" s="1">
        <v>2</v>
      </c>
    </row>
    <row r="1261" spans="1:24">
      <c r="A1261" s="1">
        <v>1260</v>
      </c>
      <c r="B1261" s="1" t="s">
        <v>33</v>
      </c>
      <c r="C1261" s="1" t="s">
        <v>25</v>
      </c>
      <c r="D1261" s="1" t="s">
        <v>43</v>
      </c>
      <c r="E1261" s="1" t="s">
        <v>27</v>
      </c>
      <c r="F1261" s="1" t="s">
        <v>41</v>
      </c>
      <c r="G1261" s="1">
        <v>1</v>
      </c>
      <c r="H1261" s="1" t="s">
        <v>37</v>
      </c>
      <c r="I1261" s="1" t="s">
        <v>30</v>
      </c>
      <c r="J1261" s="1" t="s">
        <v>31</v>
      </c>
      <c r="K1261" s="1" t="s">
        <v>33</v>
      </c>
      <c r="L1261" s="1">
        <v>34</v>
      </c>
      <c r="M1261" s="1">
        <v>3</v>
      </c>
      <c r="N1261" s="1" t="s">
        <v>47</v>
      </c>
      <c r="O1261" s="1">
        <v>4</v>
      </c>
      <c r="P1261" s="1">
        <v>2</v>
      </c>
      <c r="Q1261" s="1">
        <v>1</v>
      </c>
      <c r="R1261" s="1">
        <v>4759</v>
      </c>
      <c r="S1261" s="1">
        <v>15</v>
      </c>
      <c r="T1261" s="1">
        <v>3</v>
      </c>
      <c r="U1261" s="1">
        <v>13</v>
      </c>
      <c r="V1261" s="1">
        <v>9</v>
      </c>
      <c r="W1261" s="1">
        <v>3</v>
      </c>
      <c r="X1261" s="1">
        <v>12</v>
      </c>
    </row>
    <row r="1262" spans="1:24">
      <c r="A1262" s="1">
        <v>1261</v>
      </c>
      <c r="B1262" s="1" t="s">
        <v>33</v>
      </c>
      <c r="C1262" s="1" t="s">
        <v>25</v>
      </c>
      <c r="D1262" s="1" t="s">
        <v>52</v>
      </c>
      <c r="E1262" s="1" t="s">
        <v>27</v>
      </c>
      <c r="F1262" s="1" t="s">
        <v>28</v>
      </c>
      <c r="G1262" s="1">
        <v>1</v>
      </c>
      <c r="H1262" s="1" t="s">
        <v>37</v>
      </c>
      <c r="I1262" s="1" t="s">
        <v>54</v>
      </c>
      <c r="J1262" s="1" t="s">
        <v>31</v>
      </c>
      <c r="K1262" s="1" t="s">
        <v>33</v>
      </c>
      <c r="L1262" s="1">
        <v>20</v>
      </c>
      <c r="M1262" s="1">
        <v>9</v>
      </c>
      <c r="N1262" s="1" t="s">
        <v>40</v>
      </c>
      <c r="O1262" s="1">
        <v>4</v>
      </c>
      <c r="P1262" s="1">
        <v>1</v>
      </c>
      <c r="Q1262" s="1">
        <v>1</v>
      </c>
      <c r="R1262" s="1">
        <v>2728</v>
      </c>
      <c r="S1262" s="1">
        <v>2</v>
      </c>
      <c r="T1262" s="1">
        <v>3</v>
      </c>
      <c r="U1262" s="1">
        <v>2</v>
      </c>
      <c r="V1262" s="1">
        <v>2</v>
      </c>
      <c r="W1262" s="1">
        <v>0</v>
      </c>
      <c r="X1262" s="1">
        <v>2</v>
      </c>
    </row>
    <row r="1263" spans="1:24">
      <c r="A1263" s="1">
        <v>1262</v>
      </c>
      <c r="B1263" s="1" t="s">
        <v>33</v>
      </c>
      <c r="C1263" s="1" t="s">
        <v>25</v>
      </c>
      <c r="D1263" s="1" t="s">
        <v>43</v>
      </c>
      <c r="E1263" s="1" t="s">
        <v>27</v>
      </c>
      <c r="F1263" s="1" t="s">
        <v>45</v>
      </c>
      <c r="G1263" s="1">
        <v>1</v>
      </c>
      <c r="H1263" s="1" t="s">
        <v>37</v>
      </c>
      <c r="I1263" s="1" t="s">
        <v>30</v>
      </c>
      <c r="J1263" s="1" t="s">
        <v>31</v>
      </c>
      <c r="K1263" s="1" t="s">
        <v>33</v>
      </c>
      <c r="L1263" s="1">
        <v>28</v>
      </c>
      <c r="M1263" s="1">
        <v>5</v>
      </c>
      <c r="N1263" s="1" t="s">
        <v>47</v>
      </c>
      <c r="O1263" s="1">
        <v>4</v>
      </c>
      <c r="P1263" s="1">
        <v>2</v>
      </c>
      <c r="Q1263" s="1">
        <v>1</v>
      </c>
      <c r="R1263" s="1">
        <v>8463</v>
      </c>
      <c r="S1263" s="1">
        <v>6</v>
      </c>
      <c r="T1263" s="1">
        <v>3</v>
      </c>
      <c r="U1263" s="1">
        <v>5</v>
      </c>
      <c r="V1263" s="1">
        <v>4</v>
      </c>
      <c r="W1263" s="1">
        <v>1</v>
      </c>
      <c r="X1263" s="1">
        <v>3</v>
      </c>
    </row>
    <row r="1264" spans="1:24">
      <c r="A1264" s="1">
        <v>1263</v>
      </c>
      <c r="B1264" s="1" t="s">
        <v>33</v>
      </c>
      <c r="C1264" s="1" t="s">
        <v>25</v>
      </c>
      <c r="D1264" s="1" t="s">
        <v>26</v>
      </c>
      <c r="E1264" s="1" t="s">
        <v>27</v>
      </c>
      <c r="F1264" s="1" t="s">
        <v>56</v>
      </c>
      <c r="G1264" s="1">
        <v>1</v>
      </c>
      <c r="H1264" s="1" t="s">
        <v>37</v>
      </c>
      <c r="I1264" s="1" t="s">
        <v>30</v>
      </c>
      <c r="J1264" s="1" t="s">
        <v>31</v>
      </c>
      <c r="K1264" s="1" t="s">
        <v>33</v>
      </c>
      <c r="L1264" s="1">
        <v>41</v>
      </c>
      <c r="M1264" s="1">
        <v>6</v>
      </c>
      <c r="N1264" s="1" t="s">
        <v>47</v>
      </c>
      <c r="O1264" s="1">
        <v>4</v>
      </c>
      <c r="P1264" s="1">
        <v>3</v>
      </c>
      <c r="Q1264" s="1">
        <v>3</v>
      </c>
      <c r="R1264" s="1">
        <v>9241</v>
      </c>
      <c r="S1264" s="1">
        <v>10</v>
      </c>
      <c r="T1264" s="1">
        <v>3</v>
      </c>
      <c r="U1264" s="1">
        <v>10</v>
      </c>
      <c r="V1264" s="1">
        <v>8</v>
      </c>
      <c r="W1264" s="1">
        <v>8</v>
      </c>
      <c r="X1264" s="1">
        <v>7</v>
      </c>
    </row>
    <row r="1265" spans="1:24">
      <c r="A1265" s="1">
        <v>1264</v>
      </c>
      <c r="B1265" s="1" t="s">
        <v>33</v>
      </c>
      <c r="C1265" s="1" t="s">
        <v>25</v>
      </c>
      <c r="D1265" s="1" t="s">
        <v>43</v>
      </c>
      <c r="E1265" s="1" t="s">
        <v>27</v>
      </c>
      <c r="F1265" s="1" t="s">
        <v>56</v>
      </c>
      <c r="G1265" s="1">
        <v>1</v>
      </c>
      <c r="H1265" s="1" t="s">
        <v>37</v>
      </c>
      <c r="I1265" s="1" t="s">
        <v>30</v>
      </c>
      <c r="J1265" s="1" t="s">
        <v>31</v>
      </c>
      <c r="K1265" s="1" t="s">
        <v>33</v>
      </c>
      <c r="L1265" s="1">
        <v>27</v>
      </c>
      <c r="M1265" s="1">
        <v>9</v>
      </c>
      <c r="N1265" s="1" t="s">
        <v>47</v>
      </c>
      <c r="O1265" s="1">
        <v>4</v>
      </c>
      <c r="P1265" s="1">
        <v>2</v>
      </c>
      <c r="Q1265" s="1">
        <v>4</v>
      </c>
      <c r="R1265" s="1">
        <v>4105</v>
      </c>
      <c r="S1265" s="1">
        <v>7</v>
      </c>
      <c r="T1265" s="1">
        <v>3</v>
      </c>
      <c r="U1265" s="1">
        <v>7</v>
      </c>
      <c r="V1265" s="1">
        <v>7</v>
      </c>
      <c r="W1265" s="1">
        <v>0</v>
      </c>
      <c r="X1265" s="1">
        <v>7</v>
      </c>
    </row>
    <row r="1266" spans="1:24">
      <c r="A1266" s="1">
        <v>1265</v>
      </c>
      <c r="B1266" s="1" t="s">
        <v>33</v>
      </c>
      <c r="C1266" s="1" t="s">
        <v>25</v>
      </c>
      <c r="D1266" s="1" t="s">
        <v>35</v>
      </c>
      <c r="E1266" s="1" t="s">
        <v>27</v>
      </c>
      <c r="F1266" s="1" t="s">
        <v>28</v>
      </c>
      <c r="G1266" s="1">
        <v>1</v>
      </c>
      <c r="H1266" s="1" t="s">
        <v>37</v>
      </c>
      <c r="I1266" s="1" t="s">
        <v>53</v>
      </c>
      <c r="J1266" s="1" t="s">
        <v>31</v>
      </c>
      <c r="K1266" s="1" t="s">
        <v>33</v>
      </c>
      <c r="L1266" s="1">
        <v>46</v>
      </c>
      <c r="M1266" s="1">
        <v>1</v>
      </c>
      <c r="N1266" s="1" t="s">
        <v>44</v>
      </c>
      <c r="O1266" s="1">
        <v>4</v>
      </c>
      <c r="P1266" s="1">
        <v>4</v>
      </c>
      <c r="Q1266" s="1">
        <v>1</v>
      </c>
      <c r="R1266" s="1">
        <v>17567</v>
      </c>
      <c r="S1266" s="1">
        <v>27</v>
      </c>
      <c r="T1266" s="1">
        <v>1</v>
      </c>
      <c r="U1266" s="1">
        <v>26</v>
      </c>
      <c r="V1266" s="1">
        <v>0</v>
      </c>
      <c r="W1266" s="1">
        <v>0</v>
      </c>
      <c r="X1266" s="1">
        <v>12</v>
      </c>
    </row>
    <row r="1267" spans="1:24">
      <c r="A1267" s="1">
        <v>1266</v>
      </c>
      <c r="B1267" s="1" t="s">
        <v>33</v>
      </c>
      <c r="C1267" s="1" t="s">
        <v>51</v>
      </c>
      <c r="D1267" s="1" t="s">
        <v>52</v>
      </c>
      <c r="E1267" s="1" t="s">
        <v>36</v>
      </c>
      <c r="F1267" s="1" t="s">
        <v>41</v>
      </c>
      <c r="G1267" s="1">
        <v>1</v>
      </c>
      <c r="H1267" s="1" t="s">
        <v>29</v>
      </c>
      <c r="I1267" s="1" t="s">
        <v>38</v>
      </c>
      <c r="J1267" s="1" t="s">
        <v>39</v>
      </c>
      <c r="K1267" s="1" t="s">
        <v>24</v>
      </c>
      <c r="L1267" s="1">
        <v>22</v>
      </c>
      <c r="M1267" s="1">
        <v>26</v>
      </c>
      <c r="N1267" s="1" t="s">
        <v>32</v>
      </c>
      <c r="O1267" s="1">
        <v>2</v>
      </c>
      <c r="P1267" s="1">
        <v>1</v>
      </c>
      <c r="Q1267" s="1">
        <v>3</v>
      </c>
      <c r="R1267" s="1">
        <v>2814</v>
      </c>
      <c r="S1267" s="1">
        <v>4</v>
      </c>
      <c r="T1267" s="1">
        <v>2</v>
      </c>
      <c r="U1267" s="1">
        <v>4</v>
      </c>
      <c r="V1267" s="1">
        <v>2</v>
      </c>
      <c r="W1267" s="1">
        <v>1</v>
      </c>
      <c r="X1267" s="1">
        <v>3</v>
      </c>
    </row>
    <row r="1268" spans="1:24">
      <c r="A1268" s="1">
        <v>1267</v>
      </c>
      <c r="B1268" s="1" t="s">
        <v>33</v>
      </c>
      <c r="C1268" s="1" t="s">
        <v>34</v>
      </c>
      <c r="D1268" s="1" t="s">
        <v>26</v>
      </c>
      <c r="E1268" s="1" t="s">
        <v>36</v>
      </c>
      <c r="F1268" s="1" t="s">
        <v>45</v>
      </c>
      <c r="G1268" s="1">
        <v>1</v>
      </c>
      <c r="H1268" s="1" t="s">
        <v>29</v>
      </c>
      <c r="I1268" s="1" t="s">
        <v>38</v>
      </c>
      <c r="J1268" s="1" t="s">
        <v>48</v>
      </c>
      <c r="K1268" s="1" t="s">
        <v>24</v>
      </c>
      <c r="L1268" s="1">
        <v>38</v>
      </c>
      <c r="M1268" s="1">
        <v>8</v>
      </c>
      <c r="N1268" s="1" t="s">
        <v>47</v>
      </c>
      <c r="O1268" s="1">
        <v>4</v>
      </c>
      <c r="P1268" s="1">
        <v>2</v>
      </c>
      <c r="Q1268" s="1">
        <v>2</v>
      </c>
      <c r="R1268" s="1">
        <v>2133</v>
      </c>
      <c r="S1268" s="1">
        <v>20</v>
      </c>
      <c r="T1268" s="1">
        <v>3</v>
      </c>
      <c r="U1268" s="1">
        <v>20</v>
      </c>
      <c r="V1268" s="1">
        <v>11</v>
      </c>
      <c r="W1268" s="1">
        <v>0</v>
      </c>
      <c r="X1268" s="1">
        <v>7</v>
      </c>
    </row>
    <row r="1269" spans="1:24">
      <c r="A1269" s="1">
        <v>1268</v>
      </c>
      <c r="B1269" s="1" t="s">
        <v>33</v>
      </c>
      <c r="C1269" s="1" t="s">
        <v>34</v>
      </c>
      <c r="D1269" s="1" t="s">
        <v>52</v>
      </c>
      <c r="E1269" s="1" t="s">
        <v>36</v>
      </c>
      <c r="F1269" s="1" t="s">
        <v>57</v>
      </c>
      <c r="G1269" s="1">
        <v>1</v>
      </c>
      <c r="H1269" s="1" t="s">
        <v>29</v>
      </c>
      <c r="I1269" s="1" t="s">
        <v>38</v>
      </c>
      <c r="J1269" s="1" t="s">
        <v>31</v>
      </c>
      <c r="K1269" s="1" t="s">
        <v>24</v>
      </c>
      <c r="L1269" s="1">
        <v>24</v>
      </c>
      <c r="M1269" s="1">
        <v>2</v>
      </c>
      <c r="N1269" s="1" t="s">
        <v>40</v>
      </c>
      <c r="O1269" s="1">
        <v>1</v>
      </c>
      <c r="P1269" s="1">
        <v>1</v>
      </c>
      <c r="Q1269" s="1">
        <v>4</v>
      </c>
      <c r="R1269" s="1">
        <v>3760</v>
      </c>
      <c r="S1269" s="1">
        <v>6</v>
      </c>
      <c r="T1269" s="1">
        <v>3</v>
      </c>
      <c r="U1269" s="1">
        <v>6</v>
      </c>
      <c r="V1269" s="1">
        <v>3</v>
      </c>
      <c r="W1269" s="1">
        <v>1</v>
      </c>
      <c r="X1269" s="1">
        <v>3</v>
      </c>
    </row>
    <row r="1270" spans="1:24">
      <c r="A1270" s="1">
        <v>1269</v>
      </c>
      <c r="B1270" s="1" t="s">
        <v>33</v>
      </c>
      <c r="C1270" s="1" t="s">
        <v>34</v>
      </c>
      <c r="D1270" s="1" t="s">
        <v>43</v>
      </c>
      <c r="E1270" s="1" t="s">
        <v>36</v>
      </c>
      <c r="F1270" s="1" t="s">
        <v>28</v>
      </c>
      <c r="G1270" s="1">
        <v>1</v>
      </c>
      <c r="H1270" s="1" t="s">
        <v>29</v>
      </c>
      <c r="I1270" s="1" t="s">
        <v>42</v>
      </c>
      <c r="J1270" s="1" t="s">
        <v>31</v>
      </c>
      <c r="K1270" s="1" t="s">
        <v>24</v>
      </c>
      <c r="L1270" s="1">
        <v>27</v>
      </c>
      <c r="M1270" s="1">
        <v>5</v>
      </c>
      <c r="N1270" s="1" t="s">
        <v>32</v>
      </c>
      <c r="O1270" s="1">
        <v>4</v>
      </c>
      <c r="P1270" s="1">
        <v>1</v>
      </c>
      <c r="Q1270" s="1">
        <v>4</v>
      </c>
      <c r="R1270" s="1">
        <v>2379</v>
      </c>
      <c r="S1270" s="1">
        <v>6</v>
      </c>
      <c r="T1270" s="1">
        <v>2</v>
      </c>
      <c r="U1270" s="1">
        <v>5</v>
      </c>
      <c r="V1270" s="1">
        <v>4</v>
      </c>
      <c r="W1270" s="1">
        <v>0</v>
      </c>
      <c r="X1270" s="1">
        <v>2</v>
      </c>
    </row>
    <row r="1271" spans="1:24">
      <c r="A1271" s="1">
        <v>1270</v>
      </c>
      <c r="B1271" s="1" t="s">
        <v>33</v>
      </c>
      <c r="C1271" s="1" t="s">
        <v>25</v>
      </c>
      <c r="D1271" s="1" t="s">
        <v>26</v>
      </c>
      <c r="E1271" s="1" t="s">
        <v>59</v>
      </c>
      <c r="F1271" s="1" t="s">
        <v>28</v>
      </c>
      <c r="G1271" s="1">
        <v>1</v>
      </c>
      <c r="H1271" s="1" t="s">
        <v>29</v>
      </c>
      <c r="I1271" s="1" t="s">
        <v>60</v>
      </c>
      <c r="J1271" s="1" t="s">
        <v>48</v>
      </c>
      <c r="K1271" s="1" t="s">
        <v>24</v>
      </c>
      <c r="L1271" s="1">
        <v>44</v>
      </c>
      <c r="M1271" s="1">
        <v>1</v>
      </c>
      <c r="N1271" s="1" t="s">
        <v>47</v>
      </c>
      <c r="O1271" s="1">
        <v>3</v>
      </c>
      <c r="P1271" s="1">
        <v>1</v>
      </c>
      <c r="Q1271" s="1">
        <v>4</v>
      </c>
      <c r="R1271" s="1">
        <v>3195</v>
      </c>
      <c r="S1271" s="1">
        <v>8</v>
      </c>
      <c r="T1271" s="1">
        <v>3</v>
      </c>
      <c r="U1271" s="1">
        <v>2</v>
      </c>
      <c r="V1271" s="1">
        <v>2</v>
      </c>
      <c r="W1271" s="1">
        <v>2</v>
      </c>
      <c r="X1271" s="1">
        <v>2</v>
      </c>
    </row>
    <row r="1272" spans="1:24">
      <c r="A1272" s="1">
        <v>1271</v>
      </c>
      <c r="B1272" s="1" t="s">
        <v>33</v>
      </c>
      <c r="C1272" s="1" t="s">
        <v>25</v>
      </c>
      <c r="D1272" s="1" t="s">
        <v>26</v>
      </c>
      <c r="E1272" s="1" t="s">
        <v>59</v>
      </c>
      <c r="F1272" s="1" t="s">
        <v>28</v>
      </c>
      <c r="G1272" s="1">
        <v>1</v>
      </c>
      <c r="H1272" s="1" t="s">
        <v>29</v>
      </c>
      <c r="I1272" s="1" t="s">
        <v>60</v>
      </c>
      <c r="J1272" s="1" t="s">
        <v>31</v>
      </c>
      <c r="K1272" s="1" t="s">
        <v>24</v>
      </c>
      <c r="L1272" s="1">
        <v>35</v>
      </c>
      <c r="M1272" s="1">
        <v>26</v>
      </c>
      <c r="N1272" s="1" t="s">
        <v>44</v>
      </c>
      <c r="O1272" s="1">
        <v>3</v>
      </c>
      <c r="P1272" s="1">
        <v>3</v>
      </c>
      <c r="Q1272" s="1">
        <v>4</v>
      </c>
      <c r="R1272" s="1">
        <v>8837</v>
      </c>
      <c r="S1272" s="1">
        <v>9</v>
      </c>
      <c r="T1272" s="1">
        <v>3</v>
      </c>
      <c r="U1272" s="1">
        <v>9</v>
      </c>
      <c r="V1272" s="1">
        <v>0</v>
      </c>
      <c r="W1272" s="1">
        <v>1</v>
      </c>
      <c r="X1272" s="1">
        <v>7</v>
      </c>
    </row>
    <row r="1273" spans="1:24">
      <c r="A1273" s="1">
        <v>1272</v>
      </c>
      <c r="B1273" s="1" t="s">
        <v>33</v>
      </c>
      <c r="C1273" s="1" t="s">
        <v>25</v>
      </c>
      <c r="D1273" s="1" t="s">
        <v>26</v>
      </c>
      <c r="E1273" s="1" t="s">
        <v>36</v>
      </c>
      <c r="F1273" s="1" t="s">
        <v>45</v>
      </c>
      <c r="G1273" s="1">
        <v>1</v>
      </c>
      <c r="H1273" s="1" t="s">
        <v>29</v>
      </c>
      <c r="I1273" s="1" t="s">
        <v>55</v>
      </c>
      <c r="J1273" s="1" t="s">
        <v>48</v>
      </c>
      <c r="K1273" s="1" t="s">
        <v>24</v>
      </c>
      <c r="L1273" s="1">
        <v>44</v>
      </c>
      <c r="M1273" s="1">
        <v>7</v>
      </c>
      <c r="N1273" s="1" t="s">
        <v>47</v>
      </c>
      <c r="O1273" s="1">
        <v>2</v>
      </c>
      <c r="P1273" s="1">
        <v>5</v>
      </c>
      <c r="Q1273" s="1">
        <v>4</v>
      </c>
      <c r="R1273" s="1">
        <v>19049</v>
      </c>
      <c r="S1273" s="1">
        <v>23</v>
      </c>
      <c r="T1273" s="1">
        <v>2</v>
      </c>
      <c r="U1273" s="1">
        <v>22</v>
      </c>
      <c r="V1273" s="1">
        <v>7</v>
      </c>
      <c r="W1273" s="1">
        <v>1</v>
      </c>
      <c r="X1273" s="1">
        <v>10</v>
      </c>
    </row>
    <row r="1274" spans="1:24">
      <c r="A1274" s="1">
        <v>1273</v>
      </c>
      <c r="B1274" s="1" t="s">
        <v>33</v>
      </c>
      <c r="C1274" s="1" t="s">
        <v>25</v>
      </c>
      <c r="D1274" s="1" t="s">
        <v>35</v>
      </c>
      <c r="E1274" s="1" t="s">
        <v>36</v>
      </c>
      <c r="F1274" s="1" t="s">
        <v>28</v>
      </c>
      <c r="G1274" s="1">
        <v>1</v>
      </c>
      <c r="H1274" s="1" t="s">
        <v>29</v>
      </c>
      <c r="I1274" s="1" t="s">
        <v>49</v>
      </c>
      <c r="J1274" s="1" t="s">
        <v>48</v>
      </c>
      <c r="K1274" s="1" t="s">
        <v>24</v>
      </c>
      <c r="L1274" s="1">
        <v>47</v>
      </c>
      <c r="M1274" s="1">
        <v>4</v>
      </c>
      <c r="N1274" s="1" t="s">
        <v>47</v>
      </c>
      <c r="O1274" s="1">
        <v>3</v>
      </c>
      <c r="P1274" s="1">
        <v>3</v>
      </c>
      <c r="Q1274" s="1">
        <v>2</v>
      </c>
      <c r="R1274" s="1">
        <v>10333</v>
      </c>
      <c r="S1274" s="1">
        <v>28</v>
      </c>
      <c r="T1274" s="1">
        <v>3</v>
      </c>
      <c r="U1274" s="1">
        <v>22</v>
      </c>
      <c r="V1274" s="1">
        <v>11</v>
      </c>
      <c r="W1274" s="1">
        <v>14</v>
      </c>
      <c r="X1274" s="1">
        <v>10</v>
      </c>
    </row>
    <row r="1275" spans="1:24">
      <c r="A1275" s="1">
        <v>1274</v>
      </c>
      <c r="B1275" s="1" t="s">
        <v>33</v>
      </c>
      <c r="C1275" s="1" t="s">
        <v>25</v>
      </c>
      <c r="D1275" s="1" t="s">
        <v>35</v>
      </c>
      <c r="E1275" s="1" t="s">
        <v>36</v>
      </c>
      <c r="F1275" s="1" t="s">
        <v>45</v>
      </c>
      <c r="G1275" s="1">
        <v>1</v>
      </c>
      <c r="H1275" s="1" t="s">
        <v>29</v>
      </c>
      <c r="I1275" s="1" t="s">
        <v>42</v>
      </c>
      <c r="J1275" s="1" t="s">
        <v>48</v>
      </c>
      <c r="K1275" s="1" t="s">
        <v>24</v>
      </c>
      <c r="L1275" s="1">
        <v>49</v>
      </c>
      <c r="M1275" s="1">
        <v>16</v>
      </c>
      <c r="N1275" s="1" t="s">
        <v>47</v>
      </c>
      <c r="O1275" s="1">
        <v>4</v>
      </c>
      <c r="P1275" s="1">
        <v>1</v>
      </c>
      <c r="Q1275" s="1">
        <v>1</v>
      </c>
      <c r="R1275" s="1">
        <v>2587</v>
      </c>
      <c r="S1275" s="1">
        <v>17</v>
      </c>
      <c r="T1275" s="1">
        <v>2</v>
      </c>
      <c r="U1275" s="1">
        <v>2</v>
      </c>
      <c r="V1275" s="1">
        <v>2</v>
      </c>
      <c r="W1275" s="1">
        <v>2</v>
      </c>
      <c r="X1275" s="1">
        <v>2</v>
      </c>
    </row>
    <row r="1276" spans="1:24">
      <c r="A1276" s="1">
        <v>1275</v>
      </c>
      <c r="B1276" s="1" t="s">
        <v>33</v>
      </c>
      <c r="C1276" s="1" t="s">
        <v>25</v>
      </c>
      <c r="D1276" s="1" t="s">
        <v>43</v>
      </c>
      <c r="E1276" s="1" t="s">
        <v>36</v>
      </c>
      <c r="F1276" s="1" t="s">
        <v>45</v>
      </c>
      <c r="G1276" s="1">
        <v>1</v>
      </c>
      <c r="H1276" s="1" t="s">
        <v>29</v>
      </c>
      <c r="I1276" s="1" t="s">
        <v>42</v>
      </c>
      <c r="J1276" s="1" t="s">
        <v>48</v>
      </c>
      <c r="K1276" s="1" t="s">
        <v>24</v>
      </c>
      <c r="L1276" s="1">
        <v>31</v>
      </c>
      <c r="M1276" s="1">
        <v>2</v>
      </c>
      <c r="N1276" s="1" t="s">
        <v>40</v>
      </c>
      <c r="O1276" s="1">
        <v>4</v>
      </c>
      <c r="P1276" s="1">
        <v>1</v>
      </c>
      <c r="Q1276" s="1">
        <v>4</v>
      </c>
      <c r="R1276" s="1">
        <v>1129</v>
      </c>
      <c r="S1276" s="1">
        <v>1</v>
      </c>
      <c r="T1276" s="1">
        <v>3</v>
      </c>
      <c r="U1276" s="1">
        <v>1</v>
      </c>
      <c r="V1276" s="1">
        <v>0</v>
      </c>
      <c r="W1276" s="1">
        <v>0</v>
      </c>
      <c r="X1276" s="1">
        <v>0</v>
      </c>
    </row>
    <row r="1277" spans="1:24">
      <c r="A1277" s="1">
        <v>1276</v>
      </c>
      <c r="B1277" s="1" t="s">
        <v>33</v>
      </c>
      <c r="C1277" s="1" t="s">
        <v>25</v>
      </c>
      <c r="D1277" s="1" t="s">
        <v>26</v>
      </c>
      <c r="E1277" s="1" t="s">
        <v>36</v>
      </c>
      <c r="F1277" s="1" t="s">
        <v>41</v>
      </c>
      <c r="G1277" s="1">
        <v>1</v>
      </c>
      <c r="H1277" s="1" t="s">
        <v>29</v>
      </c>
      <c r="I1277" s="1" t="s">
        <v>49</v>
      </c>
      <c r="J1277" s="1" t="s">
        <v>39</v>
      </c>
      <c r="K1277" s="1" t="s">
        <v>24</v>
      </c>
      <c r="L1277" s="1">
        <v>35</v>
      </c>
      <c r="M1277" s="1">
        <v>16</v>
      </c>
      <c r="N1277" s="1" t="s">
        <v>32</v>
      </c>
      <c r="O1277" s="1">
        <v>4</v>
      </c>
      <c r="P1277" s="1">
        <v>2</v>
      </c>
      <c r="Q1277" s="1">
        <v>2</v>
      </c>
      <c r="R1277" s="1">
        <v>4788</v>
      </c>
      <c r="S1277" s="1">
        <v>4</v>
      </c>
      <c r="T1277" s="1">
        <v>3</v>
      </c>
      <c r="U1277" s="1">
        <v>3</v>
      </c>
      <c r="V1277" s="1">
        <v>2</v>
      </c>
      <c r="W1277" s="1">
        <v>0</v>
      </c>
      <c r="X1277" s="1">
        <v>2</v>
      </c>
    </row>
    <row r="1278" spans="1:24">
      <c r="A1278" s="1">
        <v>1277</v>
      </c>
      <c r="B1278" s="1" t="s">
        <v>33</v>
      </c>
      <c r="C1278" s="1" t="s">
        <v>25</v>
      </c>
      <c r="D1278" s="1" t="s">
        <v>43</v>
      </c>
      <c r="E1278" s="1" t="s">
        <v>36</v>
      </c>
      <c r="F1278" s="1" t="s">
        <v>28</v>
      </c>
      <c r="G1278" s="1">
        <v>1</v>
      </c>
      <c r="H1278" s="1" t="s">
        <v>29</v>
      </c>
      <c r="I1278" s="1" t="s">
        <v>38</v>
      </c>
      <c r="J1278" s="1" t="s">
        <v>39</v>
      </c>
      <c r="K1278" s="1" t="s">
        <v>24</v>
      </c>
      <c r="L1278" s="1">
        <v>26</v>
      </c>
      <c r="M1278" s="1">
        <v>1</v>
      </c>
      <c r="N1278" s="1" t="s">
        <v>32</v>
      </c>
      <c r="O1278" s="1">
        <v>2</v>
      </c>
      <c r="P1278" s="1">
        <v>1</v>
      </c>
      <c r="Q1278" s="1">
        <v>3</v>
      </c>
      <c r="R1278" s="1">
        <v>2933</v>
      </c>
      <c r="S1278" s="1">
        <v>1</v>
      </c>
      <c r="T1278" s="1">
        <v>2</v>
      </c>
      <c r="U1278" s="1">
        <v>1</v>
      </c>
      <c r="V1278" s="1">
        <v>0</v>
      </c>
      <c r="W1278" s="1">
        <v>1</v>
      </c>
      <c r="X1278" s="1">
        <v>0</v>
      </c>
    </row>
    <row r="1279" spans="1:24">
      <c r="A1279" s="1">
        <v>1278</v>
      </c>
      <c r="B1279" s="1" t="s">
        <v>33</v>
      </c>
      <c r="C1279" s="1" t="s">
        <v>25</v>
      </c>
      <c r="D1279" s="1" t="s">
        <v>26</v>
      </c>
      <c r="E1279" s="1" t="s">
        <v>36</v>
      </c>
      <c r="F1279" s="1" t="s">
        <v>28</v>
      </c>
      <c r="G1279" s="1">
        <v>1</v>
      </c>
      <c r="H1279" s="1" t="s">
        <v>29</v>
      </c>
      <c r="I1279" s="1" t="s">
        <v>49</v>
      </c>
      <c r="J1279" s="1" t="s">
        <v>39</v>
      </c>
      <c r="K1279" s="1" t="s">
        <v>24</v>
      </c>
      <c r="L1279" s="1">
        <v>40</v>
      </c>
      <c r="M1279" s="1">
        <v>8</v>
      </c>
      <c r="N1279" s="1" t="s">
        <v>32</v>
      </c>
      <c r="O1279" s="1">
        <v>2</v>
      </c>
      <c r="P1279" s="1">
        <v>2</v>
      </c>
      <c r="Q1279" s="1">
        <v>1</v>
      </c>
      <c r="R1279" s="1">
        <v>6516</v>
      </c>
      <c r="S1279" s="1">
        <v>18</v>
      </c>
      <c r="T1279" s="1">
        <v>3</v>
      </c>
      <c r="U1279" s="1">
        <v>1</v>
      </c>
      <c r="V1279" s="1">
        <v>0</v>
      </c>
      <c r="W1279" s="1">
        <v>0</v>
      </c>
      <c r="X1279" s="1">
        <v>0</v>
      </c>
    </row>
    <row r="1280" spans="1:24">
      <c r="A1280" s="1">
        <v>1279</v>
      </c>
      <c r="B1280" s="1" t="s">
        <v>33</v>
      </c>
      <c r="C1280" s="1" t="s">
        <v>25</v>
      </c>
      <c r="D1280" s="1" t="s">
        <v>43</v>
      </c>
      <c r="E1280" s="1" t="s">
        <v>36</v>
      </c>
      <c r="F1280" s="1" t="s">
        <v>45</v>
      </c>
      <c r="G1280" s="1">
        <v>1</v>
      </c>
      <c r="H1280" s="1" t="s">
        <v>29</v>
      </c>
      <c r="I1280" s="1" t="s">
        <v>50</v>
      </c>
      <c r="J1280" s="1" t="s">
        <v>39</v>
      </c>
      <c r="K1280" s="1" t="s">
        <v>24</v>
      </c>
      <c r="L1280" s="1">
        <v>33</v>
      </c>
      <c r="M1280" s="1">
        <v>15</v>
      </c>
      <c r="N1280" s="1" t="s">
        <v>32</v>
      </c>
      <c r="O1280" s="1">
        <v>2</v>
      </c>
      <c r="P1280" s="1">
        <v>2</v>
      </c>
      <c r="Q1280" s="1">
        <v>4</v>
      </c>
      <c r="R1280" s="1">
        <v>4878</v>
      </c>
      <c r="S1280" s="1">
        <v>10</v>
      </c>
      <c r="T1280" s="1">
        <v>3</v>
      </c>
      <c r="U1280" s="1">
        <v>9</v>
      </c>
      <c r="V1280" s="1">
        <v>7</v>
      </c>
      <c r="W1280" s="1">
        <v>8</v>
      </c>
      <c r="X1280" s="1">
        <v>1</v>
      </c>
    </row>
    <row r="1281" spans="1:24">
      <c r="A1281" s="1">
        <v>1280</v>
      </c>
      <c r="B1281" s="1" t="s">
        <v>33</v>
      </c>
      <c r="C1281" s="1" t="s">
        <v>25</v>
      </c>
      <c r="D1281" s="1" t="s">
        <v>35</v>
      </c>
      <c r="E1281" s="1" t="s">
        <v>36</v>
      </c>
      <c r="F1281" s="1" t="s">
        <v>28</v>
      </c>
      <c r="G1281" s="1">
        <v>1</v>
      </c>
      <c r="H1281" s="1" t="s">
        <v>29</v>
      </c>
      <c r="I1281" s="1" t="s">
        <v>50</v>
      </c>
      <c r="J1281" s="1" t="s">
        <v>39</v>
      </c>
      <c r="K1281" s="1" t="s">
        <v>24</v>
      </c>
      <c r="L1281" s="1">
        <v>49</v>
      </c>
      <c r="M1281" s="1">
        <v>6</v>
      </c>
      <c r="N1281" s="1" t="s">
        <v>40</v>
      </c>
      <c r="O1281" s="1">
        <v>3</v>
      </c>
      <c r="P1281" s="1">
        <v>4</v>
      </c>
      <c r="Q1281" s="1">
        <v>3</v>
      </c>
      <c r="R1281" s="1">
        <v>13966</v>
      </c>
      <c r="S1281" s="1">
        <v>30</v>
      </c>
      <c r="T1281" s="1">
        <v>3</v>
      </c>
      <c r="U1281" s="1">
        <v>15</v>
      </c>
      <c r="V1281" s="1">
        <v>11</v>
      </c>
      <c r="W1281" s="1">
        <v>2</v>
      </c>
      <c r="X1281" s="1">
        <v>12</v>
      </c>
    </row>
    <row r="1282" spans="1:24">
      <c r="A1282" s="1">
        <v>1281</v>
      </c>
      <c r="B1282" s="1" t="s">
        <v>33</v>
      </c>
      <c r="C1282" s="1" t="s">
        <v>25</v>
      </c>
      <c r="D1282" s="1" t="s">
        <v>26</v>
      </c>
      <c r="E1282" s="1" t="s">
        <v>36</v>
      </c>
      <c r="F1282" s="1" t="s">
        <v>28</v>
      </c>
      <c r="G1282" s="1">
        <v>1</v>
      </c>
      <c r="H1282" s="1" t="s">
        <v>29</v>
      </c>
      <c r="I1282" s="1" t="s">
        <v>50</v>
      </c>
      <c r="J1282" s="1" t="s">
        <v>39</v>
      </c>
      <c r="K1282" s="1" t="s">
        <v>24</v>
      </c>
      <c r="L1282" s="1">
        <v>44</v>
      </c>
      <c r="M1282" s="1">
        <v>2</v>
      </c>
      <c r="N1282" s="1" t="s">
        <v>47</v>
      </c>
      <c r="O1282" s="1">
        <v>3</v>
      </c>
      <c r="P1282" s="1">
        <v>3</v>
      </c>
      <c r="Q1282" s="1">
        <v>4</v>
      </c>
      <c r="R1282" s="1">
        <v>7879</v>
      </c>
      <c r="S1282" s="1">
        <v>9</v>
      </c>
      <c r="T1282" s="1">
        <v>3</v>
      </c>
      <c r="U1282" s="1">
        <v>8</v>
      </c>
      <c r="V1282" s="1">
        <v>7</v>
      </c>
      <c r="W1282" s="1">
        <v>6</v>
      </c>
      <c r="X1282" s="1">
        <v>7</v>
      </c>
    </row>
    <row r="1283" spans="1:24">
      <c r="A1283" s="1">
        <v>1282</v>
      </c>
      <c r="B1283" s="1" t="s">
        <v>33</v>
      </c>
      <c r="C1283" s="1" t="s">
        <v>25</v>
      </c>
      <c r="D1283" s="1" t="s">
        <v>26</v>
      </c>
      <c r="E1283" s="1" t="s">
        <v>36</v>
      </c>
      <c r="F1283" s="1" t="s">
        <v>45</v>
      </c>
      <c r="G1283" s="1">
        <v>1</v>
      </c>
      <c r="H1283" s="1" t="s">
        <v>29</v>
      </c>
      <c r="I1283" s="1" t="s">
        <v>49</v>
      </c>
      <c r="J1283" s="1" t="s">
        <v>39</v>
      </c>
      <c r="K1283" s="1" t="s">
        <v>24</v>
      </c>
      <c r="L1283" s="1">
        <v>38</v>
      </c>
      <c r="M1283" s="1">
        <v>2</v>
      </c>
      <c r="N1283" s="1" t="s">
        <v>32</v>
      </c>
      <c r="O1283" s="1">
        <v>4</v>
      </c>
      <c r="P1283" s="1">
        <v>3</v>
      </c>
      <c r="Q1283" s="1">
        <v>3</v>
      </c>
      <c r="R1283" s="1">
        <v>7756</v>
      </c>
      <c r="S1283" s="1">
        <v>10</v>
      </c>
      <c r="T1283" s="1">
        <v>4</v>
      </c>
      <c r="U1283" s="1">
        <v>5</v>
      </c>
      <c r="V1283" s="1">
        <v>4</v>
      </c>
      <c r="W1283" s="1">
        <v>0</v>
      </c>
      <c r="X1283" s="1">
        <v>2</v>
      </c>
    </row>
    <row r="1284" spans="1:24">
      <c r="A1284" s="1">
        <v>1283</v>
      </c>
      <c r="B1284" s="1" t="s">
        <v>33</v>
      </c>
      <c r="C1284" s="1" t="s">
        <v>25</v>
      </c>
      <c r="D1284" s="1" t="s">
        <v>26</v>
      </c>
      <c r="E1284" s="1" t="s">
        <v>36</v>
      </c>
      <c r="F1284" s="1" t="s">
        <v>28</v>
      </c>
      <c r="G1284" s="1">
        <v>1</v>
      </c>
      <c r="H1284" s="1" t="s">
        <v>29</v>
      </c>
      <c r="I1284" s="1" t="s">
        <v>49</v>
      </c>
      <c r="J1284" s="1" t="s">
        <v>39</v>
      </c>
      <c r="K1284" s="1" t="s">
        <v>24</v>
      </c>
      <c r="L1284" s="1">
        <v>36</v>
      </c>
      <c r="M1284" s="1">
        <v>12</v>
      </c>
      <c r="N1284" s="1" t="s">
        <v>44</v>
      </c>
      <c r="O1284" s="1">
        <v>3</v>
      </c>
      <c r="P1284" s="1">
        <v>2</v>
      </c>
      <c r="Q1284" s="1">
        <v>3</v>
      </c>
      <c r="R1284" s="1">
        <v>4663</v>
      </c>
      <c r="S1284" s="1">
        <v>7</v>
      </c>
      <c r="T1284" s="1">
        <v>3</v>
      </c>
      <c r="U1284" s="1">
        <v>3</v>
      </c>
      <c r="V1284" s="1">
        <v>2</v>
      </c>
      <c r="W1284" s="1">
        <v>1</v>
      </c>
      <c r="X1284" s="1">
        <v>1</v>
      </c>
    </row>
    <row r="1285" spans="1:24">
      <c r="A1285" s="1">
        <v>1284</v>
      </c>
      <c r="B1285" s="1" t="s">
        <v>33</v>
      </c>
      <c r="C1285" s="1" t="s">
        <v>25</v>
      </c>
      <c r="D1285" s="1" t="s">
        <v>26</v>
      </c>
      <c r="E1285" s="1" t="s">
        <v>36</v>
      </c>
      <c r="F1285" s="1" t="s">
        <v>45</v>
      </c>
      <c r="G1285" s="1">
        <v>1</v>
      </c>
      <c r="H1285" s="1" t="s">
        <v>29</v>
      </c>
      <c r="I1285" s="1" t="s">
        <v>50</v>
      </c>
      <c r="J1285" s="1" t="s">
        <v>31</v>
      </c>
      <c r="K1285" s="1" t="s">
        <v>24</v>
      </c>
      <c r="L1285" s="1">
        <v>35</v>
      </c>
      <c r="M1285" s="1">
        <v>10</v>
      </c>
      <c r="N1285" s="1" t="s">
        <v>44</v>
      </c>
      <c r="O1285" s="1">
        <v>1</v>
      </c>
      <c r="P1285" s="1">
        <v>2</v>
      </c>
      <c r="Q1285" s="1">
        <v>3</v>
      </c>
      <c r="R1285" s="1">
        <v>6142</v>
      </c>
      <c r="S1285" s="1">
        <v>10</v>
      </c>
      <c r="T1285" s="1">
        <v>3</v>
      </c>
      <c r="U1285" s="1">
        <v>5</v>
      </c>
      <c r="V1285" s="1">
        <v>2</v>
      </c>
      <c r="W1285" s="1">
        <v>0</v>
      </c>
      <c r="X1285" s="1">
        <v>4</v>
      </c>
    </row>
    <row r="1286" spans="1:24">
      <c r="A1286" s="1">
        <v>1285</v>
      </c>
      <c r="B1286" s="1" t="s">
        <v>33</v>
      </c>
      <c r="C1286" s="1" t="s">
        <v>25</v>
      </c>
      <c r="D1286" s="1" t="s">
        <v>35</v>
      </c>
      <c r="E1286" s="1" t="s">
        <v>36</v>
      </c>
      <c r="F1286" s="1" t="s">
        <v>45</v>
      </c>
      <c r="G1286" s="1">
        <v>1</v>
      </c>
      <c r="H1286" s="1" t="s">
        <v>29</v>
      </c>
      <c r="I1286" s="1" t="s">
        <v>42</v>
      </c>
      <c r="J1286" s="1" t="s">
        <v>31</v>
      </c>
      <c r="K1286" s="1" t="s">
        <v>24</v>
      </c>
      <c r="L1286" s="1">
        <v>45</v>
      </c>
      <c r="M1286" s="1">
        <v>5</v>
      </c>
      <c r="N1286" s="1" t="s">
        <v>58</v>
      </c>
      <c r="O1286" s="1">
        <v>3</v>
      </c>
      <c r="P1286" s="1">
        <v>2</v>
      </c>
      <c r="Q1286" s="1">
        <v>1</v>
      </c>
      <c r="R1286" s="1">
        <v>5769</v>
      </c>
      <c r="S1286" s="1">
        <v>10</v>
      </c>
      <c r="T1286" s="1">
        <v>3</v>
      </c>
      <c r="U1286" s="1">
        <v>10</v>
      </c>
      <c r="V1286" s="1">
        <v>7</v>
      </c>
      <c r="W1286" s="1">
        <v>1</v>
      </c>
      <c r="X1286" s="1">
        <v>4</v>
      </c>
    </row>
    <row r="1287" spans="1:24">
      <c r="A1287" s="1">
        <v>1286</v>
      </c>
      <c r="B1287" s="1" t="s">
        <v>33</v>
      </c>
      <c r="C1287" s="1" t="s">
        <v>25</v>
      </c>
      <c r="D1287" s="1" t="s">
        <v>35</v>
      </c>
      <c r="E1287" s="1" t="s">
        <v>36</v>
      </c>
      <c r="F1287" s="1" t="s">
        <v>45</v>
      </c>
      <c r="G1287" s="1">
        <v>1</v>
      </c>
      <c r="H1287" s="1" t="s">
        <v>29</v>
      </c>
      <c r="I1287" s="1" t="s">
        <v>49</v>
      </c>
      <c r="J1287" s="1" t="s">
        <v>31</v>
      </c>
      <c r="K1287" s="1" t="s">
        <v>24</v>
      </c>
      <c r="L1287" s="1">
        <v>54</v>
      </c>
      <c r="M1287" s="1">
        <v>10</v>
      </c>
      <c r="N1287" s="1" t="s">
        <v>47</v>
      </c>
      <c r="O1287" s="1">
        <v>3</v>
      </c>
      <c r="P1287" s="1">
        <v>2</v>
      </c>
      <c r="Q1287" s="1">
        <v>1</v>
      </c>
      <c r="R1287" s="1">
        <v>4440</v>
      </c>
      <c r="S1287" s="1">
        <v>9</v>
      </c>
      <c r="T1287" s="1">
        <v>3</v>
      </c>
      <c r="U1287" s="1">
        <v>5</v>
      </c>
      <c r="V1287" s="1">
        <v>2</v>
      </c>
      <c r="W1287" s="1">
        <v>1</v>
      </c>
      <c r="X1287" s="1">
        <v>4</v>
      </c>
    </row>
    <row r="1288" spans="1:24">
      <c r="A1288" s="1">
        <v>1287</v>
      </c>
      <c r="B1288" s="1" t="s">
        <v>33</v>
      </c>
      <c r="C1288" s="1" t="s">
        <v>25</v>
      </c>
      <c r="D1288" s="1" t="s">
        <v>26</v>
      </c>
      <c r="E1288" s="1" t="s">
        <v>36</v>
      </c>
      <c r="F1288" s="1" t="s">
        <v>28</v>
      </c>
      <c r="G1288" s="1">
        <v>1</v>
      </c>
      <c r="H1288" s="1" t="s">
        <v>29</v>
      </c>
      <c r="I1288" s="1" t="s">
        <v>49</v>
      </c>
      <c r="J1288" s="1" t="s">
        <v>31</v>
      </c>
      <c r="K1288" s="1" t="s">
        <v>24</v>
      </c>
      <c r="L1288" s="1">
        <v>40</v>
      </c>
      <c r="M1288" s="1">
        <v>16</v>
      </c>
      <c r="N1288" s="1" t="s">
        <v>47</v>
      </c>
      <c r="O1288" s="1">
        <v>3</v>
      </c>
      <c r="P1288" s="1">
        <v>3</v>
      </c>
      <c r="Q1288" s="1">
        <v>4</v>
      </c>
      <c r="R1288" s="1">
        <v>7945</v>
      </c>
      <c r="S1288" s="1">
        <v>18</v>
      </c>
      <c r="T1288" s="1">
        <v>2</v>
      </c>
      <c r="U1288" s="1">
        <v>4</v>
      </c>
      <c r="V1288" s="1">
        <v>2</v>
      </c>
      <c r="W1288" s="1">
        <v>3</v>
      </c>
      <c r="X1288" s="1">
        <v>3</v>
      </c>
    </row>
    <row r="1289" spans="1:24">
      <c r="A1289" s="1">
        <v>1288</v>
      </c>
      <c r="B1289" s="1" t="s">
        <v>33</v>
      </c>
      <c r="C1289" s="1" t="s">
        <v>25</v>
      </c>
      <c r="D1289" s="1" t="s">
        <v>26</v>
      </c>
      <c r="E1289" s="1" t="s">
        <v>27</v>
      </c>
      <c r="F1289" s="1" t="s">
        <v>56</v>
      </c>
      <c r="G1289" s="1">
        <v>1</v>
      </c>
      <c r="H1289" s="1" t="s">
        <v>29</v>
      </c>
      <c r="I1289" s="1" t="s">
        <v>30</v>
      </c>
      <c r="J1289" s="1" t="s">
        <v>48</v>
      </c>
      <c r="K1289" s="1" t="s">
        <v>24</v>
      </c>
      <c r="L1289" s="1">
        <v>41</v>
      </c>
      <c r="M1289" s="1">
        <v>4</v>
      </c>
      <c r="N1289" s="1" t="s">
        <v>40</v>
      </c>
      <c r="O1289" s="1">
        <v>3</v>
      </c>
      <c r="P1289" s="1">
        <v>3</v>
      </c>
      <c r="Q1289" s="1">
        <v>3</v>
      </c>
      <c r="R1289" s="1">
        <v>10447</v>
      </c>
      <c r="S1289" s="1">
        <v>23</v>
      </c>
      <c r="T1289" s="1">
        <v>4</v>
      </c>
      <c r="U1289" s="1">
        <v>22</v>
      </c>
      <c r="V1289" s="1">
        <v>14</v>
      </c>
      <c r="W1289" s="1">
        <v>13</v>
      </c>
      <c r="X1289" s="1">
        <v>5</v>
      </c>
    </row>
    <row r="1290" spans="1:24">
      <c r="A1290" s="1">
        <v>1289</v>
      </c>
      <c r="B1290" s="1" t="s">
        <v>33</v>
      </c>
      <c r="C1290" s="1" t="s">
        <v>25</v>
      </c>
      <c r="D1290" s="1" t="s">
        <v>43</v>
      </c>
      <c r="E1290" s="1" t="s">
        <v>27</v>
      </c>
      <c r="F1290" s="1" t="s">
        <v>45</v>
      </c>
      <c r="G1290" s="1">
        <v>1</v>
      </c>
      <c r="H1290" s="1" t="s">
        <v>29</v>
      </c>
      <c r="I1290" s="1" t="s">
        <v>30</v>
      </c>
      <c r="J1290" s="1" t="s">
        <v>48</v>
      </c>
      <c r="K1290" s="1" t="s">
        <v>24</v>
      </c>
      <c r="L1290" s="1">
        <v>31</v>
      </c>
      <c r="M1290" s="1">
        <v>10</v>
      </c>
      <c r="N1290" s="1" t="s">
        <v>32</v>
      </c>
      <c r="O1290" s="1">
        <v>3</v>
      </c>
      <c r="P1290" s="1">
        <v>2</v>
      </c>
      <c r="Q1290" s="1">
        <v>4</v>
      </c>
      <c r="R1290" s="1">
        <v>6583</v>
      </c>
      <c r="S1290" s="1">
        <v>8</v>
      </c>
      <c r="T1290" s="1">
        <v>3</v>
      </c>
      <c r="U1290" s="1">
        <v>5</v>
      </c>
      <c r="V1290" s="1">
        <v>2</v>
      </c>
      <c r="W1290" s="1">
        <v>1</v>
      </c>
      <c r="X1290" s="1">
        <v>4</v>
      </c>
    </row>
    <row r="1291" spans="1:24">
      <c r="A1291" s="1">
        <v>1290</v>
      </c>
      <c r="B1291" s="1" t="s">
        <v>33</v>
      </c>
      <c r="C1291" s="1" t="s">
        <v>25</v>
      </c>
      <c r="D1291" s="1" t="s">
        <v>26</v>
      </c>
      <c r="E1291" s="1" t="s">
        <v>27</v>
      </c>
      <c r="F1291" s="1" t="s">
        <v>28</v>
      </c>
      <c r="G1291" s="1">
        <v>1</v>
      </c>
      <c r="H1291" s="1" t="s">
        <v>29</v>
      </c>
      <c r="I1291" s="1" t="s">
        <v>30</v>
      </c>
      <c r="J1291" s="1" t="s">
        <v>39</v>
      </c>
      <c r="K1291" s="1" t="s">
        <v>24</v>
      </c>
      <c r="L1291" s="1">
        <v>35</v>
      </c>
      <c r="M1291" s="1">
        <v>7</v>
      </c>
      <c r="N1291" s="1" t="s">
        <v>44</v>
      </c>
      <c r="O1291" s="1">
        <v>3</v>
      </c>
      <c r="P1291" s="1">
        <v>2</v>
      </c>
      <c r="Q1291" s="1">
        <v>4</v>
      </c>
      <c r="R1291" s="1">
        <v>5204</v>
      </c>
      <c r="S1291" s="1">
        <v>10</v>
      </c>
      <c r="T1291" s="1">
        <v>3</v>
      </c>
      <c r="U1291" s="1">
        <v>10</v>
      </c>
      <c r="V1291" s="1">
        <v>8</v>
      </c>
      <c r="W1291" s="1">
        <v>0</v>
      </c>
      <c r="X1291" s="1">
        <v>9</v>
      </c>
    </row>
    <row r="1292" spans="1:24">
      <c r="A1292" s="1">
        <v>1291</v>
      </c>
      <c r="B1292" s="1" t="s">
        <v>33</v>
      </c>
      <c r="C1292" s="1" t="s">
        <v>25</v>
      </c>
      <c r="D1292" s="1" t="s">
        <v>43</v>
      </c>
      <c r="E1292" s="1" t="s">
        <v>27</v>
      </c>
      <c r="F1292" s="1" t="s">
        <v>45</v>
      </c>
      <c r="G1292" s="1">
        <v>1</v>
      </c>
      <c r="H1292" s="1" t="s">
        <v>29</v>
      </c>
      <c r="I1292" s="1" t="s">
        <v>30</v>
      </c>
      <c r="J1292" s="1" t="s">
        <v>39</v>
      </c>
      <c r="K1292" s="1" t="s">
        <v>24</v>
      </c>
      <c r="L1292" s="1">
        <v>34</v>
      </c>
      <c r="M1292" s="1">
        <v>3</v>
      </c>
      <c r="N1292" s="1" t="s">
        <v>40</v>
      </c>
      <c r="O1292" s="1">
        <v>4</v>
      </c>
      <c r="P1292" s="1">
        <v>2</v>
      </c>
      <c r="Q1292" s="1">
        <v>4</v>
      </c>
      <c r="R1292" s="1">
        <v>8103</v>
      </c>
      <c r="S1292" s="1">
        <v>9</v>
      </c>
      <c r="T1292" s="1">
        <v>2</v>
      </c>
      <c r="U1292" s="1">
        <v>4</v>
      </c>
      <c r="V1292" s="1">
        <v>2</v>
      </c>
      <c r="W1292" s="1">
        <v>0</v>
      </c>
      <c r="X1292" s="1">
        <v>1</v>
      </c>
    </row>
    <row r="1293" spans="1:24">
      <c r="A1293" s="1">
        <v>1292</v>
      </c>
      <c r="B1293" s="1" t="s">
        <v>33</v>
      </c>
      <c r="C1293" s="1" t="s">
        <v>25</v>
      </c>
      <c r="D1293" s="1" t="s">
        <v>26</v>
      </c>
      <c r="E1293" s="1" t="s">
        <v>27</v>
      </c>
      <c r="F1293" s="1" t="s">
        <v>57</v>
      </c>
      <c r="G1293" s="1">
        <v>1</v>
      </c>
      <c r="H1293" s="1" t="s">
        <v>29</v>
      </c>
      <c r="I1293" s="1" t="s">
        <v>30</v>
      </c>
      <c r="J1293" s="1" t="s">
        <v>39</v>
      </c>
      <c r="K1293" s="1" t="s">
        <v>24</v>
      </c>
      <c r="L1293" s="1">
        <v>36</v>
      </c>
      <c r="M1293" s="1">
        <v>10</v>
      </c>
      <c r="N1293" s="1" t="s">
        <v>44</v>
      </c>
      <c r="O1293" s="1">
        <v>2</v>
      </c>
      <c r="P1293" s="1">
        <v>2</v>
      </c>
      <c r="Q1293" s="1">
        <v>3</v>
      </c>
      <c r="R1293" s="1">
        <v>5673</v>
      </c>
      <c r="S1293" s="1">
        <v>10</v>
      </c>
      <c r="T1293" s="1">
        <v>3</v>
      </c>
      <c r="U1293" s="1">
        <v>10</v>
      </c>
      <c r="V1293" s="1">
        <v>9</v>
      </c>
      <c r="W1293" s="1">
        <v>1</v>
      </c>
      <c r="X1293" s="1">
        <v>7</v>
      </c>
    </row>
    <row r="1294" spans="1:24">
      <c r="A1294" s="1">
        <v>1293</v>
      </c>
      <c r="B1294" s="1" t="s">
        <v>33</v>
      </c>
      <c r="C1294" s="1" t="s">
        <v>25</v>
      </c>
      <c r="D1294" s="1" t="s">
        <v>35</v>
      </c>
      <c r="E1294" s="1" t="s">
        <v>27</v>
      </c>
      <c r="F1294" s="1" t="s">
        <v>45</v>
      </c>
      <c r="G1294" s="1">
        <v>1</v>
      </c>
      <c r="H1294" s="1" t="s">
        <v>29</v>
      </c>
      <c r="I1294" s="1" t="s">
        <v>30</v>
      </c>
      <c r="J1294" s="1" t="s">
        <v>39</v>
      </c>
      <c r="K1294" s="1" t="s">
        <v>24</v>
      </c>
      <c r="L1294" s="1">
        <v>47</v>
      </c>
      <c r="M1294" s="1">
        <v>14</v>
      </c>
      <c r="N1294" s="1" t="s">
        <v>47</v>
      </c>
      <c r="O1294" s="1">
        <v>3</v>
      </c>
      <c r="P1294" s="1">
        <v>2</v>
      </c>
      <c r="Q1294" s="1">
        <v>3</v>
      </c>
      <c r="R1294" s="1">
        <v>4591</v>
      </c>
      <c r="S1294" s="1">
        <v>11</v>
      </c>
      <c r="T1294" s="1">
        <v>2</v>
      </c>
      <c r="U1294" s="1">
        <v>5</v>
      </c>
      <c r="V1294" s="1">
        <v>4</v>
      </c>
      <c r="W1294" s="1">
        <v>1</v>
      </c>
      <c r="X1294" s="1">
        <v>2</v>
      </c>
    </row>
    <row r="1295" spans="1:24">
      <c r="A1295" s="1">
        <v>1294</v>
      </c>
      <c r="B1295" s="1" t="s">
        <v>33</v>
      </c>
      <c r="C1295" s="1" t="s">
        <v>25</v>
      </c>
      <c r="D1295" s="1" t="s">
        <v>46</v>
      </c>
      <c r="E1295" s="1" t="s">
        <v>27</v>
      </c>
      <c r="F1295" s="1" t="s">
        <v>28</v>
      </c>
      <c r="G1295" s="1">
        <v>1</v>
      </c>
      <c r="H1295" s="1" t="s">
        <v>29</v>
      </c>
      <c r="I1295" s="1" t="s">
        <v>53</v>
      </c>
      <c r="J1295" s="1" t="s">
        <v>39</v>
      </c>
      <c r="K1295" s="1" t="s">
        <v>24</v>
      </c>
      <c r="L1295" s="1">
        <v>58</v>
      </c>
      <c r="M1295" s="1">
        <v>21</v>
      </c>
      <c r="N1295" s="1" t="s">
        <v>47</v>
      </c>
      <c r="O1295" s="1">
        <v>4</v>
      </c>
      <c r="P1295" s="1">
        <v>4</v>
      </c>
      <c r="Q1295" s="1">
        <v>4</v>
      </c>
      <c r="R1295" s="1">
        <v>17875</v>
      </c>
      <c r="S1295" s="1">
        <v>29</v>
      </c>
      <c r="T1295" s="1">
        <v>2</v>
      </c>
      <c r="U1295" s="1">
        <v>1</v>
      </c>
      <c r="V1295" s="1">
        <v>0</v>
      </c>
      <c r="W1295" s="1">
        <v>0</v>
      </c>
      <c r="X1295" s="1">
        <v>0</v>
      </c>
    </row>
    <row r="1296" spans="1:24">
      <c r="A1296" s="1">
        <v>1295</v>
      </c>
      <c r="B1296" s="1" t="s">
        <v>33</v>
      </c>
      <c r="C1296" s="1" t="s">
        <v>25</v>
      </c>
      <c r="D1296" s="1" t="s">
        <v>52</v>
      </c>
      <c r="E1296" s="1" t="s">
        <v>27</v>
      </c>
      <c r="F1296" s="1" t="s">
        <v>45</v>
      </c>
      <c r="G1296" s="1">
        <v>1</v>
      </c>
      <c r="H1296" s="1" t="s">
        <v>29</v>
      </c>
      <c r="I1296" s="1" t="s">
        <v>30</v>
      </c>
      <c r="J1296" s="1" t="s">
        <v>39</v>
      </c>
      <c r="K1296" s="1" t="s">
        <v>24</v>
      </c>
      <c r="L1296" s="1">
        <v>24</v>
      </c>
      <c r="M1296" s="1">
        <v>4</v>
      </c>
      <c r="N1296" s="1" t="s">
        <v>40</v>
      </c>
      <c r="O1296" s="1">
        <v>4</v>
      </c>
      <c r="P1296" s="1">
        <v>2</v>
      </c>
      <c r="Q1296" s="1">
        <v>3</v>
      </c>
      <c r="R1296" s="1">
        <v>4162</v>
      </c>
      <c r="S1296" s="1">
        <v>5</v>
      </c>
      <c r="T1296" s="1">
        <v>3</v>
      </c>
      <c r="U1296" s="1">
        <v>5</v>
      </c>
      <c r="V1296" s="1">
        <v>4</v>
      </c>
      <c r="W1296" s="1">
        <v>0</v>
      </c>
      <c r="X1296" s="1">
        <v>3</v>
      </c>
    </row>
    <row r="1297" spans="1:24">
      <c r="A1297" s="1">
        <v>1296</v>
      </c>
      <c r="B1297" s="1" t="s">
        <v>33</v>
      </c>
      <c r="C1297" s="1" t="s">
        <v>25</v>
      </c>
      <c r="D1297" s="1" t="s">
        <v>26</v>
      </c>
      <c r="E1297" s="1" t="s">
        <v>27</v>
      </c>
      <c r="F1297" s="1" t="s">
        <v>56</v>
      </c>
      <c r="G1297" s="1">
        <v>1</v>
      </c>
      <c r="H1297" s="1" t="s">
        <v>29</v>
      </c>
      <c r="I1297" s="1" t="s">
        <v>30</v>
      </c>
      <c r="J1297" s="1" t="s">
        <v>31</v>
      </c>
      <c r="K1297" s="1" t="s">
        <v>24</v>
      </c>
      <c r="L1297" s="1">
        <v>36</v>
      </c>
      <c r="M1297" s="1">
        <v>3</v>
      </c>
      <c r="N1297" s="1" t="s">
        <v>44</v>
      </c>
      <c r="O1297" s="1">
        <v>1</v>
      </c>
      <c r="P1297" s="1">
        <v>2</v>
      </c>
      <c r="Q1297" s="1">
        <v>2</v>
      </c>
      <c r="R1297" s="1">
        <v>9278</v>
      </c>
      <c r="S1297" s="1">
        <v>15</v>
      </c>
      <c r="T1297" s="1">
        <v>3</v>
      </c>
      <c r="U1297" s="1">
        <v>5</v>
      </c>
      <c r="V1297" s="1">
        <v>4</v>
      </c>
      <c r="W1297" s="1">
        <v>0</v>
      </c>
      <c r="X1297" s="1">
        <v>1</v>
      </c>
    </row>
    <row r="1298" spans="1:24">
      <c r="A1298" s="1">
        <v>1297</v>
      </c>
      <c r="B1298" s="1" t="s">
        <v>33</v>
      </c>
      <c r="C1298" s="1" t="s">
        <v>51</v>
      </c>
      <c r="D1298" s="1" t="s">
        <v>26</v>
      </c>
      <c r="E1298" s="1" t="s">
        <v>36</v>
      </c>
      <c r="F1298" s="1" t="s">
        <v>28</v>
      </c>
      <c r="G1298" s="1">
        <v>1</v>
      </c>
      <c r="H1298" s="1" t="s">
        <v>37</v>
      </c>
      <c r="I1298" s="1" t="s">
        <v>50</v>
      </c>
      <c r="J1298" s="1" t="s">
        <v>48</v>
      </c>
      <c r="K1298" s="1" t="s">
        <v>24</v>
      </c>
      <c r="L1298" s="1">
        <v>40</v>
      </c>
      <c r="M1298" s="1">
        <v>8</v>
      </c>
      <c r="N1298" s="1" t="s">
        <v>32</v>
      </c>
      <c r="O1298" s="1">
        <v>4</v>
      </c>
      <c r="P1298" s="1">
        <v>2</v>
      </c>
      <c r="Q1298" s="1">
        <v>4</v>
      </c>
      <c r="R1298" s="1">
        <v>4069</v>
      </c>
      <c r="S1298" s="1">
        <v>8</v>
      </c>
      <c r="T1298" s="1">
        <v>3</v>
      </c>
      <c r="U1298" s="1">
        <v>2</v>
      </c>
      <c r="V1298" s="1">
        <v>2</v>
      </c>
      <c r="W1298" s="1">
        <v>2</v>
      </c>
      <c r="X1298" s="1">
        <v>2</v>
      </c>
    </row>
    <row r="1299" spans="1:24">
      <c r="A1299" s="1">
        <v>1298</v>
      </c>
      <c r="B1299" s="1" t="s">
        <v>33</v>
      </c>
      <c r="C1299" s="1" t="s">
        <v>51</v>
      </c>
      <c r="D1299" s="1" t="s">
        <v>43</v>
      </c>
      <c r="E1299" s="1" t="s">
        <v>36</v>
      </c>
      <c r="F1299" s="1" t="s">
        <v>45</v>
      </c>
      <c r="G1299" s="1">
        <v>1</v>
      </c>
      <c r="H1299" s="1" t="s">
        <v>37</v>
      </c>
      <c r="I1299" s="1" t="s">
        <v>38</v>
      </c>
      <c r="J1299" s="1" t="s">
        <v>48</v>
      </c>
      <c r="K1299" s="1" t="s">
        <v>24</v>
      </c>
      <c r="L1299" s="1">
        <v>31</v>
      </c>
      <c r="M1299" s="1">
        <v>3</v>
      </c>
      <c r="N1299" s="1" t="s">
        <v>32</v>
      </c>
      <c r="O1299" s="1">
        <v>3</v>
      </c>
      <c r="P1299" s="1">
        <v>1</v>
      </c>
      <c r="Q1299" s="1">
        <v>1</v>
      </c>
      <c r="R1299" s="1">
        <v>3065</v>
      </c>
      <c r="S1299" s="1">
        <v>4</v>
      </c>
      <c r="T1299" s="1">
        <v>4</v>
      </c>
      <c r="U1299" s="1">
        <v>4</v>
      </c>
      <c r="V1299" s="1">
        <v>2</v>
      </c>
      <c r="W1299" s="1">
        <v>2</v>
      </c>
      <c r="X1299" s="1">
        <v>3</v>
      </c>
    </row>
    <row r="1300" spans="1:24">
      <c r="A1300" s="1">
        <v>1299</v>
      </c>
      <c r="B1300" s="1" t="s">
        <v>33</v>
      </c>
      <c r="C1300" s="1" t="s">
        <v>51</v>
      </c>
      <c r="D1300" s="1" t="s">
        <v>26</v>
      </c>
      <c r="E1300" s="1" t="s">
        <v>36</v>
      </c>
      <c r="F1300" s="1" t="s">
        <v>28</v>
      </c>
      <c r="G1300" s="1">
        <v>1</v>
      </c>
      <c r="H1300" s="1" t="s">
        <v>37</v>
      </c>
      <c r="I1300" s="1" t="s">
        <v>42</v>
      </c>
      <c r="J1300" s="1" t="s">
        <v>39</v>
      </c>
      <c r="K1300" s="1" t="s">
        <v>24</v>
      </c>
      <c r="L1300" s="1">
        <v>39</v>
      </c>
      <c r="M1300" s="1">
        <v>1</v>
      </c>
      <c r="N1300" s="1" t="s">
        <v>47</v>
      </c>
      <c r="O1300" s="1">
        <v>4</v>
      </c>
      <c r="P1300" s="1">
        <v>2</v>
      </c>
      <c r="Q1300" s="1">
        <v>4</v>
      </c>
      <c r="R1300" s="1">
        <v>6472</v>
      </c>
      <c r="S1300" s="1">
        <v>9</v>
      </c>
      <c r="T1300" s="1">
        <v>3</v>
      </c>
      <c r="U1300" s="1">
        <v>9</v>
      </c>
      <c r="V1300" s="1">
        <v>8</v>
      </c>
      <c r="W1300" s="1">
        <v>5</v>
      </c>
      <c r="X1300" s="1">
        <v>8</v>
      </c>
    </row>
    <row r="1301" spans="1:24">
      <c r="A1301" s="1">
        <v>1300</v>
      </c>
      <c r="B1301" s="1" t="s">
        <v>33</v>
      </c>
      <c r="C1301" s="1" t="s">
        <v>51</v>
      </c>
      <c r="D1301" s="1" t="s">
        <v>43</v>
      </c>
      <c r="E1301" s="1" t="s">
        <v>27</v>
      </c>
      <c r="F1301" s="1" t="s">
        <v>28</v>
      </c>
      <c r="G1301" s="1">
        <v>1</v>
      </c>
      <c r="H1301" s="1" t="s">
        <v>37</v>
      </c>
      <c r="I1301" s="1" t="s">
        <v>30</v>
      </c>
      <c r="J1301" s="1" t="s">
        <v>48</v>
      </c>
      <c r="K1301" s="1" t="s">
        <v>24</v>
      </c>
      <c r="L1301" s="1">
        <v>34</v>
      </c>
      <c r="M1301" s="1">
        <v>10</v>
      </c>
      <c r="N1301" s="1" t="s">
        <v>47</v>
      </c>
      <c r="O1301" s="1">
        <v>4</v>
      </c>
      <c r="P1301" s="1">
        <v>2</v>
      </c>
      <c r="Q1301" s="1">
        <v>3</v>
      </c>
      <c r="R1301" s="1">
        <v>4001</v>
      </c>
      <c r="S1301" s="1">
        <v>15</v>
      </c>
      <c r="T1301" s="1">
        <v>3</v>
      </c>
      <c r="U1301" s="1">
        <v>15</v>
      </c>
      <c r="V1301" s="1">
        <v>14</v>
      </c>
      <c r="W1301" s="1">
        <v>0</v>
      </c>
      <c r="X1301" s="1">
        <v>7</v>
      </c>
    </row>
    <row r="1302" spans="1:24">
      <c r="A1302" s="1">
        <v>1301</v>
      </c>
      <c r="B1302" s="1" t="s">
        <v>33</v>
      </c>
      <c r="C1302" s="1" t="s">
        <v>34</v>
      </c>
      <c r="D1302" s="1" t="s">
        <v>26</v>
      </c>
      <c r="E1302" s="1" t="s">
        <v>59</v>
      </c>
      <c r="F1302" s="1" t="s">
        <v>60</v>
      </c>
      <c r="G1302" s="1">
        <v>1</v>
      </c>
      <c r="H1302" s="1" t="s">
        <v>37</v>
      </c>
      <c r="I1302" s="1" t="s">
        <v>60</v>
      </c>
      <c r="J1302" s="1" t="s">
        <v>39</v>
      </c>
      <c r="K1302" s="1" t="s">
        <v>24</v>
      </c>
      <c r="L1302" s="1">
        <v>44</v>
      </c>
      <c r="M1302" s="1">
        <v>1</v>
      </c>
      <c r="N1302" s="1" t="s">
        <v>58</v>
      </c>
      <c r="O1302" s="1">
        <v>1</v>
      </c>
      <c r="P1302" s="1">
        <v>2</v>
      </c>
      <c r="Q1302" s="1">
        <v>4</v>
      </c>
      <c r="R1302" s="1">
        <v>5743</v>
      </c>
      <c r="S1302" s="1">
        <v>14</v>
      </c>
      <c r="T1302" s="1">
        <v>3</v>
      </c>
      <c r="U1302" s="1">
        <v>10</v>
      </c>
      <c r="V1302" s="1">
        <v>7</v>
      </c>
      <c r="W1302" s="1">
        <v>0</v>
      </c>
      <c r="X1302" s="1">
        <v>2</v>
      </c>
    </row>
    <row r="1303" spans="1:24">
      <c r="A1303" s="1">
        <v>1302</v>
      </c>
      <c r="B1303" s="1" t="s">
        <v>33</v>
      </c>
      <c r="C1303" s="1" t="s">
        <v>34</v>
      </c>
      <c r="D1303" s="1" t="s">
        <v>26</v>
      </c>
      <c r="E1303" s="1" t="s">
        <v>59</v>
      </c>
      <c r="F1303" s="1" t="s">
        <v>41</v>
      </c>
      <c r="G1303" s="1">
        <v>1</v>
      </c>
      <c r="H1303" s="1" t="s">
        <v>37</v>
      </c>
      <c r="I1303" s="1" t="s">
        <v>60</v>
      </c>
      <c r="J1303" s="1" t="s">
        <v>39</v>
      </c>
      <c r="K1303" s="1" t="s">
        <v>24</v>
      </c>
      <c r="L1303" s="1">
        <v>38</v>
      </c>
      <c r="M1303" s="1">
        <v>1</v>
      </c>
      <c r="N1303" s="1" t="s">
        <v>44</v>
      </c>
      <c r="O1303" s="1">
        <v>4</v>
      </c>
      <c r="P1303" s="1">
        <v>1</v>
      </c>
      <c r="Q1303" s="1">
        <v>2</v>
      </c>
      <c r="R1303" s="1">
        <v>2991</v>
      </c>
      <c r="S1303" s="1">
        <v>7</v>
      </c>
      <c r="T1303" s="1">
        <v>3</v>
      </c>
      <c r="U1303" s="1">
        <v>6</v>
      </c>
      <c r="V1303" s="1">
        <v>2</v>
      </c>
      <c r="W1303" s="1">
        <v>1</v>
      </c>
      <c r="X1303" s="1">
        <v>2</v>
      </c>
    </row>
    <row r="1304" spans="1:24">
      <c r="A1304" s="1">
        <v>1303</v>
      </c>
      <c r="B1304" s="1" t="s">
        <v>33</v>
      </c>
      <c r="C1304" s="1" t="s">
        <v>34</v>
      </c>
      <c r="D1304" s="1" t="s">
        <v>46</v>
      </c>
      <c r="E1304" s="1" t="s">
        <v>36</v>
      </c>
      <c r="F1304" s="1" t="s">
        <v>28</v>
      </c>
      <c r="G1304" s="1">
        <v>1</v>
      </c>
      <c r="H1304" s="1" t="s">
        <v>37</v>
      </c>
      <c r="I1304" s="1" t="s">
        <v>55</v>
      </c>
      <c r="J1304" s="1" t="s">
        <v>39</v>
      </c>
      <c r="K1304" s="1" t="s">
        <v>24</v>
      </c>
      <c r="L1304" s="1">
        <v>58</v>
      </c>
      <c r="M1304" s="1">
        <v>15</v>
      </c>
      <c r="N1304" s="1" t="s">
        <v>44</v>
      </c>
      <c r="O1304" s="1">
        <v>1</v>
      </c>
      <c r="P1304" s="1">
        <v>4</v>
      </c>
      <c r="Q1304" s="1">
        <v>3</v>
      </c>
      <c r="R1304" s="1">
        <v>15787</v>
      </c>
      <c r="S1304" s="1">
        <v>23</v>
      </c>
      <c r="T1304" s="1">
        <v>3</v>
      </c>
      <c r="U1304" s="1">
        <v>2</v>
      </c>
      <c r="V1304" s="1">
        <v>2</v>
      </c>
      <c r="W1304" s="1">
        <v>2</v>
      </c>
      <c r="X1304" s="1">
        <v>2</v>
      </c>
    </row>
    <row r="1305" spans="1:24">
      <c r="A1305" s="1">
        <v>1304</v>
      </c>
      <c r="B1305" s="1" t="s">
        <v>33</v>
      </c>
      <c r="C1305" s="1" t="s">
        <v>34</v>
      </c>
      <c r="D1305" s="1" t="s">
        <v>43</v>
      </c>
      <c r="E1305" s="1" t="s">
        <v>36</v>
      </c>
      <c r="F1305" s="1" t="s">
        <v>41</v>
      </c>
      <c r="G1305" s="1">
        <v>1</v>
      </c>
      <c r="H1305" s="1" t="s">
        <v>37</v>
      </c>
      <c r="I1305" s="1" t="s">
        <v>38</v>
      </c>
      <c r="J1305" s="1" t="s">
        <v>39</v>
      </c>
      <c r="K1305" s="1" t="s">
        <v>24</v>
      </c>
      <c r="L1305" s="1">
        <v>34</v>
      </c>
      <c r="M1305" s="1">
        <v>22</v>
      </c>
      <c r="N1305" s="1" t="s">
        <v>44</v>
      </c>
      <c r="O1305" s="1">
        <v>3</v>
      </c>
      <c r="P1305" s="1">
        <v>2</v>
      </c>
      <c r="Q1305" s="1">
        <v>4</v>
      </c>
      <c r="R1305" s="1">
        <v>5747</v>
      </c>
      <c r="S1305" s="1">
        <v>16</v>
      </c>
      <c r="T1305" s="1">
        <v>3</v>
      </c>
      <c r="U1305" s="1">
        <v>15</v>
      </c>
      <c r="V1305" s="1">
        <v>10</v>
      </c>
      <c r="W1305" s="1">
        <v>6</v>
      </c>
      <c r="X1305" s="1">
        <v>11</v>
      </c>
    </row>
    <row r="1306" spans="1:24">
      <c r="A1306" s="1">
        <v>1305</v>
      </c>
      <c r="B1306" s="1" t="s">
        <v>33</v>
      </c>
      <c r="C1306" s="1" t="s">
        <v>34</v>
      </c>
      <c r="D1306" s="1" t="s">
        <v>26</v>
      </c>
      <c r="E1306" s="1" t="s">
        <v>36</v>
      </c>
      <c r="F1306" s="1" t="s">
        <v>28</v>
      </c>
      <c r="G1306" s="1">
        <v>1</v>
      </c>
      <c r="H1306" s="1" t="s">
        <v>37</v>
      </c>
      <c r="I1306" s="1" t="s">
        <v>42</v>
      </c>
      <c r="J1306" s="1" t="s">
        <v>39</v>
      </c>
      <c r="K1306" s="1" t="s">
        <v>24</v>
      </c>
      <c r="L1306" s="1">
        <v>36</v>
      </c>
      <c r="M1306" s="1">
        <v>6</v>
      </c>
      <c r="N1306" s="1" t="s">
        <v>44</v>
      </c>
      <c r="O1306" s="1">
        <v>1</v>
      </c>
      <c r="P1306" s="1">
        <v>2</v>
      </c>
      <c r="Q1306" s="1">
        <v>1</v>
      </c>
      <c r="R1306" s="1">
        <v>5562</v>
      </c>
      <c r="S1306" s="1">
        <v>9</v>
      </c>
      <c r="T1306" s="1">
        <v>3</v>
      </c>
      <c r="U1306" s="1">
        <v>3</v>
      </c>
      <c r="V1306" s="1">
        <v>2</v>
      </c>
      <c r="W1306" s="1">
        <v>0</v>
      </c>
      <c r="X1306" s="1">
        <v>2</v>
      </c>
    </row>
    <row r="1307" spans="1:24">
      <c r="A1307" s="1">
        <v>1306</v>
      </c>
      <c r="B1307" s="1" t="s">
        <v>33</v>
      </c>
      <c r="C1307" s="1" t="s">
        <v>34</v>
      </c>
      <c r="D1307" s="1" t="s">
        <v>35</v>
      </c>
      <c r="E1307" s="1" t="s">
        <v>36</v>
      </c>
      <c r="F1307" s="1" t="s">
        <v>45</v>
      </c>
      <c r="G1307" s="1">
        <v>1</v>
      </c>
      <c r="H1307" s="1" t="s">
        <v>37</v>
      </c>
      <c r="I1307" s="1" t="s">
        <v>50</v>
      </c>
      <c r="J1307" s="1" t="s">
        <v>39</v>
      </c>
      <c r="K1307" s="1" t="s">
        <v>24</v>
      </c>
      <c r="L1307" s="1">
        <v>50</v>
      </c>
      <c r="M1307" s="1">
        <v>20</v>
      </c>
      <c r="N1307" s="1" t="s">
        <v>58</v>
      </c>
      <c r="O1307" s="1">
        <v>2</v>
      </c>
      <c r="P1307" s="1">
        <v>4</v>
      </c>
      <c r="Q1307" s="1">
        <v>3</v>
      </c>
      <c r="R1307" s="1">
        <v>11245</v>
      </c>
      <c r="S1307" s="1">
        <v>32</v>
      </c>
      <c r="T1307" s="1">
        <v>3</v>
      </c>
      <c r="U1307" s="1">
        <v>30</v>
      </c>
      <c r="V1307" s="1">
        <v>8</v>
      </c>
      <c r="W1307" s="1">
        <v>12</v>
      </c>
      <c r="X1307" s="1">
        <v>13</v>
      </c>
    </row>
    <row r="1308" spans="1:24">
      <c r="A1308" s="1">
        <v>1307</v>
      </c>
      <c r="B1308" s="1" t="s">
        <v>33</v>
      </c>
      <c r="C1308" s="1" t="s">
        <v>34</v>
      </c>
      <c r="D1308" s="1" t="s">
        <v>26</v>
      </c>
      <c r="E1308" s="1" t="s">
        <v>36</v>
      </c>
      <c r="F1308" s="1" t="s">
        <v>28</v>
      </c>
      <c r="G1308" s="1">
        <v>1</v>
      </c>
      <c r="H1308" s="1" t="s">
        <v>37</v>
      </c>
      <c r="I1308" s="1" t="s">
        <v>50</v>
      </c>
      <c r="J1308" s="1" t="s">
        <v>39</v>
      </c>
      <c r="K1308" s="1" t="s">
        <v>24</v>
      </c>
      <c r="L1308" s="1">
        <v>42</v>
      </c>
      <c r="M1308" s="1">
        <v>2</v>
      </c>
      <c r="N1308" s="1" t="s">
        <v>47</v>
      </c>
      <c r="O1308" s="1">
        <v>4</v>
      </c>
      <c r="P1308" s="1">
        <v>3</v>
      </c>
      <c r="Q1308" s="1">
        <v>4</v>
      </c>
      <c r="R1308" s="1">
        <v>10124</v>
      </c>
      <c r="S1308" s="1">
        <v>24</v>
      </c>
      <c r="T1308" s="1">
        <v>1</v>
      </c>
      <c r="U1308" s="1">
        <v>20</v>
      </c>
      <c r="V1308" s="1">
        <v>8</v>
      </c>
      <c r="W1308" s="1">
        <v>13</v>
      </c>
      <c r="X1308" s="1">
        <v>9</v>
      </c>
    </row>
    <row r="1309" spans="1:24">
      <c r="A1309" s="1">
        <v>1308</v>
      </c>
      <c r="B1309" s="1" t="s">
        <v>33</v>
      </c>
      <c r="C1309" s="1" t="s">
        <v>34</v>
      </c>
      <c r="D1309" s="1" t="s">
        <v>26</v>
      </c>
      <c r="E1309" s="1" t="s">
        <v>36</v>
      </c>
      <c r="F1309" s="1" t="s">
        <v>28</v>
      </c>
      <c r="G1309" s="1">
        <v>1</v>
      </c>
      <c r="H1309" s="1" t="s">
        <v>37</v>
      </c>
      <c r="I1309" s="1" t="s">
        <v>50</v>
      </c>
      <c r="J1309" s="1" t="s">
        <v>39</v>
      </c>
      <c r="K1309" s="1" t="s">
        <v>24</v>
      </c>
      <c r="L1309" s="1">
        <v>35</v>
      </c>
      <c r="M1309" s="1">
        <v>18</v>
      </c>
      <c r="N1309" s="1" t="s">
        <v>44</v>
      </c>
      <c r="O1309" s="1">
        <v>3</v>
      </c>
      <c r="P1309" s="1">
        <v>2</v>
      </c>
      <c r="Q1309" s="1">
        <v>3</v>
      </c>
      <c r="R1309" s="1">
        <v>5689</v>
      </c>
      <c r="S1309" s="1">
        <v>10</v>
      </c>
      <c r="T1309" s="1">
        <v>4</v>
      </c>
      <c r="U1309" s="1">
        <v>10</v>
      </c>
      <c r="V1309" s="1">
        <v>2</v>
      </c>
      <c r="W1309" s="1">
        <v>0</v>
      </c>
      <c r="X1309" s="1">
        <v>2</v>
      </c>
    </row>
    <row r="1310" spans="1:24">
      <c r="A1310" s="1">
        <v>1309</v>
      </c>
      <c r="B1310" s="1" t="s">
        <v>33</v>
      </c>
      <c r="C1310" s="1" t="s">
        <v>34</v>
      </c>
      <c r="D1310" s="1" t="s">
        <v>26</v>
      </c>
      <c r="E1310" s="1" t="s">
        <v>36</v>
      </c>
      <c r="F1310" s="1" t="s">
        <v>45</v>
      </c>
      <c r="G1310" s="1">
        <v>1</v>
      </c>
      <c r="H1310" s="1" t="s">
        <v>37</v>
      </c>
      <c r="I1310" s="1" t="s">
        <v>38</v>
      </c>
      <c r="J1310" s="1" t="s">
        <v>31</v>
      </c>
      <c r="K1310" s="1" t="s">
        <v>24</v>
      </c>
      <c r="L1310" s="1">
        <v>35</v>
      </c>
      <c r="M1310" s="1">
        <v>2</v>
      </c>
      <c r="N1310" s="1" t="s">
        <v>44</v>
      </c>
      <c r="O1310" s="1">
        <v>1</v>
      </c>
      <c r="P1310" s="1">
        <v>1</v>
      </c>
      <c r="Q1310" s="1">
        <v>4</v>
      </c>
      <c r="R1310" s="1">
        <v>4930</v>
      </c>
      <c r="S1310" s="1">
        <v>6</v>
      </c>
      <c r="T1310" s="1">
        <v>4</v>
      </c>
      <c r="U1310" s="1">
        <v>5</v>
      </c>
      <c r="V1310" s="1">
        <v>4</v>
      </c>
      <c r="W1310" s="1">
        <v>1</v>
      </c>
      <c r="X1310" s="1">
        <v>4</v>
      </c>
    </row>
    <row r="1311" spans="1:24">
      <c r="A1311" s="1">
        <v>1310</v>
      </c>
      <c r="B1311" s="1" t="s">
        <v>33</v>
      </c>
      <c r="C1311" s="1" t="s">
        <v>34</v>
      </c>
      <c r="D1311" s="1" t="s">
        <v>26</v>
      </c>
      <c r="E1311" s="1" t="s">
        <v>36</v>
      </c>
      <c r="F1311" s="1" t="s">
        <v>45</v>
      </c>
      <c r="G1311" s="1">
        <v>1</v>
      </c>
      <c r="H1311" s="1" t="s">
        <v>37</v>
      </c>
      <c r="I1311" s="1" t="s">
        <v>49</v>
      </c>
      <c r="J1311" s="1" t="s">
        <v>31</v>
      </c>
      <c r="K1311" s="1" t="s">
        <v>24</v>
      </c>
      <c r="L1311" s="1">
        <v>44</v>
      </c>
      <c r="M1311" s="1">
        <v>2</v>
      </c>
      <c r="N1311" s="1" t="s">
        <v>40</v>
      </c>
      <c r="O1311" s="1">
        <v>2</v>
      </c>
      <c r="P1311" s="1">
        <v>3</v>
      </c>
      <c r="Q1311" s="1">
        <v>3</v>
      </c>
      <c r="R1311" s="1">
        <v>10209</v>
      </c>
      <c r="S1311" s="1">
        <v>16</v>
      </c>
      <c r="T1311" s="1">
        <v>2</v>
      </c>
      <c r="U1311" s="1">
        <v>2</v>
      </c>
      <c r="V1311" s="1">
        <v>2</v>
      </c>
      <c r="W1311" s="1">
        <v>2</v>
      </c>
      <c r="X1311" s="1">
        <v>2</v>
      </c>
    </row>
    <row r="1312" spans="1:24">
      <c r="A1312" s="1">
        <v>1311</v>
      </c>
      <c r="B1312" s="1" t="s">
        <v>33</v>
      </c>
      <c r="C1312" s="1" t="s">
        <v>34</v>
      </c>
      <c r="D1312" s="1" t="s">
        <v>35</v>
      </c>
      <c r="E1312" s="1" t="s">
        <v>36</v>
      </c>
      <c r="F1312" s="1" t="s">
        <v>45</v>
      </c>
      <c r="G1312" s="1">
        <v>1</v>
      </c>
      <c r="H1312" s="1" t="s">
        <v>37</v>
      </c>
      <c r="I1312" s="1" t="s">
        <v>55</v>
      </c>
      <c r="J1312" s="1" t="s">
        <v>31</v>
      </c>
      <c r="K1312" s="1" t="s">
        <v>24</v>
      </c>
      <c r="L1312" s="1">
        <v>50</v>
      </c>
      <c r="M1312" s="1">
        <v>22</v>
      </c>
      <c r="N1312" s="1" t="s">
        <v>58</v>
      </c>
      <c r="O1312" s="1">
        <v>3</v>
      </c>
      <c r="P1312" s="1">
        <v>4</v>
      </c>
      <c r="Q1312" s="1">
        <v>4</v>
      </c>
      <c r="R1312" s="1">
        <v>14411</v>
      </c>
      <c r="S1312" s="1">
        <v>32</v>
      </c>
      <c r="T1312" s="1">
        <v>3</v>
      </c>
      <c r="U1312" s="1">
        <v>32</v>
      </c>
      <c r="V1312" s="1">
        <v>6</v>
      </c>
      <c r="W1312" s="1">
        <v>13</v>
      </c>
      <c r="X1312" s="1">
        <v>9</v>
      </c>
    </row>
    <row r="1313" spans="1:24">
      <c r="A1313" s="1">
        <v>1312</v>
      </c>
      <c r="B1313" s="1" t="s">
        <v>33</v>
      </c>
      <c r="C1313" s="1" t="s">
        <v>34</v>
      </c>
      <c r="D1313" s="1" t="s">
        <v>43</v>
      </c>
      <c r="E1313" s="1" t="s">
        <v>36</v>
      </c>
      <c r="F1313" s="1" t="s">
        <v>28</v>
      </c>
      <c r="G1313" s="1">
        <v>1</v>
      </c>
      <c r="H1313" s="1" t="s">
        <v>37</v>
      </c>
      <c r="I1313" s="1" t="s">
        <v>50</v>
      </c>
      <c r="J1313" s="1" t="s">
        <v>31</v>
      </c>
      <c r="K1313" s="1" t="s">
        <v>24</v>
      </c>
      <c r="L1313" s="1">
        <v>29</v>
      </c>
      <c r="M1313" s="1">
        <v>1</v>
      </c>
      <c r="N1313" s="1" t="s">
        <v>47</v>
      </c>
      <c r="O1313" s="1">
        <v>4</v>
      </c>
      <c r="P1313" s="1">
        <v>2</v>
      </c>
      <c r="Q1313" s="1">
        <v>3</v>
      </c>
      <c r="R1313" s="1">
        <v>6294</v>
      </c>
      <c r="S1313" s="1">
        <v>10</v>
      </c>
      <c r="T1313" s="1">
        <v>4</v>
      </c>
      <c r="U1313" s="1">
        <v>3</v>
      </c>
      <c r="V1313" s="1">
        <v>2</v>
      </c>
      <c r="W1313" s="1">
        <v>0</v>
      </c>
      <c r="X1313" s="1">
        <v>2</v>
      </c>
    </row>
    <row r="1314" spans="1:24">
      <c r="A1314" s="1">
        <v>1313</v>
      </c>
      <c r="B1314" s="1" t="s">
        <v>33</v>
      </c>
      <c r="C1314" s="1" t="s">
        <v>34</v>
      </c>
      <c r="D1314" s="1" t="s">
        <v>43</v>
      </c>
      <c r="E1314" s="1" t="s">
        <v>27</v>
      </c>
      <c r="F1314" s="1" t="s">
        <v>28</v>
      </c>
      <c r="G1314" s="1">
        <v>1</v>
      </c>
      <c r="H1314" s="1" t="s">
        <v>37</v>
      </c>
      <c r="I1314" s="1" t="s">
        <v>30</v>
      </c>
      <c r="J1314" s="1" t="s">
        <v>39</v>
      </c>
      <c r="K1314" s="1" t="s">
        <v>24</v>
      </c>
      <c r="L1314" s="1">
        <v>28</v>
      </c>
      <c r="M1314" s="1">
        <v>1</v>
      </c>
      <c r="N1314" s="1" t="s">
        <v>32</v>
      </c>
      <c r="O1314" s="1">
        <v>3</v>
      </c>
      <c r="P1314" s="1">
        <v>2</v>
      </c>
      <c r="Q1314" s="1">
        <v>4</v>
      </c>
      <c r="R1314" s="1">
        <v>6834</v>
      </c>
      <c r="S1314" s="1">
        <v>7</v>
      </c>
      <c r="T1314" s="1">
        <v>3</v>
      </c>
      <c r="U1314" s="1">
        <v>7</v>
      </c>
      <c r="V1314" s="1">
        <v>7</v>
      </c>
      <c r="W1314" s="1">
        <v>0</v>
      </c>
      <c r="X1314" s="1">
        <v>7</v>
      </c>
    </row>
    <row r="1315" spans="1:24">
      <c r="A1315" s="1">
        <v>1314</v>
      </c>
      <c r="B1315" s="1" t="s">
        <v>33</v>
      </c>
      <c r="C1315" s="1" t="s">
        <v>25</v>
      </c>
      <c r="D1315" s="1" t="s">
        <v>46</v>
      </c>
      <c r="E1315" s="1" t="s">
        <v>59</v>
      </c>
      <c r="F1315" s="1" t="s">
        <v>60</v>
      </c>
      <c r="G1315" s="1">
        <v>1</v>
      </c>
      <c r="H1315" s="1" t="s">
        <v>37</v>
      </c>
      <c r="I1315" s="1" t="s">
        <v>53</v>
      </c>
      <c r="J1315" s="1" t="s">
        <v>39</v>
      </c>
      <c r="K1315" s="1" t="s">
        <v>24</v>
      </c>
      <c r="L1315" s="1">
        <v>55</v>
      </c>
      <c r="M1315" s="1">
        <v>26</v>
      </c>
      <c r="N1315" s="1" t="s">
        <v>44</v>
      </c>
      <c r="O1315" s="1">
        <v>3</v>
      </c>
      <c r="P1315" s="1">
        <v>5</v>
      </c>
      <c r="Q1315" s="1">
        <v>2</v>
      </c>
      <c r="R1315" s="1">
        <v>19636</v>
      </c>
      <c r="S1315" s="1">
        <v>35</v>
      </c>
      <c r="T1315" s="1">
        <v>3</v>
      </c>
      <c r="U1315" s="1">
        <v>10</v>
      </c>
      <c r="V1315" s="1">
        <v>9</v>
      </c>
      <c r="W1315" s="1">
        <v>1</v>
      </c>
      <c r="X1315" s="1">
        <v>4</v>
      </c>
    </row>
    <row r="1316" spans="1:24">
      <c r="A1316" s="1">
        <v>1315</v>
      </c>
      <c r="B1316" s="1" t="s">
        <v>33</v>
      </c>
      <c r="C1316" s="1" t="s">
        <v>25</v>
      </c>
      <c r="D1316" s="1" t="s">
        <v>35</v>
      </c>
      <c r="E1316" s="1" t="s">
        <v>36</v>
      </c>
      <c r="F1316" s="1" t="s">
        <v>45</v>
      </c>
      <c r="G1316" s="1">
        <v>1</v>
      </c>
      <c r="H1316" s="1" t="s">
        <v>37</v>
      </c>
      <c r="I1316" s="1" t="s">
        <v>50</v>
      </c>
      <c r="J1316" s="1" t="s">
        <v>48</v>
      </c>
      <c r="K1316" s="1" t="s">
        <v>24</v>
      </c>
      <c r="L1316" s="1">
        <v>45</v>
      </c>
      <c r="M1316" s="1">
        <v>20</v>
      </c>
      <c r="N1316" s="1" t="s">
        <v>47</v>
      </c>
      <c r="O1316" s="1">
        <v>2</v>
      </c>
      <c r="P1316" s="1">
        <v>3</v>
      </c>
      <c r="Q1316" s="1">
        <v>1</v>
      </c>
      <c r="R1316" s="1">
        <v>10851</v>
      </c>
      <c r="S1316" s="1">
        <v>24</v>
      </c>
      <c r="T1316" s="1">
        <v>3</v>
      </c>
      <c r="U1316" s="1">
        <v>7</v>
      </c>
      <c r="V1316" s="1">
        <v>7</v>
      </c>
      <c r="W1316" s="1">
        <v>0</v>
      </c>
      <c r="X1316" s="1">
        <v>7</v>
      </c>
    </row>
    <row r="1317" spans="1:24">
      <c r="A1317" s="1">
        <v>1316</v>
      </c>
      <c r="B1317" s="1" t="s">
        <v>33</v>
      </c>
      <c r="C1317" s="1" t="s">
        <v>25</v>
      </c>
      <c r="D1317" s="1" t="s">
        <v>35</v>
      </c>
      <c r="E1317" s="1" t="s">
        <v>36</v>
      </c>
      <c r="F1317" s="1" t="s">
        <v>45</v>
      </c>
      <c r="G1317" s="1">
        <v>1</v>
      </c>
      <c r="H1317" s="1" t="s">
        <v>37</v>
      </c>
      <c r="I1317" s="1" t="s">
        <v>55</v>
      </c>
      <c r="J1317" s="1" t="s">
        <v>48</v>
      </c>
      <c r="K1317" s="1" t="s">
        <v>24</v>
      </c>
      <c r="L1317" s="1">
        <v>46</v>
      </c>
      <c r="M1317" s="1">
        <v>2</v>
      </c>
      <c r="N1317" s="1" t="s">
        <v>44</v>
      </c>
      <c r="O1317" s="1">
        <v>3</v>
      </c>
      <c r="P1317" s="1">
        <v>5</v>
      </c>
      <c r="Q1317" s="1">
        <v>4</v>
      </c>
      <c r="R1317" s="1">
        <v>19328</v>
      </c>
      <c r="S1317" s="1">
        <v>24</v>
      </c>
      <c r="T1317" s="1">
        <v>3</v>
      </c>
      <c r="U1317" s="1">
        <v>2</v>
      </c>
      <c r="V1317" s="1">
        <v>1</v>
      </c>
      <c r="W1317" s="1">
        <v>2</v>
      </c>
      <c r="X1317" s="1">
        <v>2</v>
      </c>
    </row>
    <row r="1318" spans="1:24">
      <c r="A1318" s="1">
        <v>1317</v>
      </c>
      <c r="B1318" s="1" t="s">
        <v>33</v>
      </c>
      <c r="C1318" s="1" t="s">
        <v>25</v>
      </c>
      <c r="D1318" s="1" t="s">
        <v>26</v>
      </c>
      <c r="E1318" s="1" t="s">
        <v>36</v>
      </c>
      <c r="F1318" s="1" t="s">
        <v>28</v>
      </c>
      <c r="G1318" s="1">
        <v>1</v>
      </c>
      <c r="H1318" s="1" t="s">
        <v>37</v>
      </c>
      <c r="I1318" s="1" t="s">
        <v>38</v>
      </c>
      <c r="J1318" s="1" t="s">
        <v>48</v>
      </c>
      <c r="K1318" s="1" t="s">
        <v>24</v>
      </c>
      <c r="L1318" s="1">
        <v>42</v>
      </c>
      <c r="M1318" s="1">
        <v>18</v>
      </c>
      <c r="N1318" s="1" t="s">
        <v>44</v>
      </c>
      <c r="O1318" s="1">
        <v>4</v>
      </c>
      <c r="P1318" s="1">
        <v>2</v>
      </c>
      <c r="Q1318" s="1">
        <v>1</v>
      </c>
      <c r="R1318" s="1">
        <v>5410</v>
      </c>
      <c r="S1318" s="1">
        <v>9</v>
      </c>
      <c r="T1318" s="1">
        <v>2</v>
      </c>
      <c r="U1318" s="1">
        <v>4</v>
      </c>
      <c r="V1318" s="1">
        <v>3</v>
      </c>
      <c r="W1318" s="1">
        <v>1</v>
      </c>
      <c r="X1318" s="1">
        <v>2</v>
      </c>
    </row>
    <row r="1319" spans="1:24">
      <c r="A1319" s="1">
        <v>1318</v>
      </c>
      <c r="B1319" s="1" t="s">
        <v>33</v>
      </c>
      <c r="C1319" s="1" t="s">
        <v>25</v>
      </c>
      <c r="D1319" s="1" t="s">
        <v>43</v>
      </c>
      <c r="E1319" s="1" t="s">
        <v>36</v>
      </c>
      <c r="F1319" s="1" t="s">
        <v>41</v>
      </c>
      <c r="G1319" s="1">
        <v>1</v>
      </c>
      <c r="H1319" s="1" t="s">
        <v>37</v>
      </c>
      <c r="I1319" s="1" t="s">
        <v>42</v>
      </c>
      <c r="J1319" s="1" t="s">
        <v>48</v>
      </c>
      <c r="K1319" s="1" t="s">
        <v>24</v>
      </c>
      <c r="L1319" s="1">
        <v>25</v>
      </c>
      <c r="M1319" s="1">
        <v>2</v>
      </c>
      <c r="N1319" s="1" t="s">
        <v>40</v>
      </c>
      <c r="O1319" s="1">
        <v>4</v>
      </c>
      <c r="P1319" s="1">
        <v>1</v>
      </c>
      <c r="Q1319" s="1">
        <v>3</v>
      </c>
      <c r="R1319" s="1">
        <v>3977</v>
      </c>
      <c r="S1319" s="1">
        <v>7</v>
      </c>
      <c r="T1319" s="1">
        <v>2</v>
      </c>
      <c r="U1319" s="1">
        <v>2</v>
      </c>
      <c r="V1319" s="1">
        <v>2</v>
      </c>
      <c r="W1319" s="1">
        <v>0</v>
      </c>
      <c r="X1319" s="1">
        <v>2</v>
      </c>
    </row>
    <row r="1320" spans="1:24">
      <c r="A1320" s="1">
        <v>1319</v>
      </c>
      <c r="B1320" s="1" t="s">
        <v>33</v>
      </c>
      <c r="C1320" s="1" t="s">
        <v>25</v>
      </c>
      <c r="D1320" s="1" t="s">
        <v>26</v>
      </c>
      <c r="E1320" s="1" t="s">
        <v>36</v>
      </c>
      <c r="F1320" s="1" t="s">
        <v>45</v>
      </c>
      <c r="G1320" s="1">
        <v>1</v>
      </c>
      <c r="H1320" s="1" t="s">
        <v>37</v>
      </c>
      <c r="I1320" s="1" t="s">
        <v>38</v>
      </c>
      <c r="J1320" s="1" t="s">
        <v>39</v>
      </c>
      <c r="K1320" s="1" t="s">
        <v>24</v>
      </c>
      <c r="L1320" s="1">
        <v>41</v>
      </c>
      <c r="M1320" s="1">
        <v>5</v>
      </c>
      <c r="N1320" s="1" t="s">
        <v>58</v>
      </c>
      <c r="O1320" s="1">
        <v>2</v>
      </c>
      <c r="P1320" s="1">
        <v>1</v>
      </c>
      <c r="Q1320" s="1">
        <v>3</v>
      </c>
      <c r="R1320" s="1">
        <v>2127</v>
      </c>
      <c r="S1320" s="1">
        <v>7</v>
      </c>
      <c r="T1320" s="1">
        <v>2</v>
      </c>
      <c r="U1320" s="1">
        <v>4</v>
      </c>
      <c r="V1320" s="1">
        <v>2</v>
      </c>
      <c r="W1320" s="1">
        <v>0</v>
      </c>
      <c r="X1320" s="1">
        <v>3</v>
      </c>
    </row>
    <row r="1321" spans="1:24">
      <c r="A1321" s="1">
        <v>1320</v>
      </c>
      <c r="B1321" s="1" t="s">
        <v>33</v>
      </c>
      <c r="C1321" s="1" t="s">
        <v>25</v>
      </c>
      <c r="D1321" s="1" t="s">
        <v>46</v>
      </c>
      <c r="E1321" s="1" t="s">
        <v>36</v>
      </c>
      <c r="F1321" s="1" t="s">
        <v>28</v>
      </c>
      <c r="G1321" s="1">
        <v>1</v>
      </c>
      <c r="H1321" s="1" t="s">
        <v>37</v>
      </c>
      <c r="I1321" s="1" t="s">
        <v>50</v>
      </c>
      <c r="J1321" s="1" t="s">
        <v>39</v>
      </c>
      <c r="K1321" s="1" t="s">
        <v>24</v>
      </c>
      <c r="L1321" s="1">
        <v>55</v>
      </c>
      <c r="M1321" s="1">
        <v>4</v>
      </c>
      <c r="N1321" s="1" t="s">
        <v>44</v>
      </c>
      <c r="O1321" s="1">
        <v>4</v>
      </c>
      <c r="P1321" s="1">
        <v>2</v>
      </c>
      <c r="Q1321" s="1">
        <v>3</v>
      </c>
      <c r="R1321" s="1">
        <v>4035</v>
      </c>
      <c r="S1321" s="1">
        <v>4</v>
      </c>
      <c r="T1321" s="1">
        <v>3</v>
      </c>
      <c r="U1321" s="1">
        <v>3</v>
      </c>
      <c r="V1321" s="1">
        <v>2</v>
      </c>
      <c r="W1321" s="1">
        <v>1</v>
      </c>
      <c r="X1321" s="1">
        <v>2</v>
      </c>
    </row>
    <row r="1322" spans="1:24">
      <c r="A1322" s="1">
        <v>1321</v>
      </c>
      <c r="B1322" s="1" t="s">
        <v>33</v>
      </c>
      <c r="C1322" s="1" t="s">
        <v>25</v>
      </c>
      <c r="D1322" s="1" t="s">
        <v>26</v>
      </c>
      <c r="E1322" s="1" t="s">
        <v>36</v>
      </c>
      <c r="F1322" s="1" t="s">
        <v>45</v>
      </c>
      <c r="G1322" s="1">
        <v>1</v>
      </c>
      <c r="H1322" s="1" t="s">
        <v>37</v>
      </c>
      <c r="I1322" s="1" t="s">
        <v>50</v>
      </c>
      <c r="J1322" s="1" t="s">
        <v>39</v>
      </c>
      <c r="K1322" s="1" t="s">
        <v>24</v>
      </c>
      <c r="L1322" s="1">
        <v>38</v>
      </c>
      <c r="M1322" s="1">
        <v>18</v>
      </c>
      <c r="N1322" s="1" t="s">
        <v>47</v>
      </c>
      <c r="O1322" s="1">
        <v>2</v>
      </c>
      <c r="P1322" s="1">
        <v>2</v>
      </c>
      <c r="Q1322" s="1">
        <v>4</v>
      </c>
      <c r="R1322" s="1">
        <v>5811</v>
      </c>
      <c r="S1322" s="1">
        <v>15</v>
      </c>
      <c r="T1322" s="1">
        <v>3</v>
      </c>
      <c r="U1322" s="1">
        <v>1</v>
      </c>
      <c r="V1322" s="1">
        <v>0</v>
      </c>
      <c r="W1322" s="1">
        <v>1</v>
      </c>
      <c r="X1322" s="1">
        <v>0</v>
      </c>
    </row>
    <row r="1323" spans="1:24">
      <c r="A1323" s="1">
        <v>1322</v>
      </c>
      <c r="B1323" s="1" t="s">
        <v>33</v>
      </c>
      <c r="C1323" s="1" t="s">
        <v>25</v>
      </c>
      <c r="D1323" s="1" t="s">
        <v>43</v>
      </c>
      <c r="E1323" s="1" t="s">
        <v>36</v>
      </c>
      <c r="F1323" s="1" t="s">
        <v>28</v>
      </c>
      <c r="G1323" s="1">
        <v>1</v>
      </c>
      <c r="H1323" s="1" t="s">
        <v>37</v>
      </c>
      <c r="I1323" s="1" t="s">
        <v>42</v>
      </c>
      <c r="J1323" s="1" t="s">
        <v>39</v>
      </c>
      <c r="K1323" s="1" t="s">
        <v>24</v>
      </c>
      <c r="L1323" s="1">
        <v>33</v>
      </c>
      <c r="M1323" s="1">
        <v>28</v>
      </c>
      <c r="N1323" s="1" t="s">
        <v>44</v>
      </c>
      <c r="O1323" s="1">
        <v>2</v>
      </c>
      <c r="P1323" s="1">
        <v>2</v>
      </c>
      <c r="Q1323" s="1">
        <v>3</v>
      </c>
      <c r="R1323" s="1">
        <v>5207</v>
      </c>
      <c r="S1323" s="1">
        <v>15</v>
      </c>
      <c r="T1323" s="1">
        <v>3</v>
      </c>
      <c r="U1323" s="1">
        <v>15</v>
      </c>
      <c r="V1323" s="1">
        <v>14</v>
      </c>
      <c r="W1323" s="1">
        <v>5</v>
      </c>
      <c r="X1323" s="1">
        <v>7</v>
      </c>
    </row>
    <row r="1324" spans="1:24">
      <c r="A1324" s="1">
        <v>1323</v>
      </c>
      <c r="B1324" s="1" t="s">
        <v>33</v>
      </c>
      <c r="C1324" s="1" t="s">
        <v>25</v>
      </c>
      <c r="D1324" s="1" t="s">
        <v>43</v>
      </c>
      <c r="E1324" s="1" t="s">
        <v>36</v>
      </c>
      <c r="F1324" s="1" t="s">
        <v>41</v>
      </c>
      <c r="G1324" s="1">
        <v>1</v>
      </c>
      <c r="H1324" s="1" t="s">
        <v>37</v>
      </c>
      <c r="I1324" s="1" t="s">
        <v>42</v>
      </c>
      <c r="J1324" s="1" t="s">
        <v>39</v>
      </c>
      <c r="K1324" s="1" t="s">
        <v>24</v>
      </c>
      <c r="L1324" s="1">
        <v>29</v>
      </c>
      <c r="M1324" s="1">
        <v>13</v>
      </c>
      <c r="N1324" s="1" t="s">
        <v>32</v>
      </c>
      <c r="O1324" s="1">
        <v>4</v>
      </c>
      <c r="P1324" s="1">
        <v>2</v>
      </c>
      <c r="Q1324" s="1">
        <v>2</v>
      </c>
      <c r="R1324" s="1">
        <v>4025</v>
      </c>
      <c r="S1324" s="1">
        <v>10</v>
      </c>
      <c r="T1324" s="1">
        <v>3</v>
      </c>
      <c r="U1324" s="1">
        <v>4</v>
      </c>
      <c r="V1324" s="1">
        <v>3</v>
      </c>
      <c r="W1324" s="1">
        <v>0</v>
      </c>
      <c r="X1324" s="1">
        <v>3</v>
      </c>
    </row>
    <row r="1325" spans="1:24">
      <c r="A1325" s="1">
        <v>1324</v>
      </c>
      <c r="B1325" s="1" t="s">
        <v>33</v>
      </c>
      <c r="C1325" s="1" t="s">
        <v>25</v>
      </c>
      <c r="D1325" s="1" t="s">
        <v>26</v>
      </c>
      <c r="E1325" s="1" t="s">
        <v>36</v>
      </c>
      <c r="F1325" s="1" t="s">
        <v>28</v>
      </c>
      <c r="G1325" s="1">
        <v>1</v>
      </c>
      <c r="H1325" s="1" t="s">
        <v>37</v>
      </c>
      <c r="I1325" s="1" t="s">
        <v>50</v>
      </c>
      <c r="J1325" s="1" t="s">
        <v>39</v>
      </c>
      <c r="K1325" s="1" t="s">
        <v>24</v>
      </c>
      <c r="L1325" s="1">
        <v>36</v>
      </c>
      <c r="M1325" s="1">
        <v>10</v>
      </c>
      <c r="N1325" s="1" t="s">
        <v>47</v>
      </c>
      <c r="O1325" s="1">
        <v>4</v>
      </c>
      <c r="P1325" s="1">
        <v>3</v>
      </c>
      <c r="Q1325" s="1">
        <v>1</v>
      </c>
      <c r="R1325" s="1">
        <v>8321</v>
      </c>
      <c r="S1325" s="1">
        <v>15</v>
      </c>
      <c r="T1325" s="1">
        <v>3</v>
      </c>
      <c r="U1325" s="1">
        <v>12</v>
      </c>
      <c r="V1325" s="1">
        <v>8</v>
      </c>
      <c r="W1325" s="1">
        <v>5</v>
      </c>
      <c r="X1325" s="1">
        <v>7</v>
      </c>
    </row>
    <row r="1326" spans="1:24">
      <c r="A1326" s="1">
        <v>1325</v>
      </c>
      <c r="B1326" s="1" t="s">
        <v>33</v>
      </c>
      <c r="C1326" s="1" t="s">
        <v>25</v>
      </c>
      <c r="D1326" s="1" t="s">
        <v>26</v>
      </c>
      <c r="E1326" s="1" t="s">
        <v>36</v>
      </c>
      <c r="F1326" s="1" t="s">
        <v>45</v>
      </c>
      <c r="G1326" s="1">
        <v>1</v>
      </c>
      <c r="H1326" s="1" t="s">
        <v>37</v>
      </c>
      <c r="I1326" s="1" t="s">
        <v>42</v>
      </c>
      <c r="J1326" s="1" t="s">
        <v>39</v>
      </c>
      <c r="K1326" s="1" t="s">
        <v>24</v>
      </c>
      <c r="L1326" s="1">
        <v>35</v>
      </c>
      <c r="M1326" s="1">
        <v>11</v>
      </c>
      <c r="N1326" s="1" t="s">
        <v>44</v>
      </c>
      <c r="O1326" s="1">
        <v>4</v>
      </c>
      <c r="P1326" s="1">
        <v>1</v>
      </c>
      <c r="Q1326" s="1">
        <v>3</v>
      </c>
      <c r="R1326" s="1">
        <v>2660</v>
      </c>
      <c r="S1326" s="1">
        <v>5</v>
      </c>
      <c r="T1326" s="1">
        <v>3</v>
      </c>
      <c r="U1326" s="1">
        <v>2</v>
      </c>
      <c r="V1326" s="1">
        <v>2</v>
      </c>
      <c r="W1326" s="1">
        <v>2</v>
      </c>
      <c r="X1326" s="1">
        <v>2</v>
      </c>
    </row>
    <row r="1327" spans="1:24">
      <c r="A1327" s="1">
        <v>1326</v>
      </c>
      <c r="B1327" s="1" t="s">
        <v>33</v>
      </c>
      <c r="C1327" s="1" t="s">
        <v>25</v>
      </c>
      <c r="D1327" s="1" t="s">
        <v>35</v>
      </c>
      <c r="E1327" s="1" t="s">
        <v>36</v>
      </c>
      <c r="F1327" s="1" t="s">
        <v>57</v>
      </c>
      <c r="G1327" s="1">
        <v>1</v>
      </c>
      <c r="H1327" s="1" t="s">
        <v>37</v>
      </c>
      <c r="I1327" s="1" t="s">
        <v>49</v>
      </c>
      <c r="J1327" s="1" t="s">
        <v>39</v>
      </c>
      <c r="K1327" s="1" t="s">
        <v>24</v>
      </c>
      <c r="L1327" s="1">
        <v>45</v>
      </c>
      <c r="M1327" s="1">
        <v>29</v>
      </c>
      <c r="N1327" s="1" t="s">
        <v>47</v>
      </c>
      <c r="O1327" s="1">
        <v>2</v>
      </c>
      <c r="P1327" s="1">
        <v>3</v>
      </c>
      <c r="Q1327" s="1">
        <v>4</v>
      </c>
      <c r="R1327" s="1">
        <v>9380</v>
      </c>
      <c r="S1327" s="1">
        <v>10</v>
      </c>
      <c r="T1327" s="1">
        <v>4</v>
      </c>
      <c r="U1327" s="1">
        <v>3</v>
      </c>
      <c r="V1327" s="1">
        <v>1</v>
      </c>
      <c r="W1327" s="1">
        <v>1</v>
      </c>
      <c r="X1327" s="1">
        <v>2</v>
      </c>
    </row>
    <row r="1328" spans="1:24">
      <c r="A1328" s="1">
        <v>1327</v>
      </c>
      <c r="B1328" s="1" t="s">
        <v>33</v>
      </c>
      <c r="C1328" s="1" t="s">
        <v>25</v>
      </c>
      <c r="D1328" s="1" t="s">
        <v>43</v>
      </c>
      <c r="E1328" s="1" t="s">
        <v>36</v>
      </c>
      <c r="F1328" s="1" t="s">
        <v>45</v>
      </c>
      <c r="G1328" s="1">
        <v>1</v>
      </c>
      <c r="H1328" s="1" t="s">
        <v>37</v>
      </c>
      <c r="I1328" s="1" t="s">
        <v>38</v>
      </c>
      <c r="J1328" s="1" t="s">
        <v>39</v>
      </c>
      <c r="K1328" s="1" t="s">
        <v>24</v>
      </c>
      <c r="L1328" s="1">
        <v>34</v>
      </c>
      <c r="M1328" s="1">
        <v>2</v>
      </c>
      <c r="N1328" s="1" t="s">
        <v>44</v>
      </c>
      <c r="O1328" s="1">
        <v>4</v>
      </c>
      <c r="P1328" s="1">
        <v>1</v>
      </c>
      <c r="Q1328" s="1">
        <v>4</v>
      </c>
      <c r="R1328" s="1">
        <v>2932</v>
      </c>
      <c r="S1328" s="1">
        <v>6</v>
      </c>
      <c r="T1328" s="1">
        <v>3</v>
      </c>
      <c r="U1328" s="1">
        <v>5</v>
      </c>
      <c r="V1328" s="1">
        <v>0</v>
      </c>
      <c r="W1328" s="1">
        <v>1</v>
      </c>
      <c r="X1328" s="1">
        <v>2</v>
      </c>
    </row>
    <row r="1329" spans="1:24">
      <c r="A1329" s="1">
        <v>1328</v>
      </c>
      <c r="B1329" s="1" t="s">
        <v>33</v>
      </c>
      <c r="C1329" s="1" t="s">
        <v>25</v>
      </c>
      <c r="D1329" s="1" t="s">
        <v>43</v>
      </c>
      <c r="E1329" s="1" t="s">
        <v>36</v>
      </c>
      <c r="F1329" s="1" t="s">
        <v>45</v>
      </c>
      <c r="G1329" s="1">
        <v>1</v>
      </c>
      <c r="H1329" s="1" t="s">
        <v>37</v>
      </c>
      <c r="I1329" s="1" t="s">
        <v>42</v>
      </c>
      <c r="J1329" s="1" t="s">
        <v>31</v>
      </c>
      <c r="K1329" s="1" t="s">
        <v>24</v>
      </c>
      <c r="L1329" s="1">
        <v>29</v>
      </c>
      <c r="M1329" s="1">
        <v>3</v>
      </c>
      <c r="N1329" s="1" t="s">
        <v>40</v>
      </c>
      <c r="O1329" s="1">
        <v>2</v>
      </c>
      <c r="P1329" s="1">
        <v>1</v>
      </c>
      <c r="Q1329" s="1">
        <v>1</v>
      </c>
      <c r="R1329" s="1">
        <v>4723</v>
      </c>
      <c r="S1329" s="1">
        <v>10</v>
      </c>
      <c r="T1329" s="1">
        <v>3</v>
      </c>
      <c r="U1329" s="1">
        <v>10</v>
      </c>
      <c r="V1329" s="1">
        <v>9</v>
      </c>
      <c r="W1329" s="1">
        <v>1</v>
      </c>
      <c r="X1329" s="1">
        <v>5</v>
      </c>
    </row>
    <row r="1330" spans="1:24">
      <c r="A1330" s="1">
        <v>1329</v>
      </c>
      <c r="B1330" s="1" t="s">
        <v>33</v>
      </c>
      <c r="C1330" s="1" t="s">
        <v>25</v>
      </c>
      <c r="D1330" s="1" t="s">
        <v>26</v>
      </c>
      <c r="E1330" s="1" t="s">
        <v>36</v>
      </c>
      <c r="F1330" s="1" t="s">
        <v>45</v>
      </c>
      <c r="G1330" s="1">
        <v>1</v>
      </c>
      <c r="H1330" s="1" t="s">
        <v>37</v>
      </c>
      <c r="I1330" s="1" t="s">
        <v>38</v>
      </c>
      <c r="J1330" s="1" t="s">
        <v>31</v>
      </c>
      <c r="K1330" s="1" t="s">
        <v>24</v>
      </c>
      <c r="L1330" s="1">
        <v>44</v>
      </c>
      <c r="M1330" s="1">
        <v>1</v>
      </c>
      <c r="N1330" s="1" t="s">
        <v>47</v>
      </c>
      <c r="O1330" s="1">
        <v>2</v>
      </c>
      <c r="P1330" s="1">
        <v>1</v>
      </c>
      <c r="Q1330" s="1">
        <v>4</v>
      </c>
      <c r="R1330" s="1">
        <v>2436</v>
      </c>
      <c r="S1330" s="1">
        <v>6</v>
      </c>
      <c r="T1330" s="1">
        <v>3</v>
      </c>
      <c r="U1330" s="1">
        <v>4</v>
      </c>
      <c r="V1330" s="1">
        <v>3</v>
      </c>
      <c r="W1330" s="1">
        <v>1</v>
      </c>
      <c r="X1330" s="1">
        <v>2</v>
      </c>
    </row>
    <row r="1331" spans="1:24">
      <c r="A1331" s="1">
        <v>1330</v>
      </c>
      <c r="B1331" s="1" t="s">
        <v>33</v>
      </c>
      <c r="C1331" s="1" t="s">
        <v>25</v>
      </c>
      <c r="D1331" s="1" t="s">
        <v>43</v>
      </c>
      <c r="E1331" s="1" t="s">
        <v>36</v>
      </c>
      <c r="F1331" s="1" t="s">
        <v>28</v>
      </c>
      <c r="G1331" s="1">
        <v>1</v>
      </c>
      <c r="H1331" s="1" t="s">
        <v>37</v>
      </c>
      <c r="I1331" s="1" t="s">
        <v>50</v>
      </c>
      <c r="J1331" s="1" t="s">
        <v>31</v>
      </c>
      <c r="K1331" s="1" t="s">
        <v>24</v>
      </c>
      <c r="L1331" s="1">
        <v>33</v>
      </c>
      <c r="M1331" s="1">
        <v>8</v>
      </c>
      <c r="N1331" s="1" t="s">
        <v>58</v>
      </c>
      <c r="O1331" s="1">
        <v>4</v>
      </c>
      <c r="P1331" s="1">
        <v>2</v>
      </c>
      <c r="Q1331" s="1">
        <v>3</v>
      </c>
      <c r="R1331" s="1">
        <v>6388</v>
      </c>
      <c r="S1331" s="1">
        <v>14</v>
      </c>
      <c r="T1331" s="1">
        <v>3</v>
      </c>
      <c r="U1331" s="1">
        <v>0</v>
      </c>
      <c r="V1331" s="1">
        <v>0</v>
      </c>
      <c r="W1331" s="1">
        <v>0</v>
      </c>
      <c r="X1331" s="1">
        <v>0</v>
      </c>
    </row>
    <row r="1332" spans="1:24">
      <c r="A1332" s="1">
        <v>1331</v>
      </c>
      <c r="B1332" s="1" t="s">
        <v>33</v>
      </c>
      <c r="C1332" s="1" t="s">
        <v>25</v>
      </c>
      <c r="D1332" s="1" t="s">
        <v>43</v>
      </c>
      <c r="E1332" s="1" t="s">
        <v>27</v>
      </c>
      <c r="F1332" s="1" t="s">
        <v>45</v>
      </c>
      <c r="G1332" s="1">
        <v>1</v>
      </c>
      <c r="H1332" s="1" t="s">
        <v>37</v>
      </c>
      <c r="I1332" s="1" t="s">
        <v>30</v>
      </c>
      <c r="J1332" s="1" t="s">
        <v>48</v>
      </c>
      <c r="K1332" s="1" t="s">
        <v>24</v>
      </c>
      <c r="L1332" s="1">
        <v>29</v>
      </c>
      <c r="M1332" s="1">
        <v>5</v>
      </c>
      <c r="N1332" s="1" t="s">
        <v>47</v>
      </c>
      <c r="O1332" s="1">
        <v>1</v>
      </c>
      <c r="P1332" s="1">
        <v>2</v>
      </c>
      <c r="Q1332" s="1">
        <v>2</v>
      </c>
      <c r="R1332" s="1">
        <v>4187</v>
      </c>
      <c r="S1332" s="1">
        <v>10</v>
      </c>
      <c r="T1332" s="1">
        <v>2</v>
      </c>
      <c r="U1332" s="1">
        <v>10</v>
      </c>
      <c r="V1332" s="1">
        <v>0</v>
      </c>
      <c r="W1332" s="1">
        <v>0</v>
      </c>
      <c r="X1332" s="1">
        <v>9</v>
      </c>
    </row>
    <row r="1333" spans="1:24">
      <c r="A1333" s="1">
        <v>1332</v>
      </c>
      <c r="B1333" s="1" t="s">
        <v>33</v>
      </c>
      <c r="C1333" s="1" t="s">
        <v>25</v>
      </c>
      <c r="D1333" s="1" t="s">
        <v>35</v>
      </c>
      <c r="E1333" s="1" t="s">
        <v>27</v>
      </c>
      <c r="F1333" s="1" t="s">
        <v>28</v>
      </c>
      <c r="G1333" s="1">
        <v>1</v>
      </c>
      <c r="H1333" s="1" t="s">
        <v>37</v>
      </c>
      <c r="I1333" s="1" t="s">
        <v>30</v>
      </c>
      <c r="J1333" s="1" t="s">
        <v>48</v>
      </c>
      <c r="K1333" s="1" t="s">
        <v>24</v>
      </c>
      <c r="L1333" s="1">
        <v>46</v>
      </c>
      <c r="M1333" s="1">
        <v>2</v>
      </c>
      <c r="N1333" s="1" t="s">
        <v>47</v>
      </c>
      <c r="O1333" s="1">
        <v>3</v>
      </c>
      <c r="P1333" s="1">
        <v>3</v>
      </c>
      <c r="Q1333" s="1">
        <v>4</v>
      </c>
      <c r="R1333" s="1">
        <v>10368</v>
      </c>
      <c r="S1333" s="1">
        <v>13</v>
      </c>
      <c r="T1333" s="1">
        <v>2</v>
      </c>
      <c r="U1333" s="1">
        <v>10</v>
      </c>
      <c r="V1333" s="1">
        <v>6</v>
      </c>
      <c r="W1333" s="1">
        <v>0</v>
      </c>
      <c r="X1333" s="1">
        <v>3</v>
      </c>
    </row>
    <row r="1334" spans="1:24">
      <c r="A1334" s="1">
        <v>1333</v>
      </c>
      <c r="B1334" s="1" t="s">
        <v>33</v>
      </c>
      <c r="C1334" s="1" t="s">
        <v>25</v>
      </c>
      <c r="D1334" s="1" t="s">
        <v>26</v>
      </c>
      <c r="E1334" s="1" t="s">
        <v>27</v>
      </c>
      <c r="F1334" s="1" t="s">
        <v>56</v>
      </c>
      <c r="G1334" s="1">
        <v>1</v>
      </c>
      <c r="H1334" s="1" t="s">
        <v>37</v>
      </c>
      <c r="I1334" s="1" t="s">
        <v>30</v>
      </c>
      <c r="J1334" s="1" t="s">
        <v>48</v>
      </c>
      <c r="K1334" s="1" t="s">
        <v>24</v>
      </c>
      <c r="L1334" s="1">
        <v>42</v>
      </c>
      <c r="M1334" s="1">
        <v>12</v>
      </c>
      <c r="N1334" s="1" t="s">
        <v>44</v>
      </c>
      <c r="O1334" s="1">
        <v>2</v>
      </c>
      <c r="P1334" s="1">
        <v>2</v>
      </c>
      <c r="Q1334" s="1">
        <v>4</v>
      </c>
      <c r="R1334" s="1">
        <v>5087</v>
      </c>
      <c r="S1334" s="1">
        <v>14</v>
      </c>
      <c r="T1334" s="1">
        <v>3</v>
      </c>
      <c r="U1334" s="1">
        <v>0</v>
      </c>
      <c r="V1334" s="1">
        <v>0</v>
      </c>
      <c r="W1334" s="1">
        <v>0</v>
      </c>
      <c r="X1334" s="1">
        <v>0</v>
      </c>
    </row>
    <row r="1335" spans="1:24">
      <c r="A1335" s="1">
        <v>1334</v>
      </c>
      <c r="B1335" s="1" t="s">
        <v>33</v>
      </c>
      <c r="C1335" s="1" t="s">
        <v>25</v>
      </c>
      <c r="D1335" s="1" t="s">
        <v>43</v>
      </c>
      <c r="E1335" s="1" t="s">
        <v>27</v>
      </c>
      <c r="F1335" s="1" t="s">
        <v>57</v>
      </c>
      <c r="G1335" s="1">
        <v>1</v>
      </c>
      <c r="H1335" s="1" t="s">
        <v>37</v>
      </c>
      <c r="I1335" s="1" t="s">
        <v>30</v>
      </c>
      <c r="J1335" s="1" t="s">
        <v>39</v>
      </c>
      <c r="K1335" s="1" t="s">
        <v>24</v>
      </c>
      <c r="L1335" s="1">
        <v>34</v>
      </c>
      <c r="M1335" s="1">
        <v>1</v>
      </c>
      <c r="N1335" s="1" t="s">
        <v>47</v>
      </c>
      <c r="O1335" s="1">
        <v>4</v>
      </c>
      <c r="P1335" s="1">
        <v>3</v>
      </c>
      <c r="Q1335" s="1">
        <v>3</v>
      </c>
      <c r="R1335" s="1">
        <v>7083</v>
      </c>
      <c r="S1335" s="1">
        <v>10</v>
      </c>
      <c r="T1335" s="1">
        <v>3</v>
      </c>
      <c r="U1335" s="1">
        <v>10</v>
      </c>
      <c r="V1335" s="1">
        <v>9</v>
      </c>
      <c r="W1335" s="1">
        <v>8</v>
      </c>
      <c r="X1335" s="1">
        <v>6</v>
      </c>
    </row>
    <row r="1336" spans="1:24">
      <c r="A1336" s="1">
        <v>1335</v>
      </c>
      <c r="B1336" s="1" t="s">
        <v>33</v>
      </c>
      <c r="C1336" s="1" t="s">
        <v>25</v>
      </c>
      <c r="D1336" s="1" t="s">
        <v>35</v>
      </c>
      <c r="E1336" s="1" t="s">
        <v>27</v>
      </c>
      <c r="F1336" s="1" t="s">
        <v>56</v>
      </c>
      <c r="G1336" s="1">
        <v>1</v>
      </c>
      <c r="H1336" s="1" t="s">
        <v>37</v>
      </c>
      <c r="I1336" s="1" t="s">
        <v>53</v>
      </c>
      <c r="J1336" s="1" t="s">
        <v>39</v>
      </c>
      <c r="K1336" s="1" t="s">
        <v>24</v>
      </c>
      <c r="L1336" s="1">
        <v>50</v>
      </c>
      <c r="M1336" s="1">
        <v>9</v>
      </c>
      <c r="N1336" s="1" t="s">
        <v>47</v>
      </c>
      <c r="O1336" s="1">
        <v>3</v>
      </c>
      <c r="P1336" s="1">
        <v>5</v>
      </c>
      <c r="Q1336" s="1">
        <v>3</v>
      </c>
      <c r="R1336" s="1">
        <v>19331</v>
      </c>
      <c r="S1336" s="1">
        <v>27</v>
      </c>
      <c r="T1336" s="1">
        <v>3</v>
      </c>
      <c r="U1336" s="1">
        <v>1</v>
      </c>
      <c r="V1336" s="1">
        <v>0</v>
      </c>
      <c r="W1336" s="1">
        <v>0</v>
      </c>
      <c r="X1336" s="1">
        <v>0</v>
      </c>
    </row>
    <row r="1337" spans="1:24">
      <c r="A1337" s="1">
        <v>1336</v>
      </c>
      <c r="B1337" s="1" t="s">
        <v>33</v>
      </c>
      <c r="C1337" s="1" t="s">
        <v>25</v>
      </c>
      <c r="D1337" s="1" t="s">
        <v>26</v>
      </c>
      <c r="E1337" s="1" t="s">
        <v>27</v>
      </c>
      <c r="F1337" s="1" t="s">
        <v>45</v>
      </c>
      <c r="G1337" s="1">
        <v>1</v>
      </c>
      <c r="H1337" s="1" t="s">
        <v>37</v>
      </c>
      <c r="I1337" s="1" t="s">
        <v>30</v>
      </c>
      <c r="J1337" s="1" t="s">
        <v>39</v>
      </c>
      <c r="K1337" s="1" t="s">
        <v>24</v>
      </c>
      <c r="L1337" s="1">
        <v>43</v>
      </c>
      <c r="M1337" s="1">
        <v>2</v>
      </c>
      <c r="N1337" s="1" t="s">
        <v>47</v>
      </c>
      <c r="O1337" s="1">
        <v>4</v>
      </c>
      <c r="P1337" s="1">
        <v>2</v>
      </c>
      <c r="Q1337" s="1">
        <v>4</v>
      </c>
      <c r="R1337" s="1">
        <v>7847</v>
      </c>
      <c r="S1337" s="1">
        <v>10</v>
      </c>
      <c r="T1337" s="1">
        <v>3</v>
      </c>
      <c r="U1337" s="1">
        <v>10</v>
      </c>
      <c r="V1337" s="1">
        <v>9</v>
      </c>
      <c r="W1337" s="1">
        <v>8</v>
      </c>
      <c r="X1337" s="1">
        <v>8</v>
      </c>
    </row>
    <row r="1338" spans="1:24">
      <c r="A1338" s="1">
        <v>1337</v>
      </c>
      <c r="B1338" s="1" t="s">
        <v>33</v>
      </c>
      <c r="C1338" s="1" t="s">
        <v>25</v>
      </c>
      <c r="D1338" s="1" t="s">
        <v>43</v>
      </c>
      <c r="E1338" s="1" t="s">
        <v>27</v>
      </c>
      <c r="F1338" s="1" t="s">
        <v>28</v>
      </c>
      <c r="G1338" s="1">
        <v>1</v>
      </c>
      <c r="H1338" s="1" t="s">
        <v>37</v>
      </c>
      <c r="I1338" s="1" t="s">
        <v>30</v>
      </c>
      <c r="J1338" s="1" t="s">
        <v>39</v>
      </c>
      <c r="K1338" s="1" t="s">
        <v>24</v>
      </c>
      <c r="L1338" s="1">
        <v>34</v>
      </c>
      <c r="M1338" s="1">
        <v>4</v>
      </c>
      <c r="N1338" s="1" t="s">
        <v>47</v>
      </c>
      <c r="O1338" s="1">
        <v>3</v>
      </c>
      <c r="P1338" s="1">
        <v>3</v>
      </c>
      <c r="Q1338" s="1">
        <v>4</v>
      </c>
      <c r="R1338" s="1">
        <v>9713</v>
      </c>
      <c r="S1338" s="1">
        <v>9</v>
      </c>
      <c r="T1338" s="1">
        <v>3</v>
      </c>
      <c r="U1338" s="1">
        <v>5</v>
      </c>
      <c r="V1338" s="1">
        <v>3</v>
      </c>
      <c r="W1338" s="1">
        <v>1</v>
      </c>
      <c r="X1338" s="1">
        <v>0</v>
      </c>
    </row>
    <row r="1339" spans="1:24">
      <c r="A1339" s="1">
        <v>1338</v>
      </c>
      <c r="B1339" s="1" t="s">
        <v>33</v>
      </c>
      <c r="C1339" s="1" t="s">
        <v>25</v>
      </c>
      <c r="D1339" s="1" t="s">
        <v>52</v>
      </c>
      <c r="E1339" s="1" t="s">
        <v>27</v>
      </c>
      <c r="F1339" s="1" t="s">
        <v>45</v>
      </c>
      <c r="G1339" s="1">
        <v>1</v>
      </c>
      <c r="H1339" s="1" t="s">
        <v>37</v>
      </c>
      <c r="I1339" s="1" t="s">
        <v>54</v>
      </c>
      <c r="J1339" s="1" t="s">
        <v>31</v>
      </c>
      <c r="K1339" s="1" t="s">
        <v>24</v>
      </c>
      <c r="L1339" s="1">
        <v>21</v>
      </c>
      <c r="M1339" s="1">
        <v>5</v>
      </c>
      <c r="N1339" s="1" t="s">
        <v>40</v>
      </c>
      <c r="O1339" s="1">
        <v>3</v>
      </c>
      <c r="P1339" s="1">
        <v>1</v>
      </c>
      <c r="Q1339" s="1">
        <v>1</v>
      </c>
      <c r="R1339" s="1">
        <v>2380</v>
      </c>
      <c r="S1339" s="1">
        <v>2</v>
      </c>
      <c r="T1339" s="1">
        <v>3</v>
      </c>
      <c r="U1339" s="1">
        <v>2</v>
      </c>
      <c r="V1339" s="1">
        <v>2</v>
      </c>
      <c r="W1339" s="1">
        <v>1</v>
      </c>
      <c r="X1339" s="1">
        <v>2</v>
      </c>
    </row>
    <row r="1340" spans="1:24">
      <c r="A1340" s="1">
        <v>1339</v>
      </c>
      <c r="B1340" s="1" t="s">
        <v>33</v>
      </c>
      <c r="C1340" s="1" t="s">
        <v>25</v>
      </c>
      <c r="D1340" s="1" t="s">
        <v>26</v>
      </c>
      <c r="E1340" s="1" t="s">
        <v>27</v>
      </c>
      <c r="F1340" s="1" t="s">
        <v>28</v>
      </c>
      <c r="G1340" s="1">
        <v>1</v>
      </c>
      <c r="H1340" s="1" t="s">
        <v>37</v>
      </c>
      <c r="I1340" s="1" t="s">
        <v>30</v>
      </c>
      <c r="J1340" s="1" t="s">
        <v>31</v>
      </c>
      <c r="K1340" s="1" t="s">
        <v>24</v>
      </c>
      <c r="L1340" s="1">
        <v>41</v>
      </c>
      <c r="M1340" s="1">
        <v>23</v>
      </c>
      <c r="N1340" s="1" t="s">
        <v>32</v>
      </c>
      <c r="O1340" s="1">
        <v>4</v>
      </c>
      <c r="P1340" s="1">
        <v>3</v>
      </c>
      <c r="Q1340" s="1">
        <v>3</v>
      </c>
      <c r="R1340" s="1">
        <v>7082</v>
      </c>
      <c r="S1340" s="1">
        <v>21</v>
      </c>
      <c r="T1340" s="1">
        <v>3</v>
      </c>
      <c r="U1340" s="1">
        <v>2</v>
      </c>
      <c r="V1340" s="1">
        <v>0</v>
      </c>
      <c r="W1340" s="1">
        <v>0</v>
      </c>
      <c r="X1340" s="1">
        <v>2</v>
      </c>
    </row>
    <row r="1341" spans="1:24">
      <c r="A1341" s="1">
        <v>1340</v>
      </c>
      <c r="B1341" s="1" t="s">
        <v>33</v>
      </c>
      <c r="C1341" s="1" t="s">
        <v>51</v>
      </c>
      <c r="D1341" s="1" t="s">
        <v>43</v>
      </c>
      <c r="E1341" s="1" t="s">
        <v>36</v>
      </c>
      <c r="F1341" s="1" t="s">
        <v>45</v>
      </c>
      <c r="G1341" s="1">
        <v>1</v>
      </c>
      <c r="H1341" s="1" t="s">
        <v>29</v>
      </c>
      <c r="I1341" s="1" t="s">
        <v>55</v>
      </c>
      <c r="J1341" s="1" t="s">
        <v>39</v>
      </c>
      <c r="K1341" s="1" t="s">
        <v>33</v>
      </c>
      <c r="L1341" s="1">
        <v>31</v>
      </c>
      <c r="M1341" s="1">
        <v>10</v>
      </c>
      <c r="N1341" s="1" t="s">
        <v>47</v>
      </c>
      <c r="O1341" s="1">
        <v>3</v>
      </c>
      <c r="P1341" s="1">
        <v>3</v>
      </c>
      <c r="Q1341" s="1">
        <v>3</v>
      </c>
      <c r="R1341" s="1">
        <v>11031</v>
      </c>
      <c r="S1341" s="1">
        <v>13</v>
      </c>
      <c r="T1341" s="1">
        <v>4</v>
      </c>
      <c r="U1341" s="1">
        <v>11</v>
      </c>
      <c r="V1341" s="1">
        <v>7</v>
      </c>
      <c r="W1341" s="1">
        <v>4</v>
      </c>
      <c r="X1341" s="1">
        <v>8</v>
      </c>
    </row>
    <row r="1342" spans="1:24">
      <c r="A1342" s="1">
        <v>1341</v>
      </c>
      <c r="B1342" s="1" t="s">
        <v>33</v>
      </c>
      <c r="C1342" s="1" t="s">
        <v>51</v>
      </c>
      <c r="D1342" s="1" t="s">
        <v>35</v>
      </c>
      <c r="E1342" s="1" t="s">
        <v>27</v>
      </c>
      <c r="F1342" s="1" t="s">
        <v>28</v>
      </c>
      <c r="G1342" s="1">
        <v>1</v>
      </c>
      <c r="H1342" s="1" t="s">
        <v>29</v>
      </c>
      <c r="I1342" s="1" t="s">
        <v>30</v>
      </c>
      <c r="J1342" s="1" t="s">
        <v>39</v>
      </c>
      <c r="K1342" s="1" t="s">
        <v>33</v>
      </c>
      <c r="L1342" s="1">
        <v>45</v>
      </c>
      <c r="M1342" s="1">
        <v>2</v>
      </c>
      <c r="N1342" s="1" t="s">
        <v>44</v>
      </c>
      <c r="O1342" s="1">
        <v>3</v>
      </c>
      <c r="P1342" s="1">
        <v>2</v>
      </c>
      <c r="Q1342" s="1">
        <v>3</v>
      </c>
      <c r="R1342" s="1">
        <v>5154</v>
      </c>
      <c r="S1342" s="1">
        <v>10</v>
      </c>
      <c r="T1342" s="1">
        <v>4</v>
      </c>
      <c r="U1342" s="1">
        <v>8</v>
      </c>
      <c r="V1342" s="1">
        <v>7</v>
      </c>
      <c r="W1342" s="1">
        <v>5</v>
      </c>
      <c r="X1342" s="1">
        <v>7</v>
      </c>
    </row>
    <row r="1343" spans="1:24">
      <c r="A1343" s="1">
        <v>1342</v>
      </c>
      <c r="B1343" s="1" t="s">
        <v>33</v>
      </c>
      <c r="C1343" s="1" t="s">
        <v>34</v>
      </c>
      <c r="D1343" s="1" t="s">
        <v>35</v>
      </c>
      <c r="E1343" s="1" t="s">
        <v>36</v>
      </c>
      <c r="F1343" s="1" t="s">
        <v>45</v>
      </c>
      <c r="G1343" s="1">
        <v>1</v>
      </c>
      <c r="H1343" s="1" t="s">
        <v>29</v>
      </c>
      <c r="I1343" s="1" t="s">
        <v>53</v>
      </c>
      <c r="J1343" s="1" t="s">
        <v>48</v>
      </c>
      <c r="K1343" s="1" t="s">
        <v>33</v>
      </c>
      <c r="L1343" s="1">
        <v>54</v>
      </c>
      <c r="M1343" s="1">
        <v>11</v>
      </c>
      <c r="N1343" s="1" t="s">
        <v>44</v>
      </c>
      <c r="O1343" s="1">
        <v>2</v>
      </c>
      <c r="P1343" s="1">
        <v>4</v>
      </c>
      <c r="Q1343" s="1">
        <v>4</v>
      </c>
      <c r="R1343" s="1">
        <v>16032</v>
      </c>
      <c r="S1343" s="1">
        <v>26</v>
      </c>
      <c r="T1343" s="1">
        <v>3</v>
      </c>
      <c r="U1343" s="1">
        <v>14</v>
      </c>
      <c r="V1343" s="1">
        <v>9</v>
      </c>
      <c r="W1343" s="1">
        <v>1</v>
      </c>
      <c r="X1343" s="1">
        <v>12</v>
      </c>
    </row>
    <row r="1344" spans="1:24">
      <c r="A1344" s="1">
        <v>1343</v>
      </c>
      <c r="B1344" s="1" t="s">
        <v>33</v>
      </c>
      <c r="C1344" s="1" t="s">
        <v>34</v>
      </c>
      <c r="D1344" s="1" t="s">
        <v>26</v>
      </c>
      <c r="E1344" s="1" t="s">
        <v>36</v>
      </c>
      <c r="F1344" s="1" t="s">
        <v>45</v>
      </c>
      <c r="G1344" s="1">
        <v>1</v>
      </c>
      <c r="H1344" s="1" t="s">
        <v>29</v>
      </c>
      <c r="I1344" s="1" t="s">
        <v>42</v>
      </c>
      <c r="J1344" s="1" t="s">
        <v>31</v>
      </c>
      <c r="K1344" s="1" t="s">
        <v>33</v>
      </c>
      <c r="L1344" s="1">
        <v>38</v>
      </c>
      <c r="M1344" s="1">
        <v>2</v>
      </c>
      <c r="N1344" s="1" t="s">
        <v>47</v>
      </c>
      <c r="O1344" s="1">
        <v>4</v>
      </c>
      <c r="P1344" s="1">
        <v>1</v>
      </c>
      <c r="Q1344" s="1">
        <v>2</v>
      </c>
      <c r="R1344" s="1">
        <v>2440</v>
      </c>
      <c r="S1344" s="1">
        <v>4</v>
      </c>
      <c r="T1344" s="1">
        <v>3</v>
      </c>
      <c r="U1344" s="1">
        <v>4</v>
      </c>
      <c r="V1344" s="1">
        <v>3</v>
      </c>
      <c r="W1344" s="1">
        <v>3</v>
      </c>
      <c r="X1344" s="1">
        <v>3</v>
      </c>
    </row>
    <row r="1345" spans="1:24">
      <c r="A1345" s="1">
        <v>1344</v>
      </c>
      <c r="B1345" s="1" t="s">
        <v>33</v>
      </c>
      <c r="C1345" s="1" t="s">
        <v>34</v>
      </c>
      <c r="D1345" s="1" t="s">
        <v>43</v>
      </c>
      <c r="E1345" s="1" t="s">
        <v>36</v>
      </c>
      <c r="F1345" s="1" t="s">
        <v>57</v>
      </c>
      <c r="G1345" s="1">
        <v>1</v>
      </c>
      <c r="H1345" s="1" t="s">
        <v>29</v>
      </c>
      <c r="I1345" s="1" t="s">
        <v>49</v>
      </c>
      <c r="J1345" s="1" t="s">
        <v>31</v>
      </c>
      <c r="K1345" s="1" t="s">
        <v>33</v>
      </c>
      <c r="L1345" s="1">
        <v>31</v>
      </c>
      <c r="M1345" s="1">
        <v>24</v>
      </c>
      <c r="N1345" s="1" t="s">
        <v>40</v>
      </c>
      <c r="O1345" s="1">
        <v>4</v>
      </c>
      <c r="P1345" s="1">
        <v>2</v>
      </c>
      <c r="Q1345" s="1">
        <v>4</v>
      </c>
      <c r="R1345" s="1">
        <v>5238</v>
      </c>
      <c r="S1345" s="1">
        <v>9</v>
      </c>
      <c r="T1345" s="1">
        <v>2</v>
      </c>
      <c r="U1345" s="1">
        <v>5</v>
      </c>
      <c r="V1345" s="1">
        <v>4</v>
      </c>
      <c r="W1345" s="1">
        <v>1</v>
      </c>
      <c r="X1345" s="1">
        <v>4</v>
      </c>
    </row>
    <row r="1346" spans="1:24">
      <c r="A1346" s="1">
        <v>1345</v>
      </c>
      <c r="B1346" s="1" t="s">
        <v>33</v>
      </c>
      <c r="C1346" s="1" t="s">
        <v>25</v>
      </c>
      <c r="D1346" s="1" t="s">
        <v>35</v>
      </c>
      <c r="E1346" s="1" t="s">
        <v>59</v>
      </c>
      <c r="F1346" s="1" t="s">
        <v>28</v>
      </c>
      <c r="G1346" s="1">
        <v>1</v>
      </c>
      <c r="H1346" s="1" t="s">
        <v>29</v>
      </c>
      <c r="I1346" s="1" t="s">
        <v>60</v>
      </c>
      <c r="J1346" s="1" t="s">
        <v>39</v>
      </c>
      <c r="K1346" s="1" t="s">
        <v>33</v>
      </c>
      <c r="L1346" s="1">
        <v>45</v>
      </c>
      <c r="M1346" s="1">
        <v>4</v>
      </c>
      <c r="N1346" s="1" t="s">
        <v>47</v>
      </c>
      <c r="O1346" s="1">
        <v>3</v>
      </c>
      <c r="P1346" s="1">
        <v>3</v>
      </c>
      <c r="Q1346" s="1">
        <v>3</v>
      </c>
      <c r="R1346" s="1">
        <v>9756</v>
      </c>
      <c r="S1346" s="1">
        <v>9</v>
      </c>
      <c r="T1346" s="1">
        <v>4</v>
      </c>
      <c r="U1346" s="1">
        <v>5</v>
      </c>
      <c r="V1346" s="1">
        <v>0</v>
      </c>
      <c r="W1346" s="1">
        <v>0</v>
      </c>
      <c r="X1346" s="1">
        <v>3</v>
      </c>
    </row>
    <row r="1347" spans="1:24">
      <c r="A1347" s="1">
        <v>1346</v>
      </c>
      <c r="B1347" s="1" t="s">
        <v>33</v>
      </c>
      <c r="C1347" s="1" t="s">
        <v>25</v>
      </c>
      <c r="D1347" s="1" t="s">
        <v>43</v>
      </c>
      <c r="E1347" s="1" t="s">
        <v>36</v>
      </c>
      <c r="F1347" s="1" t="s">
        <v>45</v>
      </c>
      <c r="G1347" s="1">
        <v>1</v>
      </c>
      <c r="H1347" s="1" t="s">
        <v>29</v>
      </c>
      <c r="I1347" s="1" t="s">
        <v>49</v>
      </c>
      <c r="J1347" s="1" t="s">
        <v>48</v>
      </c>
      <c r="K1347" s="1" t="s">
        <v>33</v>
      </c>
      <c r="L1347" s="1">
        <v>28</v>
      </c>
      <c r="M1347" s="1">
        <v>27</v>
      </c>
      <c r="N1347" s="1" t="s">
        <v>47</v>
      </c>
      <c r="O1347" s="1">
        <v>2</v>
      </c>
      <c r="P1347" s="1">
        <v>2</v>
      </c>
      <c r="Q1347" s="1">
        <v>1</v>
      </c>
      <c r="R1347" s="1">
        <v>4877</v>
      </c>
      <c r="S1347" s="1">
        <v>6</v>
      </c>
      <c r="T1347" s="1">
        <v>2</v>
      </c>
      <c r="U1347" s="1">
        <v>5</v>
      </c>
      <c r="V1347" s="1">
        <v>3</v>
      </c>
      <c r="W1347" s="1">
        <v>0</v>
      </c>
      <c r="X1347" s="1">
        <v>0</v>
      </c>
    </row>
    <row r="1348" spans="1:24">
      <c r="A1348" s="1">
        <v>1347</v>
      </c>
      <c r="B1348" s="1" t="s">
        <v>33</v>
      </c>
      <c r="C1348" s="1" t="s">
        <v>25</v>
      </c>
      <c r="D1348" s="1" t="s">
        <v>43</v>
      </c>
      <c r="E1348" s="1" t="s">
        <v>36</v>
      </c>
      <c r="F1348" s="1" t="s">
        <v>28</v>
      </c>
      <c r="G1348" s="1">
        <v>1</v>
      </c>
      <c r="H1348" s="1" t="s">
        <v>29</v>
      </c>
      <c r="I1348" s="1" t="s">
        <v>38</v>
      </c>
      <c r="J1348" s="1" t="s">
        <v>39</v>
      </c>
      <c r="K1348" s="1" t="s">
        <v>33</v>
      </c>
      <c r="L1348" s="1">
        <v>26</v>
      </c>
      <c r="M1348" s="1">
        <v>3</v>
      </c>
      <c r="N1348" s="1" t="s">
        <v>47</v>
      </c>
      <c r="O1348" s="1">
        <v>1</v>
      </c>
      <c r="P1348" s="1">
        <v>1</v>
      </c>
      <c r="Q1348" s="1">
        <v>4</v>
      </c>
      <c r="R1348" s="1">
        <v>2061</v>
      </c>
      <c r="S1348" s="1">
        <v>1</v>
      </c>
      <c r="T1348" s="1">
        <v>3</v>
      </c>
      <c r="U1348" s="1">
        <v>1</v>
      </c>
      <c r="V1348" s="1">
        <v>0</v>
      </c>
      <c r="W1348" s="1">
        <v>0</v>
      </c>
      <c r="X1348" s="1">
        <v>0</v>
      </c>
    </row>
    <row r="1349" spans="1:24">
      <c r="A1349" s="1">
        <v>1348</v>
      </c>
      <c r="B1349" s="1" t="s">
        <v>33</v>
      </c>
      <c r="C1349" s="1" t="s">
        <v>25</v>
      </c>
      <c r="D1349" s="1" t="s">
        <v>26</v>
      </c>
      <c r="E1349" s="1" t="s">
        <v>36</v>
      </c>
      <c r="F1349" s="1" t="s">
        <v>28</v>
      </c>
      <c r="G1349" s="1">
        <v>1</v>
      </c>
      <c r="H1349" s="1" t="s">
        <v>29</v>
      </c>
      <c r="I1349" s="1" t="s">
        <v>49</v>
      </c>
      <c r="J1349" s="1" t="s">
        <v>39</v>
      </c>
      <c r="K1349" s="1" t="s">
        <v>33</v>
      </c>
      <c r="L1349" s="1">
        <v>41</v>
      </c>
      <c r="M1349" s="1">
        <v>28</v>
      </c>
      <c r="N1349" s="1" t="s">
        <v>44</v>
      </c>
      <c r="O1349" s="1">
        <v>1</v>
      </c>
      <c r="P1349" s="1">
        <v>4</v>
      </c>
      <c r="Q1349" s="1">
        <v>2</v>
      </c>
      <c r="R1349" s="1">
        <v>13570</v>
      </c>
      <c r="S1349" s="1">
        <v>21</v>
      </c>
      <c r="T1349" s="1">
        <v>3</v>
      </c>
      <c r="U1349" s="1">
        <v>20</v>
      </c>
      <c r="V1349" s="1">
        <v>7</v>
      </c>
      <c r="W1349" s="1">
        <v>0</v>
      </c>
      <c r="X1349" s="1">
        <v>10</v>
      </c>
    </row>
    <row r="1350" spans="1:24">
      <c r="A1350" s="1">
        <v>1349</v>
      </c>
      <c r="B1350" s="1" t="s">
        <v>33</v>
      </c>
      <c r="C1350" s="1" t="s">
        <v>25</v>
      </c>
      <c r="D1350" s="1" t="s">
        <v>46</v>
      </c>
      <c r="E1350" s="1" t="s">
        <v>36</v>
      </c>
      <c r="F1350" s="1" t="s">
        <v>28</v>
      </c>
      <c r="G1350" s="1">
        <v>1</v>
      </c>
      <c r="H1350" s="1" t="s">
        <v>29</v>
      </c>
      <c r="I1350" s="1" t="s">
        <v>38</v>
      </c>
      <c r="J1350" s="1" t="s">
        <v>39</v>
      </c>
      <c r="K1350" s="1" t="s">
        <v>33</v>
      </c>
      <c r="L1350" s="1">
        <v>56</v>
      </c>
      <c r="M1350" s="1">
        <v>1</v>
      </c>
      <c r="N1350" s="1" t="s">
        <v>32</v>
      </c>
      <c r="O1350" s="1">
        <v>1</v>
      </c>
      <c r="P1350" s="1">
        <v>1</v>
      </c>
      <c r="Q1350" s="1">
        <v>1</v>
      </c>
      <c r="R1350" s="1">
        <v>2066</v>
      </c>
      <c r="S1350" s="1">
        <v>5</v>
      </c>
      <c r="T1350" s="1">
        <v>4</v>
      </c>
      <c r="U1350" s="1">
        <v>3</v>
      </c>
      <c r="V1350" s="1">
        <v>2</v>
      </c>
      <c r="W1350" s="1">
        <v>1</v>
      </c>
      <c r="X1350" s="1">
        <v>0</v>
      </c>
    </row>
    <row r="1351" spans="1:24">
      <c r="A1351" s="1">
        <v>1350</v>
      </c>
      <c r="B1351" s="1" t="s">
        <v>33</v>
      </c>
      <c r="C1351" s="1" t="s">
        <v>25</v>
      </c>
      <c r="D1351" s="1" t="s">
        <v>35</v>
      </c>
      <c r="E1351" s="1" t="s">
        <v>36</v>
      </c>
      <c r="F1351" s="1" t="s">
        <v>45</v>
      </c>
      <c r="G1351" s="1">
        <v>1</v>
      </c>
      <c r="H1351" s="1" t="s">
        <v>29</v>
      </c>
      <c r="I1351" s="1" t="s">
        <v>53</v>
      </c>
      <c r="J1351" s="1" t="s">
        <v>39</v>
      </c>
      <c r="K1351" s="1" t="s">
        <v>33</v>
      </c>
      <c r="L1351" s="1">
        <v>54</v>
      </c>
      <c r="M1351" s="1">
        <v>22</v>
      </c>
      <c r="N1351" s="1" t="s">
        <v>58</v>
      </c>
      <c r="O1351" s="1">
        <v>2</v>
      </c>
      <c r="P1351" s="1">
        <v>4</v>
      </c>
      <c r="Q1351" s="1">
        <v>3</v>
      </c>
      <c r="R1351" s="1">
        <v>17426</v>
      </c>
      <c r="S1351" s="1">
        <v>36</v>
      </c>
      <c r="T1351" s="1">
        <v>3</v>
      </c>
      <c r="U1351" s="1">
        <v>10</v>
      </c>
      <c r="V1351" s="1">
        <v>8</v>
      </c>
      <c r="W1351" s="1">
        <v>4</v>
      </c>
      <c r="X1351" s="1">
        <v>7</v>
      </c>
    </row>
    <row r="1352" spans="1:24">
      <c r="A1352" s="1">
        <v>1351</v>
      </c>
      <c r="B1352" s="1" t="s">
        <v>33</v>
      </c>
      <c r="C1352" s="1" t="s">
        <v>25</v>
      </c>
      <c r="D1352" s="1" t="s">
        <v>35</v>
      </c>
      <c r="E1352" s="1" t="s">
        <v>36</v>
      </c>
      <c r="F1352" s="1" t="s">
        <v>45</v>
      </c>
      <c r="G1352" s="1">
        <v>1</v>
      </c>
      <c r="H1352" s="1" t="s">
        <v>29</v>
      </c>
      <c r="I1352" s="1" t="s">
        <v>42</v>
      </c>
      <c r="J1352" s="1" t="s">
        <v>39</v>
      </c>
      <c r="K1352" s="1" t="s">
        <v>33</v>
      </c>
      <c r="L1352" s="1">
        <v>49</v>
      </c>
      <c r="M1352" s="1">
        <v>3</v>
      </c>
      <c r="N1352" s="1" t="s">
        <v>32</v>
      </c>
      <c r="O1352" s="1">
        <v>3</v>
      </c>
      <c r="P1352" s="1">
        <v>2</v>
      </c>
      <c r="Q1352" s="1">
        <v>1</v>
      </c>
      <c r="R1352" s="1">
        <v>4789</v>
      </c>
      <c r="S1352" s="1">
        <v>10</v>
      </c>
      <c r="T1352" s="1">
        <v>3</v>
      </c>
      <c r="U1352" s="1">
        <v>3</v>
      </c>
      <c r="V1352" s="1">
        <v>2</v>
      </c>
      <c r="W1352" s="1">
        <v>1</v>
      </c>
      <c r="X1352" s="1">
        <v>2</v>
      </c>
    </row>
    <row r="1353" spans="1:24">
      <c r="A1353" s="1">
        <v>1352</v>
      </c>
      <c r="B1353" s="1" t="s">
        <v>33</v>
      </c>
      <c r="C1353" s="1" t="s">
        <v>25</v>
      </c>
      <c r="D1353" s="1" t="s">
        <v>43</v>
      </c>
      <c r="E1353" s="1" t="s">
        <v>36</v>
      </c>
      <c r="F1353" s="1" t="s">
        <v>45</v>
      </c>
      <c r="G1353" s="1">
        <v>1</v>
      </c>
      <c r="H1353" s="1" t="s">
        <v>29</v>
      </c>
      <c r="I1353" s="1" t="s">
        <v>38</v>
      </c>
      <c r="J1353" s="1" t="s">
        <v>39</v>
      </c>
      <c r="K1353" s="1" t="s">
        <v>33</v>
      </c>
      <c r="L1353" s="1">
        <v>28</v>
      </c>
      <c r="M1353" s="1">
        <v>1</v>
      </c>
      <c r="N1353" s="1" t="s">
        <v>47</v>
      </c>
      <c r="O1353" s="1">
        <v>3</v>
      </c>
      <c r="P1353" s="1">
        <v>1</v>
      </c>
      <c r="Q1353" s="1">
        <v>1</v>
      </c>
      <c r="R1353" s="1">
        <v>3591</v>
      </c>
      <c r="S1353" s="1">
        <v>3</v>
      </c>
      <c r="T1353" s="1">
        <v>3</v>
      </c>
      <c r="U1353" s="1">
        <v>3</v>
      </c>
      <c r="V1353" s="1">
        <v>2</v>
      </c>
      <c r="W1353" s="1">
        <v>1</v>
      </c>
      <c r="X1353" s="1">
        <v>2</v>
      </c>
    </row>
    <row r="1354" spans="1:24">
      <c r="A1354" s="1">
        <v>1353</v>
      </c>
      <c r="B1354" s="1" t="s">
        <v>33</v>
      </c>
      <c r="C1354" s="1" t="s">
        <v>25</v>
      </c>
      <c r="D1354" s="1" t="s">
        <v>43</v>
      </c>
      <c r="E1354" s="1" t="s">
        <v>27</v>
      </c>
      <c r="F1354" s="1" t="s">
        <v>45</v>
      </c>
      <c r="G1354" s="1">
        <v>1</v>
      </c>
      <c r="H1354" s="1" t="s">
        <v>29</v>
      </c>
      <c r="I1354" s="1" t="s">
        <v>54</v>
      </c>
      <c r="J1354" s="1" t="s">
        <v>39</v>
      </c>
      <c r="K1354" s="1" t="s">
        <v>33</v>
      </c>
      <c r="L1354" s="1">
        <v>27</v>
      </c>
      <c r="M1354" s="1">
        <v>23</v>
      </c>
      <c r="N1354" s="1" t="s">
        <v>40</v>
      </c>
      <c r="O1354" s="1">
        <v>2</v>
      </c>
      <c r="P1354" s="1">
        <v>2</v>
      </c>
      <c r="Q1354" s="1">
        <v>3</v>
      </c>
      <c r="R1354" s="1">
        <v>3540</v>
      </c>
      <c r="S1354" s="1">
        <v>9</v>
      </c>
      <c r="T1354" s="1">
        <v>3</v>
      </c>
      <c r="U1354" s="1">
        <v>9</v>
      </c>
      <c r="V1354" s="1">
        <v>8</v>
      </c>
      <c r="W1354" s="1">
        <v>5</v>
      </c>
      <c r="X1354" s="1">
        <v>8</v>
      </c>
    </row>
    <row r="1355" spans="1:24">
      <c r="A1355" s="1">
        <v>1354</v>
      </c>
      <c r="B1355" s="1" t="s">
        <v>33</v>
      </c>
      <c r="C1355" s="1" t="s">
        <v>25</v>
      </c>
      <c r="D1355" s="1" t="s">
        <v>26</v>
      </c>
      <c r="E1355" s="1" t="s">
        <v>27</v>
      </c>
      <c r="F1355" s="1" t="s">
        <v>56</v>
      </c>
      <c r="G1355" s="1">
        <v>1</v>
      </c>
      <c r="H1355" s="1" t="s">
        <v>29</v>
      </c>
      <c r="I1355" s="1" t="s">
        <v>30</v>
      </c>
      <c r="J1355" s="1" t="s">
        <v>39</v>
      </c>
      <c r="K1355" s="1" t="s">
        <v>33</v>
      </c>
      <c r="L1355" s="1">
        <v>41</v>
      </c>
      <c r="M1355" s="1">
        <v>8</v>
      </c>
      <c r="N1355" s="1" t="s">
        <v>47</v>
      </c>
      <c r="O1355" s="1">
        <v>3</v>
      </c>
      <c r="P1355" s="1">
        <v>2</v>
      </c>
      <c r="Q1355" s="1">
        <v>2</v>
      </c>
      <c r="R1355" s="1">
        <v>4393</v>
      </c>
      <c r="S1355" s="1">
        <v>14</v>
      </c>
      <c r="T1355" s="1">
        <v>3</v>
      </c>
      <c r="U1355" s="1">
        <v>5</v>
      </c>
      <c r="V1355" s="1">
        <v>4</v>
      </c>
      <c r="W1355" s="1">
        <v>1</v>
      </c>
      <c r="X1355" s="1">
        <v>4</v>
      </c>
    </row>
    <row r="1356" spans="1:24">
      <c r="A1356" s="1">
        <v>1355</v>
      </c>
      <c r="B1356" s="1" t="s">
        <v>33</v>
      </c>
      <c r="C1356" s="1" t="s">
        <v>25</v>
      </c>
      <c r="D1356" s="1" t="s">
        <v>26</v>
      </c>
      <c r="E1356" s="1" t="s">
        <v>27</v>
      </c>
      <c r="F1356" s="1" t="s">
        <v>28</v>
      </c>
      <c r="G1356" s="1">
        <v>1</v>
      </c>
      <c r="H1356" s="1" t="s">
        <v>29</v>
      </c>
      <c r="I1356" s="1" t="s">
        <v>54</v>
      </c>
      <c r="J1356" s="1" t="s">
        <v>39</v>
      </c>
      <c r="K1356" s="1" t="s">
        <v>33</v>
      </c>
      <c r="L1356" s="1">
        <v>35</v>
      </c>
      <c r="M1356" s="1">
        <v>28</v>
      </c>
      <c r="N1356" s="1" t="s">
        <v>44</v>
      </c>
      <c r="O1356" s="1">
        <v>2</v>
      </c>
      <c r="P1356" s="1">
        <v>1</v>
      </c>
      <c r="Q1356" s="1">
        <v>3</v>
      </c>
      <c r="R1356" s="1">
        <v>2430</v>
      </c>
      <c r="S1356" s="1">
        <v>6</v>
      </c>
      <c r="T1356" s="1">
        <v>3</v>
      </c>
      <c r="U1356" s="1">
        <v>5</v>
      </c>
      <c r="V1356" s="1">
        <v>3</v>
      </c>
      <c r="W1356" s="1">
        <v>4</v>
      </c>
      <c r="X1356" s="1">
        <v>2</v>
      </c>
    </row>
    <row r="1357" spans="1:24">
      <c r="A1357" s="1">
        <v>1356</v>
      </c>
      <c r="B1357" s="1" t="s">
        <v>33</v>
      </c>
      <c r="C1357" s="1" t="s">
        <v>25</v>
      </c>
      <c r="D1357" s="1" t="s">
        <v>43</v>
      </c>
      <c r="E1357" s="1" t="s">
        <v>27</v>
      </c>
      <c r="F1357" s="1" t="s">
        <v>56</v>
      </c>
      <c r="G1357" s="1">
        <v>1</v>
      </c>
      <c r="H1357" s="1" t="s">
        <v>29</v>
      </c>
      <c r="I1357" s="1" t="s">
        <v>30</v>
      </c>
      <c r="J1357" s="1" t="s">
        <v>39</v>
      </c>
      <c r="K1357" s="1" t="s">
        <v>33</v>
      </c>
      <c r="L1357" s="1">
        <v>34</v>
      </c>
      <c r="M1357" s="1">
        <v>28</v>
      </c>
      <c r="N1357" s="1" t="s">
        <v>47</v>
      </c>
      <c r="O1357" s="1">
        <v>4</v>
      </c>
      <c r="P1357" s="1">
        <v>2</v>
      </c>
      <c r="Q1357" s="1">
        <v>3</v>
      </c>
      <c r="R1357" s="1">
        <v>6712</v>
      </c>
      <c r="S1357" s="1">
        <v>8</v>
      </c>
      <c r="T1357" s="1">
        <v>3</v>
      </c>
      <c r="U1357" s="1">
        <v>8</v>
      </c>
      <c r="V1357" s="1">
        <v>7</v>
      </c>
      <c r="W1357" s="1">
        <v>1</v>
      </c>
      <c r="X1357" s="1">
        <v>7</v>
      </c>
    </row>
    <row r="1358" spans="1:24">
      <c r="A1358" s="1">
        <v>1357</v>
      </c>
      <c r="B1358" s="1" t="s">
        <v>33</v>
      </c>
      <c r="C1358" s="1" t="s">
        <v>51</v>
      </c>
      <c r="D1358" s="1" t="s">
        <v>46</v>
      </c>
      <c r="E1358" s="1" t="s">
        <v>36</v>
      </c>
      <c r="F1358" s="1" t="s">
        <v>28</v>
      </c>
      <c r="G1358" s="1">
        <v>1</v>
      </c>
      <c r="H1358" s="1" t="s">
        <v>37</v>
      </c>
      <c r="I1358" s="1" t="s">
        <v>50</v>
      </c>
      <c r="J1358" s="1" t="s">
        <v>48</v>
      </c>
      <c r="K1358" s="1" t="s">
        <v>33</v>
      </c>
      <c r="L1358" s="1">
        <v>56</v>
      </c>
      <c r="M1358" s="1">
        <v>1</v>
      </c>
      <c r="N1358" s="1" t="s">
        <v>44</v>
      </c>
      <c r="O1358" s="1">
        <v>3</v>
      </c>
      <c r="P1358" s="1">
        <v>2</v>
      </c>
      <c r="Q1358" s="1">
        <v>3</v>
      </c>
      <c r="R1358" s="1">
        <v>6306</v>
      </c>
      <c r="S1358" s="1">
        <v>13</v>
      </c>
      <c r="T1358" s="1">
        <v>2</v>
      </c>
      <c r="U1358" s="1">
        <v>13</v>
      </c>
      <c r="V1358" s="1">
        <v>12</v>
      </c>
      <c r="W1358" s="1">
        <v>1</v>
      </c>
      <c r="X1358" s="1">
        <v>9</v>
      </c>
    </row>
    <row r="1359" spans="1:24">
      <c r="A1359" s="1">
        <v>1358</v>
      </c>
      <c r="B1359" s="1" t="s">
        <v>33</v>
      </c>
      <c r="C1359" s="1" t="s">
        <v>51</v>
      </c>
      <c r="D1359" s="1" t="s">
        <v>26</v>
      </c>
      <c r="E1359" s="1" t="s">
        <v>36</v>
      </c>
      <c r="F1359" s="1" t="s">
        <v>28</v>
      </c>
      <c r="G1359" s="1">
        <v>1</v>
      </c>
      <c r="H1359" s="1" t="s">
        <v>37</v>
      </c>
      <c r="I1359" s="1" t="s">
        <v>42</v>
      </c>
      <c r="J1359" s="1" t="s">
        <v>39</v>
      </c>
      <c r="K1359" s="1" t="s">
        <v>33</v>
      </c>
      <c r="L1359" s="1">
        <v>36</v>
      </c>
      <c r="M1359" s="1">
        <v>9</v>
      </c>
      <c r="N1359" s="1" t="s">
        <v>44</v>
      </c>
      <c r="O1359" s="1">
        <v>1</v>
      </c>
      <c r="P1359" s="1">
        <v>1</v>
      </c>
      <c r="Q1359" s="1">
        <v>2</v>
      </c>
      <c r="R1359" s="1">
        <v>2810</v>
      </c>
      <c r="S1359" s="1">
        <v>5</v>
      </c>
      <c r="T1359" s="1">
        <v>3</v>
      </c>
      <c r="U1359" s="1">
        <v>5</v>
      </c>
      <c r="V1359" s="1">
        <v>4</v>
      </c>
      <c r="W1359" s="1">
        <v>0</v>
      </c>
      <c r="X1359" s="1">
        <v>2</v>
      </c>
    </row>
    <row r="1360" spans="1:24">
      <c r="A1360" s="1">
        <v>1359</v>
      </c>
      <c r="B1360" s="1" t="s">
        <v>33</v>
      </c>
      <c r="C1360" s="1" t="s">
        <v>51</v>
      </c>
      <c r="D1360" s="1" t="s">
        <v>35</v>
      </c>
      <c r="E1360" s="1" t="s">
        <v>36</v>
      </c>
      <c r="F1360" s="1" t="s">
        <v>28</v>
      </c>
      <c r="G1360" s="1">
        <v>1</v>
      </c>
      <c r="H1360" s="1" t="s">
        <v>37</v>
      </c>
      <c r="I1360" s="1" t="s">
        <v>50</v>
      </c>
      <c r="J1360" s="1" t="s">
        <v>39</v>
      </c>
      <c r="K1360" s="1" t="s">
        <v>33</v>
      </c>
      <c r="L1360" s="1">
        <v>45</v>
      </c>
      <c r="M1360" s="1">
        <v>1</v>
      </c>
      <c r="N1360" s="1" t="s">
        <v>40</v>
      </c>
      <c r="O1360" s="1">
        <v>3</v>
      </c>
      <c r="P1360" s="1">
        <v>3</v>
      </c>
      <c r="Q1360" s="1">
        <v>3</v>
      </c>
      <c r="R1360" s="1">
        <v>10748</v>
      </c>
      <c r="S1360" s="1">
        <v>25</v>
      </c>
      <c r="T1360" s="1">
        <v>2</v>
      </c>
      <c r="U1360" s="1">
        <v>23</v>
      </c>
      <c r="V1360" s="1">
        <v>15</v>
      </c>
      <c r="W1360" s="1">
        <v>14</v>
      </c>
      <c r="X1360" s="1">
        <v>4</v>
      </c>
    </row>
    <row r="1361" spans="1:24">
      <c r="A1361" s="1">
        <v>1360</v>
      </c>
      <c r="B1361" s="1" t="s">
        <v>33</v>
      </c>
      <c r="C1361" s="1" t="s">
        <v>51</v>
      </c>
      <c r="D1361" s="1" t="s">
        <v>26</v>
      </c>
      <c r="E1361" s="1" t="s">
        <v>36</v>
      </c>
      <c r="F1361" s="1" t="s">
        <v>57</v>
      </c>
      <c r="G1361" s="1">
        <v>1</v>
      </c>
      <c r="H1361" s="1" t="s">
        <v>37</v>
      </c>
      <c r="I1361" s="1" t="s">
        <v>38</v>
      </c>
      <c r="J1361" s="1" t="s">
        <v>39</v>
      </c>
      <c r="K1361" s="1" t="s">
        <v>33</v>
      </c>
      <c r="L1361" s="1">
        <v>42</v>
      </c>
      <c r="M1361" s="1">
        <v>10</v>
      </c>
      <c r="N1361" s="1" t="s">
        <v>44</v>
      </c>
      <c r="O1361" s="1">
        <v>3</v>
      </c>
      <c r="P1361" s="1">
        <v>1</v>
      </c>
      <c r="Q1361" s="1">
        <v>3</v>
      </c>
      <c r="R1361" s="1">
        <v>2936</v>
      </c>
      <c r="S1361" s="1">
        <v>10</v>
      </c>
      <c r="T1361" s="1">
        <v>2</v>
      </c>
      <c r="U1361" s="1">
        <v>6</v>
      </c>
      <c r="V1361" s="1">
        <v>3</v>
      </c>
      <c r="W1361" s="1">
        <v>3</v>
      </c>
      <c r="X1361" s="1">
        <v>3</v>
      </c>
    </row>
    <row r="1362" spans="1:24">
      <c r="A1362" s="1">
        <v>1361</v>
      </c>
      <c r="B1362" s="1" t="s">
        <v>33</v>
      </c>
      <c r="C1362" s="1" t="s">
        <v>51</v>
      </c>
      <c r="D1362" s="1" t="s">
        <v>43</v>
      </c>
      <c r="E1362" s="1" t="s">
        <v>36</v>
      </c>
      <c r="F1362" s="1" t="s">
        <v>45</v>
      </c>
      <c r="G1362" s="1">
        <v>1</v>
      </c>
      <c r="H1362" s="1" t="s">
        <v>37</v>
      </c>
      <c r="I1362" s="1" t="s">
        <v>42</v>
      </c>
      <c r="J1362" s="1" t="s">
        <v>31</v>
      </c>
      <c r="K1362" s="1" t="s">
        <v>33</v>
      </c>
      <c r="L1362" s="1">
        <v>26</v>
      </c>
      <c r="M1362" s="1">
        <v>7</v>
      </c>
      <c r="N1362" s="1" t="s">
        <v>47</v>
      </c>
      <c r="O1362" s="1">
        <v>4</v>
      </c>
      <c r="P1362" s="1">
        <v>1</v>
      </c>
      <c r="Q1362" s="1">
        <v>4</v>
      </c>
      <c r="R1362" s="1">
        <v>2570</v>
      </c>
      <c r="S1362" s="1">
        <v>7</v>
      </c>
      <c r="T1362" s="1">
        <v>3</v>
      </c>
      <c r="U1362" s="1">
        <v>7</v>
      </c>
      <c r="V1362" s="1">
        <v>7</v>
      </c>
      <c r="W1362" s="1">
        <v>5</v>
      </c>
      <c r="X1362" s="1">
        <v>7</v>
      </c>
    </row>
    <row r="1363" spans="1:24">
      <c r="A1363" s="1">
        <v>1362</v>
      </c>
      <c r="B1363" s="1" t="s">
        <v>33</v>
      </c>
      <c r="C1363" s="1" t="s">
        <v>51</v>
      </c>
      <c r="D1363" s="1" t="s">
        <v>46</v>
      </c>
      <c r="E1363" s="1" t="s">
        <v>27</v>
      </c>
      <c r="F1363" s="1" t="s">
        <v>45</v>
      </c>
      <c r="G1363" s="1">
        <v>1</v>
      </c>
      <c r="H1363" s="1" t="s">
        <v>37</v>
      </c>
      <c r="I1363" s="1" t="s">
        <v>53</v>
      </c>
      <c r="J1363" s="1" t="s">
        <v>48</v>
      </c>
      <c r="K1363" s="1" t="s">
        <v>33</v>
      </c>
      <c r="L1363" s="1">
        <v>58</v>
      </c>
      <c r="M1363" s="1">
        <v>2</v>
      </c>
      <c r="N1363" s="1" t="s">
        <v>47</v>
      </c>
      <c r="O1363" s="1">
        <v>2</v>
      </c>
      <c r="P1363" s="1">
        <v>4</v>
      </c>
      <c r="Q1363" s="1">
        <v>2</v>
      </c>
      <c r="R1363" s="1">
        <v>16291</v>
      </c>
      <c r="S1363" s="1">
        <v>37</v>
      </c>
      <c r="T1363" s="1">
        <v>2</v>
      </c>
      <c r="U1363" s="1">
        <v>16</v>
      </c>
      <c r="V1363" s="1">
        <v>9</v>
      </c>
      <c r="W1363" s="1">
        <v>14</v>
      </c>
      <c r="X1363" s="1">
        <v>14</v>
      </c>
    </row>
    <row r="1364" spans="1:24">
      <c r="A1364" s="1">
        <v>1363</v>
      </c>
      <c r="B1364" s="1" t="s">
        <v>33</v>
      </c>
      <c r="C1364" s="1" t="s">
        <v>51</v>
      </c>
      <c r="D1364" s="1" t="s">
        <v>26</v>
      </c>
      <c r="E1364" s="1" t="s">
        <v>27</v>
      </c>
      <c r="F1364" s="1" t="s">
        <v>56</v>
      </c>
      <c r="G1364" s="1">
        <v>1</v>
      </c>
      <c r="H1364" s="1" t="s">
        <v>37</v>
      </c>
      <c r="I1364" s="1" t="s">
        <v>30</v>
      </c>
      <c r="J1364" s="1" t="s">
        <v>48</v>
      </c>
      <c r="K1364" s="1" t="s">
        <v>33</v>
      </c>
      <c r="L1364" s="1">
        <v>36</v>
      </c>
      <c r="M1364" s="1">
        <v>15</v>
      </c>
      <c r="N1364" s="1" t="s">
        <v>44</v>
      </c>
      <c r="O1364" s="1">
        <v>4</v>
      </c>
      <c r="P1364" s="1">
        <v>2</v>
      </c>
      <c r="Q1364" s="1">
        <v>4</v>
      </c>
      <c r="R1364" s="1">
        <v>5406</v>
      </c>
      <c r="S1364" s="1">
        <v>15</v>
      </c>
      <c r="T1364" s="1">
        <v>2</v>
      </c>
      <c r="U1364" s="1">
        <v>15</v>
      </c>
      <c r="V1364" s="1">
        <v>12</v>
      </c>
      <c r="W1364" s="1">
        <v>11</v>
      </c>
      <c r="X1364" s="1">
        <v>11</v>
      </c>
    </row>
    <row r="1365" spans="1:24">
      <c r="A1365" s="1">
        <v>1364</v>
      </c>
      <c r="B1365" s="1" t="s">
        <v>33</v>
      </c>
      <c r="C1365" s="1" t="s">
        <v>34</v>
      </c>
      <c r="D1365" s="1" t="s">
        <v>26</v>
      </c>
      <c r="E1365" s="1" t="s">
        <v>59</v>
      </c>
      <c r="F1365" s="1" t="s">
        <v>60</v>
      </c>
      <c r="G1365" s="1">
        <v>1</v>
      </c>
      <c r="H1365" s="1" t="s">
        <v>37</v>
      </c>
      <c r="I1365" s="1" t="s">
        <v>60</v>
      </c>
      <c r="J1365" s="1" t="s">
        <v>31</v>
      </c>
      <c r="K1365" s="1" t="s">
        <v>33</v>
      </c>
      <c r="L1365" s="1">
        <v>36</v>
      </c>
      <c r="M1365" s="1">
        <v>2</v>
      </c>
      <c r="N1365" s="1" t="s">
        <v>40</v>
      </c>
      <c r="O1365" s="1">
        <v>2</v>
      </c>
      <c r="P1365" s="1">
        <v>2</v>
      </c>
      <c r="Q1365" s="1">
        <v>4</v>
      </c>
      <c r="R1365" s="1">
        <v>3886</v>
      </c>
      <c r="S1365" s="1">
        <v>10</v>
      </c>
      <c r="T1365" s="1">
        <v>2</v>
      </c>
      <c r="U1365" s="1">
        <v>10</v>
      </c>
      <c r="V1365" s="1">
        <v>1</v>
      </c>
      <c r="W1365" s="1">
        <v>0</v>
      </c>
      <c r="X1365" s="1">
        <v>8</v>
      </c>
    </row>
    <row r="1366" spans="1:24">
      <c r="A1366" s="1">
        <v>1365</v>
      </c>
      <c r="B1366" s="1" t="s">
        <v>33</v>
      </c>
      <c r="C1366" s="1" t="s">
        <v>34</v>
      </c>
      <c r="D1366" s="1" t="s">
        <v>43</v>
      </c>
      <c r="E1366" s="1" t="s">
        <v>36</v>
      </c>
      <c r="F1366" s="1" t="s">
        <v>28</v>
      </c>
      <c r="G1366" s="1">
        <v>1</v>
      </c>
      <c r="H1366" s="1" t="s">
        <v>37</v>
      </c>
      <c r="I1366" s="1" t="s">
        <v>50</v>
      </c>
      <c r="J1366" s="1" t="s">
        <v>48</v>
      </c>
      <c r="K1366" s="1" t="s">
        <v>33</v>
      </c>
      <c r="L1366" s="1">
        <v>33</v>
      </c>
      <c r="M1366" s="1">
        <v>7</v>
      </c>
      <c r="N1366" s="1" t="s">
        <v>32</v>
      </c>
      <c r="O1366" s="1">
        <v>4</v>
      </c>
      <c r="P1366" s="1">
        <v>2</v>
      </c>
      <c r="Q1366" s="1">
        <v>3</v>
      </c>
      <c r="R1366" s="1">
        <v>5968</v>
      </c>
      <c r="S1366" s="1">
        <v>9</v>
      </c>
      <c r="T1366" s="1">
        <v>3</v>
      </c>
      <c r="U1366" s="1">
        <v>9</v>
      </c>
      <c r="V1366" s="1">
        <v>7</v>
      </c>
      <c r="W1366" s="1">
        <v>2</v>
      </c>
      <c r="X1366" s="1">
        <v>8</v>
      </c>
    </row>
    <row r="1367" spans="1:24">
      <c r="A1367" s="1">
        <v>1366</v>
      </c>
      <c r="B1367" s="1" t="s">
        <v>33</v>
      </c>
      <c r="C1367" s="1" t="s">
        <v>34</v>
      </c>
      <c r="D1367" s="1" t="s">
        <v>43</v>
      </c>
      <c r="E1367" s="1" t="s">
        <v>36</v>
      </c>
      <c r="F1367" s="1" t="s">
        <v>28</v>
      </c>
      <c r="G1367" s="1">
        <v>1</v>
      </c>
      <c r="H1367" s="1" t="s">
        <v>37</v>
      </c>
      <c r="I1367" s="1" t="s">
        <v>38</v>
      </c>
      <c r="J1367" s="1" t="s">
        <v>39</v>
      </c>
      <c r="K1367" s="1" t="s">
        <v>33</v>
      </c>
      <c r="L1367" s="1">
        <v>31</v>
      </c>
      <c r="M1367" s="1">
        <v>1</v>
      </c>
      <c r="N1367" s="1" t="s">
        <v>47</v>
      </c>
      <c r="O1367" s="1">
        <v>4</v>
      </c>
      <c r="P1367" s="1">
        <v>2</v>
      </c>
      <c r="Q1367" s="1">
        <v>1</v>
      </c>
      <c r="R1367" s="1">
        <v>5003</v>
      </c>
      <c r="S1367" s="1">
        <v>10</v>
      </c>
      <c r="T1367" s="1">
        <v>3</v>
      </c>
      <c r="U1367" s="1">
        <v>10</v>
      </c>
      <c r="V1367" s="1">
        <v>8</v>
      </c>
      <c r="W1367" s="1">
        <v>8</v>
      </c>
      <c r="X1367" s="1">
        <v>7</v>
      </c>
    </row>
    <row r="1368" spans="1:24">
      <c r="A1368" s="1">
        <v>1367</v>
      </c>
      <c r="B1368" s="1" t="s">
        <v>33</v>
      </c>
      <c r="C1368" s="1" t="s">
        <v>34</v>
      </c>
      <c r="D1368" s="1" t="s">
        <v>35</v>
      </c>
      <c r="E1368" s="1" t="s">
        <v>36</v>
      </c>
      <c r="F1368" s="1" t="s">
        <v>45</v>
      </c>
      <c r="G1368" s="1">
        <v>1</v>
      </c>
      <c r="H1368" s="1" t="s">
        <v>37</v>
      </c>
      <c r="I1368" s="1" t="s">
        <v>53</v>
      </c>
      <c r="J1368" s="1" t="s">
        <v>39</v>
      </c>
      <c r="K1368" s="1" t="s">
        <v>33</v>
      </c>
      <c r="L1368" s="1">
        <v>48</v>
      </c>
      <c r="M1368" s="1">
        <v>4</v>
      </c>
      <c r="N1368" s="1" t="s">
        <v>58</v>
      </c>
      <c r="O1368" s="1">
        <v>3</v>
      </c>
      <c r="P1368" s="1">
        <v>4</v>
      </c>
      <c r="Q1368" s="1">
        <v>4</v>
      </c>
      <c r="R1368" s="1">
        <v>15202</v>
      </c>
      <c r="S1368" s="1">
        <v>23</v>
      </c>
      <c r="T1368" s="1">
        <v>3</v>
      </c>
      <c r="U1368" s="1">
        <v>2</v>
      </c>
      <c r="V1368" s="1">
        <v>2</v>
      </c>
      <c r="W1368" s="1">
        <v>2</v>
      </c>
      <c r="X1368" s="1">
        <v>2</v>
      </c>
    </row>
    <row r="1369" spans="1:24">
      <c r="A1369" s="1">
        <v>1368</v>
      </c>
      <c r="B1369" s="1" t="s">
        <v>33</v>
      </c>
      <c r="C1369" s="1" t="s">
        <v>34</v>
      </c>
      <c r="D1369" s="1" t="s">
        <v>26</v>
      </c>
      <c r="E1369" s="1" t="s">
        <v>27</v>
      </c>
      <c r="F1369" s="1" t="s">
        <v>28</v>
      </c>
      <c r="G1369" s="1">
        <v>1</v>
      </c>
      <c r="H1369" s="1" t="s">
        <v>37</v>
      </c>
      <c r="I1369" s="1" t="s">
        <v>30</v>
      </c>
      <c r="J1369" s="1" t="s">
        <v>39</v>
      </c>
      <c r="K1369" s="1" t="s">
        <v>33</v>
      </c>
      <c r="L1369" s="1">
        <v>43</v>
      </c>
      <c r="M1369" s="1">
        <v>2</v>
      </c>
      <c r="N1369" s="1" t="s">
        <v>44</v>
      </c>
      <c r="O1369" s="1">
        <v>1</v>
      </c>
      <c r="P1369" s="1">
        <v>2</v>
      </c>
      <c r="Q1369" s="1">
        <v>4</v>
      </c>
      <c r="R1369" s="1">
        <v>5675</v>
      </c>
      <c r="S1369" s="1">
        <v>7</v>
      </c>
      <c r="T1369" s="1">
        <v>3</v>
      </c>
      <c r="U1369" s="1">
        <v>7</v>
      </c>
      <c r="V1369" s="1">
        <v>7</v>
      </c>
      <c r="W1369" s="1">
        <v>7</v>
      </c>
      <c r="X1369" s="1">
        <v>7</v>
      </c>
    </row>
    <row r="1370" spans="1:24">
      <c r="A1370" s="1">
        <v>1369</v>
      </c>
      <c r="B1370" s="1" t="s">
        <v>33</v>
      </c>
      <c r="C1370" s="1" t="s">
        <v>25</v>
      </c>
      <c r="D1370" s="1" t="s">
        <v>43</v>
      </c>
      <c r="E1370" s="1" t="s">
        <v>59</v>
      </c>
      <c r="F1370" s="1" t="s">
        <v>28</v>
      </c>
      <c r="G1370" s="1">
        <v>1</v>
      </c>
      <c r="H1370" s="1" t="s">
        <v>37</v>
      </c>
      <c r="I1370" s="1" t="s">
        <v>60</v>
      </c>
      <c r="J1370" s="1" t="s">
        <v>48</v>
      </c>
      <c r="K1370" s="1" t="s">
        <v>33</v>
      </c>
      <c r="L1370" s="1">
        <v>30</v>
      </c>
      <c r="M1370" s="1">
        <v>1</v>
      </c>
      <c r="N1370" s="1" t="s">
        <v>47</v>
      </c>
      <c r="O1370" s="1">
        <v>3</v>
      </c>
      <c r="P1370" s="1">
        <v>1</v>
      </c>
      <c r="Q1370" s="1">
        <v>3</v>
      </c>
      <c r="R1370" s="1">
        <v>2064</v>
      </c>
      <c r="S1370" s="1">
        <v>6</v>
      </c>
      <c r="T1370" s="1">
        <v>4</v>
      </c>
      <c r="U1370" s="1">
        <v>5</v>
      </c>
      <c r="V1370" s="1">
        <v>3</v>
      </c>
      <c r="W1370" s="1">
        <v>1</v>
      </c>
      <c r="X1370" s="1">
        <v>3</v>
      </c>
    </row>
    <row r="1371" spans="1:24">
      <c r="A1371" s="1">
        <v>1370</v>
      </c>
      <c r="B1371" s="1" t="s">
        <v>33</v>
      </c>
      <c r="C1371" s="1" t="s">
        <v>25</v>
      </c>
      <c r="D1371" s="1" t="s">
        <v>46</v>
      </c>
      <c r="E1371" s="1" t="s">
        <v>36</v>
      </c>
      <c r="F1371" s="1" t="s">
        <v>45</v>
      </c>
      <c r="G1371" s="1">
        <v>1</v>
      </c>
      <c r="H1371" s="1" t="s">
        <v>37</v>
      </c>
      <c r="I1371" s="1" t="s">
        <v>50</v>
      </c>
      <c r="J1371" s="1" t="s">
        <v>48</v>
      </c>
      <c r="K1371" s="1" t="s">
        <v>33</v>
      </c>
      <c r="L1371" s="1">
        <v>60</v>
      </c>
      <c r="M1371" s="1">
        <v>1</v>
      </c>
      <c r="N1371" s="1" t="s">
        <v>44</v>
      </c>
      <c r="O1371" s="1">
        <v>3</v>
      </c>
      <c r="P1371" s="1">
        <v>3</v>
      </c>
      <c r="Q1371" s="1">
        <v>4</v>
      </c>
      <c r="R1371" s="1">
        <v>10883</v>
      </c>
      <c r="S1371" s="1">
        <v>19</v>
      </c>
      <c r="T1371" s="1">
        <v>4</v>
      </c>
      <c r="U1371" s="1">
        <v>1</v>
      </c>
      <c r="V1371" s="1">
        <v>0</v>
      </c>
      <c r="W1371" s="1">
        <v>0</v>
      </c>
      <c r="X1371" s="1">
        <v>0</v>
      </c>
    </row>
    <row r="1372" spans="1:24">
      <c r="A1372" s="1">
        <v>1371</v>
      </c>
      <c r="B1372" s="1" t="s">
        <v>33</v>
      </c>
      <c r="C1372" s="1" t="s">
        <v>25</v>
      </c>
      <c r="D1372" s="1" t="s">
        <v>26</v>
      </c>
      <c r="E1372" s="1" t="s">
        <v>36</v>
      </c>
      <c r="F1372" s="1" t="s">
        <v>28</v>
      </c>
      <c r="G1372" s="1">
        <v>1</v>
      </c>
      <c r="H1372" s="1" t="s">
        <v>37</v>
      </c>
      <c r="I1372" s="1" t="s">
        <v>50</v>
      </c>
      <c r="J1372" s="1" t="s">
        <v>48</v>
      </c>
      <c r="K1372" s="1" t="s">
        <v>33</v>
      </c>
      <c r="L1372" s="1">
        <v>36</v>
      </c>
      <c r="M1372" s="1">
        <v>3</v>
      </c>
      <c r="N1372" s="1" t="s">
        <v>32</v>
      </c>
      <c r="O1372" s="1">
        <v>4</v>
      </c>
      <c r="P1372" s="1">
        <v>2</v>
      </c>
      <c r="Q1372" s="1">
        <v>1</v>
      </c>
      <c r="R1372" s="1">
        <v>6842</v>
      </c>
      <c r="S1372" s="1">
        <v>13</v>
      </c>
      <c r="T1372" s="1">
        <v>3</v>
      </c>
      <c r="U1372" s="1">
        <v>5</v>
      </c>
      <c r="V1372" s="1">
        <v>4</v>
      </c>
      <c r="W1372" s="1">
        <v>0</v>
      </c>
      <c r="X1372" s="1">
        <v>4</v>
      </c>
    </row>
    <row r="1373" spans="1:24">
      <c r="A1373" s="1">
        <v>1372</v>
      </c>
      <c r="B1373" s="1" t="s">
        <v>33</v>
      </c>
      <c r="C1373" s="1" t="s">
        <v>25</v>
      </c>
      <c r="D1373" s="1" t="s">
        <v>26</v>
      </c>
      <c r="E1373" s="1" t="s">
        <v>36</v>
      </c>
      <c r="F1373" s="1" t="s">
        <v>28</v>
      </c>
      <c r="G1373" s="1">
        <v>1</v>
      </c>
      <c r="H1373" s="1" t="s">
        <v>37</v>
      </c>
      <c r="I1373" s="1" t="s">
        <v>42</v>
      </c>
      <c r="J1373" s="1" t="s">
        <v>48</v>
      </c>
      <c r="K1373" s="1" t="s">
        <v>33</v>
      </c>
      <c r="L1373" s="1">
        <v>41</v>
      </c>
      <c r="M1373" s="1">
        <v>9</v>
      </c>
      <c r="N1373" s="1" t="s">
        <v>44</v>
      </c>
      <c r="O1373" s="1">
        <v>3</v>
      </c>
      <c r="P1373" s="1">
        <v>1</v>
      </c>
      <c r="Q1373" s="1">
        <v>1</v>
      </c>
      <c r="R1373" s="1">
        <v>2289</v>
      </c>
      <c r="S1373" s="1">
        <v>5</v>
      </c>
      <c r="T1373" s="1">
        <v>3</v>
      </c>
      <c r="U1373" s="1">
        <v>5</v>
      </c>
      <c r="V1373" s="1">
        <v>3</v>
      </c>
      <c r="W1373" s="1">
        <v>0</v>
      </c>
      <c r="X1373" s="1">
        <v>4</v>
      </c>
    </row>
    <row r="1374" spans="1:24">
      <c r="A1374" s="1">
        <v>1373</v>
      </c>
      <c r="B1374" s="1" t="s">
        <v>33</v>
      </c>
      <c r="C1374" s="1" t="s">
        <v>25</v>
      </c>
      <c r="D1374" s="1" t="s">
        <v>26</v>
      </c>
      <c r="E1374" s="1" t="s">
        <v>36</v>
      </c>
      <c r="F1374" s="1" t="s">
        <v>45</v>
      </c>
      <c r="G1374" s="1">
        <v>1</v>
      </c>
      <c r="H1374" s="1" t="s">
        <v>37</v>
      </c>
      <c r="I1374" s="1" t="s">
        <v>42</v>
      </c>
      <c r="J1374" s="1" t="s">
        <v>48</v>
      </c>
      <c r="K1374" s="1" t="s">
        <v>33</v>
      </c>
      <c r="L1374" s="1">
        <v>42</v>
      </c>
      <c r="M1374" s="1">
        <v>12</v>
      </c>
      <c r="N1374" s="1" t="s">
        <v>47</v>
      </c>
      <c r="O1374" s="1">
        <v>2</v>
      </c>
      <c r="P1374" s="1">
        <v>1</v>
      </c>
      <c r="Q1374" s="1">
        <v>2</v>
      </c>
      <c r="R1374" s="1">
        <v>2766</v>
      </c>
      <c r="S1374" s="1">
        <v>7</v>
      </c>
      <c r="T1374" s="1">
        <v>2</v>
      </c>
      <c r="U1374" s="1">
        <v>5</v>
      </c>
      <c r="V1374" s="1">
        <v>3</v>
      </c>
      <c r="W1374" s="1">
        <v>0</v>
      </c>
      <c r="X1374" s="1">
        <v>4</v>
      </c>
    </row>
    <row r="1375" spans="1:24">
      <c r="A1375" s="1">
        <v>1374</v>
      </c>
      <c r="B1375" s="1" t="s">
        <v>33</v>
      </c>
      <c r="C1375" s="1" t="s">
        <v>25</v>
      </c>
      <c r="D1375" s="1" t="s">
        <v>26</v>
      </c>
      <c r="E1375" s="1" t="s">
        <v>36</v>
      </c>
      <c r="F1375" s="1" t="s">
        <v>45</v>
      </c>
      <c r="G1375" s="1">
        <v>1</v>
      </c>
      <c r="H1375" s="1" t="s">
        <v>37</v>
      </c>
      <c r="I1375" s="1" t="s">
        <v>49</v>
      </c>
      <c r="J1375" s="1" t="s">
        <v>39</v>
      </c>
      <c r="K1375" s="1" t="s">
        <v>33</v>
      </c>
      <c r="L1375" s="1">
        <v>39</v>
      </c>
      <c r="M1375" s="1">
        <v>12</v>
      </c>
      <c r="N1375" s="1" t="s">
        <v>47</v>
      </c>
      <c r="O1375" s="1">
        <v>4</v>
      </c>
      <c r="P1375" s="1">
        <v>2</v>
      </c>
      <c r="Q1375" s="1">
        <v>2</v>
      </c>
      <c r="R1375" s="1">
        <v>5295</v>
      </c>
      <c r="S1375" s="1">
        <v>7</v>
      </c>
      <c r="T1375" s="1">
        <v>3</v>
      </c>
      <c r="U1375" s="1">
        <v>5</v>
      </c>
      <c r="V1375" s="1">
        <v>4</v>
      </c>
      <c r="W1375" s="1">
        <v>1</v>
      </c>
      <c r="X1375" s="1">
        <v>0</v>
      </c>
    </row>
    <row r="1376" spans="1:24">
      <c r="A1376" s="1">
        <v>1375</v>
      </c>
      <c r="B1376" s="1" t="s">
        <v>33</v>
      </c>
      <c r="C1376" s="1" t="s">
        <v>25</v>
      </c>
      <c r="D1376" s="1" t="s">
        <v>26</v>
      </c>
      <c r="E1376" s="1" t="s">
        <v>36</v>
      </c>
      <c r="F1376" s="1" t="s">
        <v>45</v>
      </c>
      <c r="G1376" s="1">
        <v>1</v>
      </c>
      <c r="H1376" s="1" t="s">
        <v>37</v>
      </c>
      <c r="I1376" s="1" t="s">
        <v>49</v>
      </c>
      <c r="J1376" s="1" t="s">
        <v>39</v>
      </c>
      <c r="K1376" s="1" t="s">
        <v>33</v>
      </c>
      <c r="L1376" s="1">
        <v>39</v>
      </c>
      <c r="M1376" s="1">
        <v>9</v>
      </c>
      <c r="N1376" s="1" t="s">
        <v>32</v>
      </c>
      <c r="O1376" s="1">
        <v>1</v>
      </c>
      <c r="P1376" s="1">
        <v>2</v>
      </c>
      <c r="Q1376" s="1">
        <v>1</v>
      </c>
      <c r="R1376" s="1">
        <v>5151</v>
      </c>
      <c r="S1376" s="1">
        <v>10</v>
      </c>
      <c r="T1376" s="1">
        <v>3</v>
      </c>
      <c r="U1376" s="1">
        <v>10</v>
      </c>
      <c r="V1376" s="1">
        <v>0</v>
      </c>
      <c r="W1376" s="1">
        <v>7</v>
      </c>
      <c r="X1376" s="1">
        <v>9</v>
      </c>
    </row>
    <row r="1377" spans="1:24">
      <c r="A1377" s="1">
        <v>1376</v>
      </c>
      <c r="B1377" s="1" t="s">
        <v>33</v>
      </c>
      <c r="C1377" s="1" t="s">
        <v>25</v>
      </c>
      <c r="D1377" s="1" t="s">
        <v>46</v>
      </c>
      <c r="E1377" s="1" t="s">
        <v>36</v>
      </c>
      <c r="F1377" s="1" t="s">
        <v>57</v>
      </c>
      <c r="G1377" s="1">
        <v>1</v>
      </c>
      <c r="H1377" s="1" t="s">
        <v>37</v>
      </c>
      <c r="I1377" s="1" t="s">
        <v>38</v>
      </c>
      <c r="J1377" s="1" t="s">
        <v>39</v>
      </c>
      <c r="K1377" s="1" t="s">
        <v>33</v>
      </c>
      <c r="L1377" s="1">
        <v>55</v>
      </c>
      <c r="M1377" s="1">
        <v>2</v>
      </c>
      <c r="N1377" s="1" t="s">
        <v>44</v>
      </c>
      <c r="O1377" s="1">
        <v>2</v>
      </c>
      <c r="P1377" s="1">
        <v>1</v>
      </c>
      <c r="Q1377" s="1">
        <v>4</v>
      </c>
      <c r="R1377" s="1">
        <v>2662</v>
      </c>
      <c r="S1377" s="1">
        <v>19</v>
      </c>
      <c r="T1377" s="1">
        <v>4</v>
      </c>
      <c r="U1377" s="1">
        <v>5</v>
      </c>
      <c r="V1377" s="1">
        <v>2</v>
      </c>
      <c r="W1377" s="1">
        <v>0</v>
      </c>
      <c r="X1377" s="1">
        <v>4</v>
      </c>
    </row>
    <row r="1378" spans="1:24">
      <c r="A1378" s="1">
        <v>1377</v>
      </c>
      <c r="B1378" s="1" t="s">
        <v>33</v>
      </c>
      <c r="C1378" s="1" t="s">
        <v>25</v>
      </c>
      <c r="D1378" s="1" t="s">
        <v>46</v>
      </c>
      <c r="E1378" s="1" t="s">
        <v>36</v>
      </c>
      <c r="F1378" s="1" t="s">
        <v>28</v>
      </c>
      <c r="G1378" s="1">
        <v>1</v>
      </c>
      <c r="H1378" s="1" t="s">
        <v>37</v>
      </c>
      <c r="I1378" s="1" t="s">
        <v>38</v>
      </c>
      <c r="J1378" s="1" t="s">
        <v>39</v>
      </c>
      <c r="K1378" s="1" t="s">
        <v>33</v>
      </c>
      <c r="L1378" s="1">
        <v>57</v>
      </c>
      <c r="M1378" s="1">
        <v>1</v>
      </c>
      <c r="N1378" s="1" t="s">
        <v>32</v>
      </c>
      <c r="O1378" s="1">
        <v>2</v>
      </c>
      <c r="P1378" s="1">
        <v>2</v>
      </c>
      <c r="Q1378" s="1">
        <v>3</v>
      </c>
      <c r="R1378" s="1">
        <v>4900</v>
      </c>
      <c r="S1378" s="1">
        <v>13</v>
      </c>
      <c r="T1378" s="1">
        <v>2</v>
      </c>
      <c r="U1378" s="1">
        <v>12</v>
      </c>
      <c r="V1378" s="1">
        <v>9</v>
      </c>
      <c r="W1378" s="1">
        <v>2</v>
      </c>
      <c r="X1378" s="1">
        <v>8</v>
      </c>
    </row>
    <row r="1379" spans="1:24">
      <c r="A1379" s="1">
        <v>1378</v>
      </c>
      <c r="B1379" s="1" t="s">
        <v>33</v>
      </c>
      <c r="C1379" s="1" t="s">
        <v>25</v>
      </c>
      <c r="D1379" s="1" t="s">
        <v>26</v>
      </c>
      <c r="E1379" s="1" t="s">
        <v>36</v>
      </c>
      <c r="F1379" s="1" t="s">
        <v>28</v>
      </c>
      <c r="G1379" s="1">
        <v>1</v>
      </c>
      <c r="H1379" s="1" t="s">
        <v>37</v>
      </c>
      <c r="I1379" s="1" t="s">
        <v>55</v>
      </c>
      <c r="J1379" s="1" t="s">
        <v>39</v>
      </c>
      <c r="K1379" s="1" t="s">
        <v>33</v>
      </c>
      <c r="L1379" s="1">
        <v>43</v>
      </c>
      <c r="M1379" s="1">
        <v>15</v>
      </c>
      <c r="N1379" s="1" t="s">
        <v>32</v>
      </c>
      <c r="O1379" s="1">
        <v>3</v>
      </c>
      <c r="P1379" s="1">
        <v>4</v>
      </c>
      <c r="Q1379" s="1">
        <v>3</v>
      </c>
      <c r="R1379" s="1">
        <v>17603</v>
      </c>
      <c r="S1379" s="1">
        <v>14</v>
      </c>
      <c r="T1379" s="1">
        <v>3</v>
      </c>
      <c r="U1379" s="1">
        <v>14</v>
      </c>
      <c r="V1379" s="1">
        <v>10</v>
      </c>
      <c r="W1379" s="1">
        <v>6</v>
      </c>
      <c r="X1379" s="1">
        <v>11</v>
      </c>
    </row>
    <row r="1380" spans="1:24">
      <c r="A1380" s="1">
        <v>1379</v>
      </c>
      <c r="B1380" s="1" t="s">
        <v>33</v>
      </c>
      <c r="C1380" s="1" t="s">
        <v>25</v>
      </c>
      <c r="D1380" s="1" t="s">
        <v>26</v>
      </c>
      <c r="E1380" s="1" t="s">
        <v>36</v>
      </c>
      <c r="F1380" s="1" t="s">
        <v>28</v>
      </c>
      <c r="G1380" s="1">
        <v>1</v>
      </c>
      <c r="H1380" s="1" t="s">
        <v>37</v>
      </c>
      <c r="I1380" s="1" t="s">
        <v>38</v>
      </c>
      <c r="J1380" s="1" t="s">
        <v>39</v>
      </c>
      <c r="K1380" s="1" t="s">
        <v>33</v>
      </c>
      <c r="L1380" s="1">
        <v>41</v>
      </c>
      <c r="M1380" s="1">
        <v>1</v>
      </c>
      <c r="N1380" s="1" t="s">
        <v>47</v>
      </c>
      <c r="O1380" s="1">
        <v>4</v>
      </c>
      <c r="P1380" s="1">
        <v>1</v>
      </c>
      <c r="Q1380" s="1">
        <v>4</v>
      </c>
      <c r="R1380" s="1">
        <v>2782</v>
      </c>
      <c r="S1380" s="1">
        <v>12</v>
      </c>
      <c r="T1380" s="1">
        <v>3</v>
      </c>
      <c r="U1380" s="1">
        <v>5</v>
      </c>
      <c r="V1380" s="1">
        <v>3</v>
      </c>
      <c r="W1380" s="1">
        <v>1</v>
      </c>
      <c r="X1380" s="1">
        <v>0</v>
      </c>
    </row>
    <row r="1381" spans="1:24">
      <c r="A1381" s="1">
        <v>1380</v>
      </c>
      <c r="B1381" s="1" t="s">
        <v>33</v>
      </c>
      <c r="C1381" s="1" t="s">
        <v>25</v>
      </c>
      <c r="D1381" s="1" t="s">
        <v>35</v>
      </c>
      <c r="E1381" s="1" t="s">
        <v>36</v>
      </c>
      <c r="F1381" s="1" t="s">
        <v>57</v>
      </c>
      <c r="G1381" s="1">
        <v>1</v>
      </c>
      <c r="H1381" s="1" t="s">
        <v>37</v>
      </c>
      <c r="I1381" s="1" t="s">
        <v>38</v>
      </c>
      <c r="J1381" s="1" t="s">
        <v>39</v>
      </c>
      <c r="K1381" s="1" t="s">
        <v>33</v>
      </c>
      <c r="L1381" s="1">
        <v>45</v>
      </c>
      <c r="M1381" s="1">
        <v>28</v>
      </c>
      <c r="N1381" s="1" t="s">
        <v>47</v>
      </c>
      <c r="O1381" s="1">
        <v>4</v>
      </c>
      <c r="P1381" s="1">
        <v>1</v>
      </c>
      <c r="Q1381" s="1">
        <v>4</v>
      </c>
      <c r="R1381" s="1">
        <v>2132</v>
      </c>
      <c r="S1381" s="1">
        <v>8</v>
      </c>
      <c r="T1381" s="1">
        <v>3</v>
      </c>
      <c r="U1381" s="1">
        <v>5</v>
      </c>
      <c r="V1381" s="1">
        <v>4</v>
      </c>
      <c r="W1381" s="1">
        <v>0</v>
      </c>
      <c r="X1381" s="1">
        <v>3</v>
      </c>
    </row>
    <row r="1382" spans="1:24">
      <c r="A1382" s="1">
        <v>1381</v>
      </c>
      <c r="B1382" s="1" t="s">
        <v>33</v>
      </c>
      <c r="C1382" s="1" t="s">
        <v>25</v>
      </c>
      <c r="D1382" s="1" t="s">
        <v>35</v>
      </c>
      <c r="E1382" s="1" t="s">
        <v>36</v>
      </c>
      <c r="F1382" s="1" t="s">
        <v>45</v>
      </c>
      <c r="G1382" s="1">
        <v>1</v>
      </c>
      <c r="H1382" s="1" t="s">
        <v>37</v>
      </c>
      <c r="I1382" s="1" t="s">
        <v>50</v>
      </c>
      <c r="J1382" s="1" t="s">
        <v>31</v>
      </c>
      <c r="K1382" s="1" t="s">
        <v>33</v>
      </c>
      <c r="L1382" s="1">
        <v>47</v>
      </c>
      <c r="M1382" s="1">
        <v>25</v>
      </c>
      <c r="N1382" s="1" t="s">
        <v>47</v>
      </c>
      <c r="O1382" s="1">
        <v>1</v>
      </c>
      <c r="P1382" s="1">
        <v>3</v>
      </c>
      <c r="Q1382" s="1">
        <v>3</v>
      </c>
      <c r="R1382" s="1">
        <v>8633</v>
      </c>
      <c r="S1382" s="1">
        <v>25</v>
      </c>
      <c r="T1382" s="1">
        <v>3</v>
      </c>
      <c r="U1382" s="1">
        <v>17</v>
      </c>
      <c r="V1382" s="1">
        <v>14</v>
      </c>
      <c r="W1382" s="1">
        <v>12</v>
      </c>
      <c r="X1382" s="1">
        <v>11</v>
      </c>
    </row>
    <row r="1383" spans="1:24">
      <c r="A1383" s="1">
        <v>1382</v>
      </c>
      <c r="B1383" s="1" t="s">
        <v>33</v>
      </c>
      <c r="C1383" s="1" t="s">
        <v>25</v>
      </c>
      <c r="D1383" s="1" t="s">
        <v>26</v>
      </c>
      <c r="E1383" s="1" t="s">
        <v>36</v>
      </c>
      <c r="F1383" s="1" t="s">
        <v>45</v>
      </c>
      <c r="G1383" s="1">
        <v>1</v>
      </c>
      <c r="H1383" s="1" t="s">
        <v>37</v>
      </c>
      <c r="I1383" s="1" t="s">
        <v>55</v>
      </c>
      <c r="J1383" s="1" t="s">
        <v>31</v>
      </c>
      <c r="K1383" s="1" t="s">
        <v>33</v>
      </c>
      <c r="L1383" s="1">
        <v>39</v>
      </c>
      <c r="M1383" s="1">
        <v>10</v>
      </c>
      <c r="N1383" s="1" t="s">
        <v>40</v>
      </c>
      <c r="O1383" s="1">
        <v>3</v>
      </c>
      <c r="P1383" s="1">
        <v>3</v>
      </c>
      <c r="Q1383" s="1">
        <v>3</v>
      </c>
      <c r="R1383" s="1">
        <v>13464</v>
      </c>
      <c r="S1383" s="1">
        <v>9</v>
      </c>
      <c r="T1383" s="1">
        <v>3</v>
      </c>
      <c r="U1383" s="1">
        <v>4</v>
      </c>
      <c r="V1383" s="1">
        <v>3</v>
      </c>
      <c r="W1383" s="1">
        <v>2</v>
      </c>
      <c r="X1383" s="1">
        <v>2</v>
      </c>
    </row>
    <row r="1384" spans="1:24">
      <c r="A1384" s="1">
        <v>1383</v>
      </c>
      <c r="B1384" s="1" t="s">
        <v>33</v>
      </c>
      <c r="C1384" s="1" t="s">
        <v>25</v>
      </c>
      <c r="D1384" s="1" t="s">
        <v>43</v>
      </c>
      <c r="E1384" s="1" t="s">
        <v>36</v>
      </c>
      <c r="F1384" s="1" t="s">
        <v>45</v>
      </c>
      <c r="G1384" s="1">
        <v>1</v>
      </c>
      <c r="H1384" s="1" t="s">
        <v>37</v>
      </c>
      <c r="I1384" s="1" t="s">
        <v>53</v>
      </c>
      <c r="J1384" s="1" t="s">
        <v>31</v>
      </c>
      <c r="K1384" s="1" t="s">
        <v>33</v>
      </c>
      <c r="L1384" s="1">
        <v>32</v>
      </c>
      <c r="M1384" s="1">
        <v>10</v>
      </c>
      <c r="N1384" s="1" t="s">
        <v>47</v>
      </c>
      <c r="O1384" s="1">
        <v>3</v>
      </c>
      <c r="P1384" s="1">
        <v>3</v>
      </c>
      <c r="Q1384" s="1">
        <v>4</v>
      </c>
      <c r="R1384" s="1">
        <v>11244</v>
      </c>
      <c r="S1384" s="1">
        <v>10</v>
      </c>
      <c r="T1384" s="1">
        <v>4</v>
      </c>
      <c r="U1384" s="1">
        <v>5</v>
      </c>
      <c r="V1384" s="1">
        <v>2</v>
      </c>
      <c r="W1384" s="1">
        <v>0</v>
      </c>
      <c r="X1384" s="1">
        <v>0</v>
      </c>
    </row>
    <row r="1385" spans="1:24">
      <c r="A1385" s="1">
        <v>1384</v>
      </c>
      <c r="B1385" s="1" t="s">
        <v>33</v>
      </c>
      <c r="C1385" s="1" t="s">
        <v>25</v>
      </c>
      <c r="D1385" s="1" t="s">
        <v>43</v>
      </c>
      <c r="E1385" s="1" t="s">
        <v>36</v>
      </c>
      <c r="F1385" s="1" t="s">
        <v>28</v>
      </c>
      <c r="G1385" s="1">
        <v>1</v>
      </c>
      <c r="H1385" s="1" t="s">
        <v>37</v>
      </c>
      <c r="I1385" s="1" t="s">
        <v>49</v>
      </c>
      <c r="J1385" s="1" t="s">
        <v>31</v>
      </c>
      <c r="K1385" s="1" t="s">
        <v>33</v>
      </c>
      <c r="L1385" s="1">
        <v>32</v>
      </c>
      <c r="M1385" s="1">
        <v>5</v>
      </c>
      <c r="N1385" s="1" t="s">
        <v>44</v>
      </c>
      <c r="O1385" s="1">
        <v>4</v>
      </c>
      <c r="P1385" s="1">
        <v>2</v>
      </c>
      <c r="Q1385" s="1">
        <v>4</v>
      </c>
      <c r="R1385" s="1">
        <v>9679</v>
      </c>
      <c r="S1385" s="1">
        <v>8</v>
      </c>
      <c r="T1385" s="1">
        <v>3</v>
      </c>
      <c r="U1385" s="1">
        <v>1</v>
      </c>
      <c r="V1385" s="1">
        <v>0</v>
      </c>
      <c r="W1385" s="1">
        <v>0</v>
      </c>
      <c r="X1385" s="1">
        <v>0</v>
      </c>
    </row>
    <row r="1386" spans="1:24">
      <c r="A1386" s="1">
        <v>1385</v>
      </c>
      <c r="B1386" s="1" t="s">
        <v>33</v>
      </c>
      <c r="C1386" s="1" t="s">
        <v>25</v>
      </c>
      <c r="D1386" s="1" t="s">
        <v>26</v>
      </c>
      <c r="E1386" s="1" t="s">
        <v>36</v>
      </c>
      <c r="F1386" s="1" t="s">
        <v>41</v>
      </c>
      <c r="G1386" s="1">
        <v>1</v>
      </c>
      <c r="H1386" s="1" t="s">
        <v>37</v>
      </c>
      <c r="I1386" s="1" t="s">
        <v>53</v>
      </c>
      <c r="J1386" s="1" t="s">
        <v>31</v>
      </c>
      <c r="K1386" s="1" t="s">
        <v>33</v>
      </c>
      <c r="L1386" s="1">
        <v>42</v>
      </c>
      <c r="M1386" s="1">
        <v>9</v>
      </c>
      <c r="N1386" s="1" t="s">
        <v>32</v>
      </c>
      <c r="O1386" s="1">
        <v>4</v>
      </c>
      <c r="P1386" s="1">
        <v>5</v>
      </c>
      <c r="Q1386" s="1">
        <v>4</v>
      </c>
      <c r="R1386" s="1">
        <v>19613</v>
      </c>
      <c r="S1386" s="1">
        <v>24</v>
      </c>
      <c r="T1386" s="1">
        <v>3</v>
      </c>
      <c r="U1386" s="1">
        <v>1</v>
      </c>
      <c r="V1386" s="1">
        <v>0</v>
      </c>
      <c r="W1386" s="1">
        <v>0</v>
      </c>
      <c r="X1386" s="1">
        <v>1</v>
      </c>
    </row>
    <row r="1387" spans="1:24">
      <c r="A1387" s="1">
        <v>1386</v>
      </c>
      <c r="B1387" s="1" t="s">
        <v>33</v>
      </c>
      <c r="C1387" s="1" t="s">
        <v>25</v>
      </c>
      <c r="D1387" s="1" t="s">
        <v>46</v>
      </c>
      <c r="E1387" s="1" t="s">
        <v>27</v>
      </c>
      <c r="F1387" s="1" t="s">
        <v>56</v>
      </c>
      <c r="G1387" s="1">
        <v>1</v>
      </c>
      <c r="H1387" s="1" t="s">
        <v>37</v>
      </c>
      <c r="I1387" s="1" t="s">
        <v>53</v>
      </c>
      <c r="J1387" s="1" t="s">
        <v>39</v>
      </c>
      <c r="K1387" s="1" t="s">
        <v>33</v>
      </c>
      <c r="L1387" s="1">
        <v>55</v>
      </c>
      <c r="M1387" s="1">
        <v>26</v>
      </c>
      <c r="N1387" s="1" t="s">
        <v>58</v>
      </c>
      <c r="O1387" s="1">
        <v>3</v>
      </c>
      <c r="P1387" s="1">
        <v>5</v>
      </c>
      <c r="Q1387" s="1">
        <v>4</v>
      </c>
      <c r="R1387" s="1">
        <v>19586</v>
      </c>
      <c r="S1387" s="1">
        <v>36</v>
      </c>
      <c r="T1387" s="1">
        <v>3</v>
      </c>
      <c r="U1387" s="1">
        <v>36</v>
      </c>
      <c r="V1387" s="1">
        <v>6</v>
      </c>
      <c r="W1387" s="1">
        <v>2</v>
      </c>
      <c r="X1387" s="1">
        <v>13</v>
      </c>
    </row>
    <row r="1388" spans="1:24">
      <c r="A1388" s="1">
        <v>1387</v>
      </c>
      <c r="B1388" s="1" t="s">
        <v>33</v>
      </c>
      <c r="C1388" s="1" t="s">
        <v>25</v>
      </c>
      <c r="D1388" s="1" t="s">
        <v>43</v>
      </c>
      <c r="E1388" s="1" t="s">
        <v>27</v>
      </c>
      <c r="F1388" s="1" t="s">
        <v>57</v>
      </c>
      <c r="G1388" s="1">
        <v>1</v>
      </c>
      <c r="H1388" s="1" t="s">
        <v>37</v>
      </c>
      <c r="I1388" s="1" t="s">
        <v>30</v>
      </c>
      <c r="J1388" s="1" t="s">
        <v>39</v>
      </c>
      <c r="K1388" s="1" t="s">
        <v>33</v>
      </c>
      <c r="L1388" s="1">
        <v>34</v>
      </c>
      <c r="M1388" s="1">
        <v>8</v>
      </c>
      <c r="N1388" s="1" t="s">
        <v>32</v>
      </c>
      <c r="O1388" s="1">
        <v>2</v>
      </c>
      <c r="P1388" s="1">
        <v>2</v>
      </c>
      <c r="Q1388" s="1">
        <v>3</v>
      </c>
      <c r="R1388" s="1">
        <v>6799</v>
      </c>
      <c r="S1388" s="1">
        <v>10</v>
      </c>
      <c r="T1388" s="1">
        <v>3</v>
      </c>
      <c r="U1388" s="1">
        <v>10</v>
      </c>
      <c r="V1388" s="1">
        <v>8</v>
      </c>
      <c r="W1388" s="1">
        <v>4</v>
      </c>
      <c r="X1388" s="1">
        <v>8</v>
      </c>
    </row>
    <row r="1389" spans="1:24">
      <c r="A1389" s="1">
        <v>1388</v>
      </c>
      <c r="B1389" s="1" t="s">
        <v>33</v>
      </c>
      <c r="C1389" s="1" t="s">
        <v>25</v>
      </c>
      <c r="D1389" s="1" t="s">
        <v>43</v>
      </c>
      <c r="E1389" s="1" t="s">
        <v>27</v>
      </c>
      <c r="F1389" s="1" t="s">
        <v>56</v>
      </c>
      <c r="G1389" s="1">
        <v>1</v>
      </c>
      <c r="H1389" s="1" t="s">
        <v>37</v>
      </c>
      <c r="I1389" s="1" t="s">
        <v>30</v>
      </c>
      <c r="J1389" s="1" t="s">
        <v>31</v>
      </c>
      <c r="K1389" s="1" t="s">
        <v>33</v>
      </c>
      <c r="L1389" s="1">
        <v>34</v>
      </c>
      <c r="M1389" s="1">
        <v>1</v>
      </c>
      <c r="N1389" s="1" t="s">
        <v>47</v>
      </c>
      <c r="O1389" s="1">
        <v>1</v>
      </c>
      <c r="P1389" s="1">
        <v>3</v>
      </c>
      <c r="Q1389" s="1">
        <v>4</v>
      </c>
      <c r="R1389" s="1">
        <v>9888</v>
      </c>
      <c r="S1389" s="1">
        <v>14</v>
      </c>
      <c r="T1389" s="1">
        <v>2</v>
      </c>
      <c r="U1389" s="1">
        <v>14</v>
      </c>
      <c r="V1389" s="1">
        <v>8</v>
      </c>
      <c r="W1389" s="1">
        <v>2</v>
      </c>
      <c r="X1389" s="1">
        <v>1</v>
      </c>
    </row>
    <row r="1390" spans="1:24">
      <c r="A1390" s="1">
        <v>1389</v>
      </c>
      <c r="B1390" s="1" t="s">
        <v>33</v>
      </c>
      <c r="C1390" s="1" t="s">
        <v>51</v>
      </c>
      <c r="D1390" s="1" t="s">
        <v>35</v>
      </c>
      <c r="E1390" s="1" t="s">
        <v>36</v>
      </c>
      <c r="F1390" s="1" t="s">
        <v>45</v>
      </c>
      <c r="G1390" s="1">
        <v>1</v>
      </c>
      <c r="H1390" s="1" t="s">
        <v>29</v>
      </c>
      <c r="I1390" s="1" t="s">
        <v>49</v>
      </c>
      <c r="J1390" s="1" t="s">
        <v>39</v>
      </c>
      <c r="K1390" s="1" t="s">
        <v>24</v>
      </c>
      <c r="L1390" s="1">
        <v>53</v>
      </c>
      <c r="M1390" s="1">
        <v>1</v>
      </c>
      <c r="N1390" s="1" t="s">
        <v>44</v>
      </c>
      <c r="O1390" s="1">
        <v>1</v>
      </c>
      <c r="P1390" s="1">
        <v>4</v>
      </c>
      <c r="Q1390" s="1">
        <v>3</v>
      </c>
      <c r="R1390" s="1">
        <v>12965</v>
      </c>
      <c r="S1390" s="1">
        <v>27</v>
      </c>
      <c r="T1390" s="1">
        <v>2</v>
      </c>
      <c r="U1390" s="1">
        <v>3</v>
      </c>
      <c r="V1390" s="1">
        <v>2</v>
      </c>
      <c r="W1390" s="1">
        <v>0</v>
      </c>
      <c r="X1390" s="1">
        <v>2</v>
      </c>
    </row>
    <row r="1391" spans="1:24">
      <c r="A1391" s="1">
        <v>1390</v>
      </c>
      <c r="B1391" s="1" t="s">
        <v>33</v>
      </c>
      <c r="C1391" s="1" t="s">
        <v>51</v>
      </c>
      <c r="D1391" s="1" t="s">
        <v>43</v>
      </c>
      <c r="E1391" s="1" t="s">
        <v>27</v>
      </c>
      <c r="F1391" s="1" t="s">
        <v>28</v>
      </c>
      <c r="G1391" s="1">
        <v>1</v>
      </c>
      <c r="H1391" s="1" t="s">
        <v>29</v>
      </c>
      <c r="I1391" s="1" t="s">
        <v>30</v>
      </c>
      <c r="J1391" s="1" t="s">
        <v>48</v>
      </c>
      <c r="K1391" s="1" t="s">
        <v>24</v>
      </c>
      <c r="L1391" s="1">
        <v>33</v>
      </c>
      <c r="M1391" s="1">
        <v>16</v>
      </c>
      <c r="N1391" s="1" t="s">
        <v>47</v>
      </c>
      <c r="O1391" s="1">
        <v>3</v>
      </c>
      <c r="P1391" s="1">
        <v>2</v>
      </c>
      <c r="Q1391" s="1">
        <v>4</v>
      </c>
      <c r="R1391" s="1">
        <v>5368</v>
      </c>
      <c r="S1391" s="1">
        <v>7</v>
      </c>
      <c r="T1391" s="1">
        <v>3</v>
      </c>
      <c r="U1391" s="1">
        <v>6</v>
      </c>
      <c r="V1391" s="1">
        <v>5</v>
      </c>
      <c r="W1391" s="1">
        <v>1</v>
      </c>
      <c r="X1391" s="1">
        <v>2</v>
      </c>
    </row>
    <row r="1392" spans="1:24">
      <c r="A1392" s="1">
        <v>1391</v>
      </c>
      <c r="B1392" s="1" t="s">
        <v>33</v>
      </c>
      <c r="C1392" s="1" t="s">
        <v>25</v>
      </c>
      <c r="D1392" s="1" t="s">
        <v>26</v>
      </c>
      <c r="E1392" s="1" t="s">
        <v>36</v>
      </c>
      <c r="F1392" s="1" t="s">
        <v>28</v>
      </c>
      <c r="G1392" s="1">
        <v>1</v>
      </c>
      <c r="H1392" s="1" t="s">
        <v>29</v>
      </c>
      <c r="I1392" s="1" t="s">
        <v>55</v>
      </c>
      <c r="J1392" s="1" t="s">
        <v>39</v>
      </c>
      <c r="K1392" s="1" t="s">
        <v>24</v>
      </c>
      <c r="L1392" s="1">
        <v>37</v>
      </c>
      <c r="M1392" s="1">
        <v>10</v>
      </c>
      <c r="N1392" s="1" t="s">
        <v>47</v>
      </c>
      <c r="O1392" s="1">
        <v>3</v>
      </c>
      <c r="P1392" s="1">
        <v>3</v>
      </c>
      <c r="Q1392" s="1">
        <v>4</v>
      </c>
      <c r="R1392" s="1">
        <v>13744</v>
      </c>
      <c r="S1392" s="1">
        <v>16</v>
      </c>
      <c r="T1392" s="1">
        <v>3</v>
      </c>
      <c r="U1392" s="1">
        <v>16</v>
      </c>
      <c r="V1392" s="1">
        <v>11</v>
      </c>
      <c r="W1392" s="1">
        <v>6</v>
      </c>
      <c r="X1392" s="1">
        <v>8</v>
      </c>
    </row>
    <row r="1393" spans="1:24">
      <c r="A1393" s="1">
        <v>1392</v>
      </c>
      <c r="B1393" s="1" t="s">
        <v>33</v>
      </c>
      <c r="C1393" s="1" t="s">
        <v>25</v>
      </c>
      <c r="D1393" s="1" t="s">
        <v>46</v>
      </c>
      <c r="E1393" s="1" t="s">
        <v>36</v>
      </c>
      <c r="F1393" s="1" t="s">
        <v>45</v>
      </c>
      <c r="G1393" s="1">
        <v>1</v>
      </c>
      <c r="H1393" s="1" t="s">
        <v>29</v>
      </c>
      <c r="I1393" s="1" t="s">
        <v>55</v>
      </c>
      <c r="J1393" s="1" t="s">
        <v>39</v>
      </c>
      <c r="K1393" s="1" t="s">
        <v>24</v>
      </c>
      <c r="L1393" s="1">
        <v>58</v>
      </c>
      <c r="M1393" s="1">
        <v>1</v>
      </c>
      <c r="N1393" s="1" t="s">
        <v>47</v>
      </c>
      <c r="O1393" s="1">
        <v>4</v>
      </c>
      <c r="P1393" s="1">
        <v>5</v>
      </c>
      <c r="Q1393" s="1">
        <v>1</v>
      </c>
      <c r="R1393" s="1">
        <v>19701</v>
      </c>
      <c r="S1393" s="1">
        <v>32</v>
      </c>
      <c r="T1393" s="1">
        <v>3</v>
      </c>
      <c r="U1393" s="1">
        <v>9</v>
      </c>
      <c r="V1393" s="1">
        <v>8</v>
      </c>
      <c r="W1393" s="1">
        <v>1</v>
      </c>
      <c r="X1393" s="1">
        <v>5</v>
      </c>
    </row>
    <row r="1394" spans="1:24">
      <c r="A1394" s="1">
        <v>1393</v>
      </c>
      <c r="B1394" s="1" t="s">
        <v>33</v>
      </c>
      <c r="C1394" s="1" t="s">
        <v>25</v>
      </c>
      <c r="D1394" s="1" t="s">
        <v>26</v>
      </c>
      <c r="E1394" s="1" t="s">
        <v>36</v>
      </c>
      <c r="F1394" s="1" t="s">
        <v>41</v>
      </c>
      <c r="G1394" s="1">
        <v>1</v>
      </c>
      <c r="H1394" s="1" t="s">
        <v>29</v>
      </c>
      <c r="I1394" s="1" t="s">
        <v>38</v>
      </c>
      <c r="J1394" s="1" t="s">
        <v>39</v>
      </c>
      <c r="K1394" s="1" t="s">
        <v>24</v>
      </c>
      <c r="L1394" s="1">
        <v>36</v>
      </c>
      <c r="M1394" s="1">
        <v>2</v>
      </c>
      <c r="N1394" s="1" t="s">
        <v>44</v>
      </c>
      <c r="O1394" s="1">
        <v>4</v>
      </c>
      <c r="P1394" s="1">
        <v>2</v>
      </c>
      <c r="Q1394" s="1">
        <v>2</v>
      </c>
      <c r="R1394" s="1">
        <v>6962</v>
      </c>
      <c r="S1394" s="1">
        <v>15</v>
      </c>
      <c r="T1394" s="1">
        <v>3</v>
      </c>
      <c r="U1394" s="1">
        <v>1</v>
      </c>
      <c r="V1394" s="1">
        <v>0</v>
      </c>
      <c r="W1394" s="1">
        <v>0</v>
      </c>
      <c r="X1394" s="1">
        <v>0</v>
      </c>
    </row>
    <row r="1395" spans="1:24">
      <c r="A1395" s="1">
        <v>1394</v>
      </c>
      <c r="B1395" s="1" t="s">
        <v>33</v>
      </c>
      <c r="C1395" s="1" t="s">
        <v>25</v>
      </c>
      <c r="D1395" s="1" t="s">
        <v>43</v>
      </c>
      <c r="E1395" s="1" t="s">
        <v>27</v>
      </c>
      <c r="F1395" s="1" t="s">
        <v>41</v>
      </c>
      <c r="G1395" s="1">
        <v>1</v>
      </c>
      <c r="H1395" s="1" t="s">
        <v>29</v>
      </c>
      <c r="I1395" s="1" t="s">
        <v>30</v>
      </c>
      <c r="J1395" s="1" t="s">
        <v>48</v>
      </c>
      <c r="K1395" s="1" t="s">
        <v>24</v>
      </c>
      <c r="L1395" s="1">
        <v>25</v>
      </c>
      <c r="M1395" s="1">
        <v>8</v>
      </c>
      <c r="N1395" s="1" t="s">
        <v>32</v>
      </c>
      <c r="O1395" s="1">
        <v>1</v>
      </c>
      <c r="P1395" s="1">
        <v>2</v>
      </c>
      <c r="Q1395" s="1">
        <v>3</v>
      </c>
      <c r="R1395" s="1">
        <v>4907</v>
      </c>
      <c r="S1395" s="1">
        <v>6</v>
      </c>
      <c r="T1395" s="1">
        <v>2</v>
      </c>
      <c r="U1395" s="1">
        <v>5</v>
      </c>
      <c r="V1395" s="1">
        <v>3</v>
      </c>
      <c r="W1395" s="1">
        <v>0</v>
      </c>
      <c r="X1395" s="1">
        <v>4</v>
      </c>
    </row>
    <row r="1396" spans="1:24">
      <c r="A1396" s="1">
        <v>1395</v>
      </c>
      <c r="B1396" s="1" t="s">
        <v>33</v>
      </c>
      <c r="C1396" s="1" t="s">
        <v>25</v>
      </c>
      <c r="D1396" s="1" t="s">
        <v>26</v>
      </c>
      <c r="E1396" s="1" t="s">
        <v>27</v>
      </c>
      <c r="F1396" s="1" t="s">
        <v>56</v>
      </c>
      <c r="G1396" s="1">
        <v>1</v>
      </c>
      <c r="H1396" s="1" t="s">
        <v>29</v>
      </c>
      <c r="I1396" s="1" t="s">
        <v>54</v>
      </c>
      <c r="J1396" s="1" t="s">
        <v>39</v>
      </c>
      <c r="K1396" s="1" t="s">
        <v>24</v>
      </c>
      <c r="L1396" s="1">
        <v>38</v>
      </c>
      <c r="M1396" s="1">
        <v>2</v>
      </c>
      <c r="N1396" s="1" t="s">
        <v>44</v>
      </c>
      <c r="O1396" s="1">
        <v>2</v>
      </c>
      <c r="P1396" s="1">
        <v>2</v>
      </c>
      <c r="Q1396" s="1">
        <v>4</v>
      </c>
      <c r="R1396" s="1">
        <v>5405</v>
      </c>
      <c r="S1396" s="1">
        <v>20</v>
      </c>
      <c r="T1396" s="1">
        <v>2</v>
      </c>
      <c r="U1396" s="1">
        <v>4</v>
      </c>
      <c r="V1396" s="1">
        <v>2</v>
      </c>
      <c r="W1396" s="1">
        <v>0</v>
      </c>
      <c r="X1396" s="1">
        <v>3</v>
      </c>
    </row>
    <row r="1397" spans="1:24">
      <c r="A1397" s="1">
        <v>1396</v>
      </c>
      <c r="B1397" s="1" t="s">
        <v>33</v>
      </c>
      <c r="C1397" s="1" t="s">
        <v>25</v>
      </c>
      <c r="D1397" s="1" t="s">
        <v>26</v>
      </c>
      <c r="E1397" s="1" t="s">
        <v>59</v>
      </c>
      <c r="F1397" s="1" t="s">
        <v>45</v>
      </c>
      <c r="G1397" s="1">
        <v>1</v>
      </c>
      <c r="H1397" s="1" t="s">
        <v>37</v>
      </c>
      <c r="I1397" s="1" t="s">
        <v>53</v>
      </c>
      <c r="J1397" s="1" t="s">
        <v>31</v>
      </c>
      <c r="K1397" s="1" t="s">
        <v>24</v>
      </c>
      <c r="L1397" s="1">
        <v>40</v>
      </c>
      <c r="M1397" s="1">
        <v>6</v>
      </c>
      <c r="N1397" s="1" t="s">
        <v>32</v>
      </c>
      <c r="O1397" s="1">
        <v>3</v>
      </c>
      <c r="P1397" s="1">
        <v>4</v>
      </c>
      <c r="Q1397" s="1">
        <v>4</v>
      </c>
      <c r="R1397" s="1">
        <v>16437</v>
      </c>
      <c r="S1397" s="1">
        <v>21</v>
      </c>
      <c r="T1397" s="1">
        <v>3</v>
      </c>
      <c r="U1397" s="1">
        <v>21</v>
      </c>
      <c r="V1397" s="1">
        <v>7</v>
      </c>
      <c r="W1397" s="1">
        <v>7</v>
      </c>
      <c r="X1397" s="1">
        <v>7</v>
      </c>
    </row>
    <row r="1398" spans="1:24">
      <c r="A1398" s="1">
        <v>1397</v>
      </c>
      <c r="B1398" s="1" t="s">
        <v>33</v>
      </c>
      <c r="C1398" s="1" t="s">
        <v>25</v>
      </c>
      <c r="D1398" s="1" t="s">
        <v>43</v>
      </c>
      <c r="E1398" s="1" t="s">
        <v>36</v>
      </c>
      <c r="F1398" s="1" t="s">
        <v>28</v>
      </c>
      <c r="G1398" s="1">
        <v>1</v>
      </c>
      <c r="H1398" s="1" t="s">
        <v>37</v>
      </c>
      <c r="I1398" s="1" t="s">
        <v>49</v>
      </c>
      <c r="J1398" s="1" t="s">
        <v>39</v>
      </c>
      <c r="K1398" s="1" t="s">
        <v>24</v>
      </c>
      <c r="L1398" s="1">
        <v>27</v>
      </c>
      <c r="M1398" s="1">
        <v>4</v>
      </c>
      <c r="N1398" s="1" t="s">
        <v>47</v>
      </c>
      <c r="O1398" s="1">
        <v>2</v>
      </c>
      <c r="P1398" s="1">
        <v>2</v>
      </c>
      <c r="Q1398" s="1">
        <v>2</v>
      </c>
      <c r="R1398" s="1">
        <v>6142</v>
      </c>
      <c r="S1398" s="1">
        <v>6</v>
      </c>
      <c r="T1398" s="1">
        <v>3</v>
      </c>
      <c r="U1398" s="1">
        <v>6</v>
      </c>
      <c r="V1398" s="1">
        <v>2</v>
      </c>
      <c r="W1398" s="1">
        <v>0</v>
      </c>
      <c r="X1398" s="1">
        <v>3</v>
      </c>
    </row>
    <row r="1399" spans="1:24">
      <c r="A1399" s="1">
        <v>1398</v>
      </c>
      <c r="B1399" s="1" t="s">
        <v>33</v>
      </c>
      <c r="C1399" s="1" t="s">
        <v>25</v>
      </c>
      <c r="D1399" s="1" t="s">
        <v>26</v>
      </c>
      <c r="E1399" s="1" t="s">
        <v>36</v>
      </c>
      <c r="F1399" s="1" t="s">
        <v>45</v>
      </c>
      <c r="G1399" s="1">
        <v>1</v>
      </c>
      <c r="H1399" s="1" t="s">
        <v>37</v>
      </c>
      <c r="I1399" s="1" t="s">
        <v>38</v>
      </c>
      <c r="J1399" s="1" t="s">
        <v>39</v>
      </c>
      <c r="K1399" s="1" t="s">
        <v>24</v>
      </c>
      <c r="L1399" s="1">
        <v>37</v>
      </c>
      <c r="M1399" s="1">
        <v>7</v>
      </c>
      <c r="N1399" s="1" t="s">
        <v>44</v>
      </c>
      <c r="O1399" s="1">
        <v>4</v>
      </c>
      <c r="P1399" s="1">
        <v>2</v>
      </c>
      <c r="Q1399" s="1">
        <v>1</v>
      </c>
      <c r="R1399" s="1">
        <v>4284</v>
      </c>
      <c r="S1399" s="1">
        <v>16</v>
      </c>
      <c r="T1399" s="1">
        <v>3</v>
      </c>
      <c r="U1399" s="1">
        <v>5</v>
      </c>
      <c r="V1399" s="1">
        <v>3</v>
      </c>
      <c r="W1399" s="1">
        <v>0</v>
      </c>
      <c r="X1399" s="1">
        <v>4</v>
      </c>
    </row>
    <row r="1400" spans="1:24">
      <c r="A1400" s="1">
        <v>1399</v>
      </c>
      <c r="B1400" s="1" t="s">
        <v>33</v>
      </c>
      <c r="C1400" s="1" t="s">
        <v>25</v>
      </c>
      <c r="D1400" s="1" t="s">
        <v>43</v>
      </c>
      <c r="E1400" s="1" t="s">
        <v>27</v>
      </c>
      <c r="F1400" s="1" t="s">
        <v>57</v>
      </c>
      <c r="G1400" s="1">
        <v>1</v>
      </c>
      <c r="H1400" s="1" t="s">
        <v>37</v>
      </c>
      <c r="I1400" s="1" t="s">
        <v>54</v>
      </c>
      <c r="J1400" s="1" t="s">
        <v>39</v>
      </c>
      <c r="K1400" s="1" t="s">
        <v>24</v>
      </c>
      <c r="L1400" s="1">
        <v>34</v>
      </c>
      <c r="M1400" s="1">
        <v>7</v>
      </c>
      <c r="N1400" s="1" t="s">
        <v>32</v>
      </c>
      <c r="O1400" s="1">
        <v>2</v>
      </c>
      <c r="P1400" s="1">
        <v>1</v>
      </c>
      <c r="Q1400" s="1">
        <v>3</v>
      </c>
      <c r="R1400" s="1">
        <v>2308</v>
      </c>
      <c r="S1400" s="1">
        <v>12</v>
      </c>
      <c r="T1400" s="1">
        <v>3</v>
      </c>
      <c r="U1400" s="1">
        <v>11</v>
      </c>
      <c r="V1400" s="1">
        <v>10</v>
      </c>
      <c r="W1400" s="1">
        <v>5</v>
      </c>
      <c r="X1400" s="1">
        <v>7</v>
      </c>
    </row>
    <row r="1401" spans="1:24">
      <c r="A1401" s="1">
        <v>1400</v>
      </c>
      <c r="B1401" s="1" t="s">
        <v>33</v>
      </c>
      <c r="C1401" s="1" t="s">
        <v>25</v>
      </c>
      <c r="D1401" s="1" t="s">
        <v>26</v>
      </c>
      <c r="E1401" s="1" t="s">
        <v>27</v>
      </c>
      <c r="F1401" s="1" t="s">
        <v>28</v>
      </c>
      <c r="G1401" s="1">
        <v>1</v>
      </c>
      <c r="H1401" s="1" t="s">
        <v>37</v>
      </c>
      <c r="I1401" s="1" t="s">
        <v>54</v>
      </c>
      <c r="J1401" s="1" t="s">
        <v>31</v>
      </c>
      <c r="K1401" s="1" t="s">
        <v>24</v>
      </c>
      <c r="L1401" s="1">
        <v>36</v>
      </c>
      <c r="M1401" s="1">
        <v>2</v>
      </c>
      <c r="N1401" s="1" t="s">
        <v>44</v>
      </c>
      <c r="O1401" s="1">
        <v>3</v>
      </c>
      <c r="P1401" s="1">
        <v>1</v>
      </c>
      <c r="Q1401" s="1">
        <v>4</v>
      </c>
      <c r="R1401" s="1">
        <v>2644</v>
      </c>
      <c r="S1401" s="1">
        <v>7</v>
      </c>
      <c r="T1401" s="1">
        <v>2</v>
      </c>
      <c r="U1401" s="1">
        <v>3</v>
      </c>
      <c r="V1401" s="1">
        <v>2</v>
      </c>
      <c r="W1401" s="1">
        <v>1</v>
      </c>
      <c r="X1401" s="1">
        <v>2</v>
      </c>
    </row>
    <row r="1402" spans="1:24">
      <c r="A1402" s="1">
        <v>1401</v>
      </c>
      <c r="B1402" s="1" t="s">
        <v>24</v>
      </c>
      <c r="C1402" s="1" t="s">
        <v>34</v>
      </c>
      <c r="D1402" s="1" t="s">
        <v>43</v>
      </c>
      <c r="E1402" s="1" t="s">
        <v>59</v>
      </c>
      <c r="F1402" s="1" t="s">
        <v>60</v>
      </c>
      <c r="G1402" s="1">
        <v>1</v>
      </c>
      <c r="H1402" s="1" t="s">
        <v>29</v>
      </c>
      <c r="I1402" s="1" t="s">
        <v>60</v>
      </c>
      <c r="J1402" s="1" t="s">
        <v>48</v>
      </c>
      <c r="K1402" s="1" t="s">
        <v>33</v>
      </c>
      <c r="L1402" s="1">
        <v>30</v>
      </c>
      <c r="M1402" s="1">
        <v>8</v>
      </c>
      <c r="N1402" s="1" t="s">
        <v>47</v>
      </c>
      <c r="O1402" s="1">
        <v>3</v>
      </c>
      <c r="P1402" s="1">
        <v>1</v>
      </c>
      <c r="Q1402" s="1">
        <v>4</v>
      </c>
      <c r="R1402" s="1">
        <v>2180</v>
      </c>
      <c r="S1402" s="1">
        <v>6</v>
      </c>
      <c r="T1402" s="1">
        <v>2</v>
      </c>
      <c r="U1402" s="1">
        <v>4</v>
      </c>
      <c r="V1402" s="1">
        <v>2</v>
      </c>
      <c r="W1402" s="1">
        <v>1</v>
      </c>
      <c r="X1402" s="1">
        <v>2</v>
      </c>
    </row>
    <row r="1403" spans="1:24">
      <c r="A1403" s="1">
        <v>1402</v>
      </c>
      <c r="B1403" s="1" t="s">
        <v>24</v>
      </c>
      <c r="C1403" s="1" t="s">
        <v>34</v>
      </c>
      <c r="D1403" s="1" t="s">
        <v>43</v>
      </c>
      <c r="E1403" s="1" t="s">
        <v>59</v>
      </c>
      <c r="F1403" s="1" t="s">
        <v>60</v>
      </c>
      <c r="G1403" s="1">
        <v>1</v>
      </c>
      <c r="H1403" s="1" t="s">
        <v>29</v>
      </c>
      <c r="I1403" s="1" t="s">
        <v>60</v>
      </c>
      <c r="J1403" s="1" t="s">
        <v>39</v>
      </c>
      <c r="K1403" s="1" t="s">
        <v>33</v>
      </c>
      <c r="L1403" s="1">
        <v>27</v>
      </c>
      <c r="M1403" s="1">
        <v>22</v>
      </c>
      <c r="N1403" s="1" t="s">
        <v>47</v>
      </c>
      <c r="O1403" s="1">
        <v>1</v>
      </c>
      <c r="P1403" s="1">
        <v>1</v>
      </c>
      <c r="Q1403" s="1">
        <v>2</v>
      </c>
      <c r="R1403" s="1">
        <v>2863</v>
      </c>
      <c r="S1403" s="1">
        <v>1</v>
      </c>
      <c r="T1403" s="1">
        <v>3</v>
      </c>
      <c r="U1403" s="1">
        <v>1</v>
      </c>
      <c r="V1403" s="1">
        <v>0</v>
      </c>
      <c r="W1403" s="1">
        <v>0</v>
      </c>
      <c r="X1403" s="1">
        <v>0</v>
      </c>
    </row>
    <row r="1404" spans="1:24">
      <c r="A1404" s="1">
        <v>1403</v>
      </c>
      <c r="B1404" s="1" t="s">
        <v>24</v>
      </c>
      <c r="C1404" s="1" t="s">
        <v>34</v>
      </c>
      <c r="D1404" s="1" t="s">
        <v>43</v>
      </c>
      <c r="E1404" s="1" t="s">
        <v>36</v>
      </c>
      <c r="F1404" s="1" t="s">
        <v>28</v>
      </c>
      <c r="G1404" s="1">
        <v>1</v>
      </c>
      <c r="H1404" s="1" t="s">
        <v>29</v>
      </c>
      <c r="I1404" s="1" t="s">
        <v>49</v>
      </c>
      <c r="J1404" s="1" t="s">
        <v>31</v>
      </c>
      <c r="K1404" s="1" t="s">
        <v>33</v>
      </c>
      <c r="L1404" s="1">
        <v>31</v>
      </c>
      <c r="M1404" s="1">
        <v>1</v>
      </c>
      <c r="N1404" s="1" t="s">
        <v>58</v>
      </c>
      <c r="O1404" s="1">
        <v>3</v>
      </c>
      <c r="P1404" s="1">
        <v>3</v>
      </c>
      <c r="Q1404" s="1">
        <v>2</v>
      </c>
      <c r="R1404" s="1">
        <v>7446</v>
      </c>
      <c r="S1404" s="1">
        <v>10</v>
      </c>
      <c r="T1404" s="1">
        <v>3</v>
      </c>
      <c r="U1404" s="1">
        <v>10</v>
      </c>
      <c r="V1404" s="1">
        <v>8</v>
      </c>
      <c r="W1404" s="1">
        <v>4</v>
      </c>
      <c r="X1404" s="1">
        <v>7</v>
      </c>
    </row>
    <row r="1405" spans="1:24">
      <c r="A1405" s="1">
        <v>1404</v>
      </c>
      <c r="B1405" s="1" t="s">
        <v>24</v>
      </c>
      <c r="C1405" s="1" t="s">
        <v>34</v>
      </c>
      <c r="D1405" s="1" t="s">
        <v>43</v>
      </c>
      <c r="E1405" s="1" t="s">
        <v>36</v>
      </c>
      <c r="F1405" s="1" t="s">
        <v>28</v>
      </c>
      <c r="G1405" s="1">
        <v>1</v>
      </c>
      <c r="H1405" s="1" t="s">
        <v>29</v>
      </c>
      <c r="I1405" s="1" t="s">
        <v>38</v>
      </c>
      <c r="J1405" s="1" t="s">
        <v>31</v>
      </c>
      <c r="K1405" s="1" t="s">
        <v>33</v>
      </c>
      <c r="L1405" s="1">
        <v>31</v>
      </c>
      <c r="M1405" s="1">
        <v>3</v>
      </c>
      <c r="N1405" s="1" t="s">
        <v>47</v>
      </c>
      <c r="O1405" s="1">
        <v>4</v>
      </c>
      <c r="P1405" s="1">
        <v>1</v>
      </c>
      <c r="Q1405" s="1">
        <v>3</v>
      </c>
      <c r="R1405" s="1">
        <v>4084</v>
      </c>
      <c r="S1405" s="1">
        <v>7</v>
      </c>
      <c r="T1405" s="1">
        <v>1</v>
      </c>
      <c r="U1405" s="1">
        <v>7</v>
      </c>
      <c r="V1405" s="1">
        <v>2</v>
      </c>
      <c r="W1405" s="1">
        <v>7</v>
      </c>
      <c r="X1405" s="1">
        <v>7</v>
      </c>
    </row>
    <row r="1406" spans="1:24">
      <c r="A1406" s="1">
        <v>1405</v>
      </c>
      <c r="B1406" s="1" t="s">
        <v>24</v>
      </c>
      <c r="C1406" s="1" t="s">
        <v>34</v>
      </c>
      <c r="D1406" s="1" t="s">
        <v>43</v>
      </c>
      <c r="E1406" s="1" t="s">
        <v>27</v>
      </c>
      <c r="F1406" s="1" t="s">
        <v>57</v>
      </c>
      <c r="G1406" s="1">
        <v>1</v>
      </c>
      <c r="H1406" s="1" t="s">
        <v>29</v>
      </c>
      <c r="I1406" s="1" t="s">
        <v>30</v>
      </c>
      <c r="J1406" s="1" t="s">
        <v>31</v>
      </c>
      <c r="K1406" s="1" t="s">
        <v>33</v>
      </c>
      <c r="L1406" s="1">
        <v>29</v>
      </c>
      <c r="M1406" s="1">
        <v>13</v>
      </c>
      <c r="N1406" s="1" t="s">
        <v>47</v>
      </c>
      <c r="O1406" s="1">
        <v>1</v>
      </c>
      <c r="P1406" s="1">
        <v>2</v>
      </c>
      <c r="Q1406" s="1">
        <v>2</v>
      </c>
      <c r="R1406" s="1">
        <v>5765</v>
      </c>
      <c r="S1406" s="1">
        <v>7</v>
      </c>
      <c r="T1406" s="1">
        <v>1</v>
      </c>
      <c r="U1406" s="1">
        <v>5</v>
      </c>
      <c r="V1406" s="1">
        <v>3</v>
      </c>
      <c r="W1406" s="1">
        <v>0</v>
      </c>
      <c r="X1406" s="1">
        <v>0</v>
      </c>
    </row>
    <row r="1407" spans="1:24">
      <c r="A1407" s="1">
        <v>1406</v>
      </c>
      <c r="B1407" s="1" t="s">
        <v>24</v>
      </c>
      <c r="C1407" s="1" t="s">
        <v>34</v>
      </c>
      <c r="D1407" s="1" t="s">
        <v>43</v>
      </c>
      <c r="E1407" s="1" t="s">
        <v>27</v>
      </c>
      <c r="F1407" s="1" t="s">
        <v>28</v>
      </c>
      <c r="G1407" s="1">
        <v>1</v>
      </c>
      <c r="H1407" s="1" t="s">
        <v>29</v>
      </c>
      <c r="I1407" s="1" t="s">
        <v>54</v>
      </c>
      <c r="J1407" s="1" t="s">
        <v>31</v>
      </c>
      <c r="K1407" s="1" t="s">
        <v>33</v>
      </c>
      <c r="L1407" s="1">
        <v>31</v>
      </c>
      <c r="M1407" s="1">
        <v>1</v>
      </c>
      <c r="N1407" s="1" t="s">
        <v>44</v>
      </c>
      <c r="O1407" s="1">
        <v>2</v>
      </c>
      <c r="P1407" s="1">
        <v>1</v>
      </c>
      <c r="Q1407" s="1">
        <v>3</v>
      </c>
      <c r="R1407" s="1">
        <v>1359</v>
      </c>
      <c r="S1407" s="1">
        <v>1</v>
      </c>
      <c r="T1407" s="1">
        <v>3</v>
      </c>
      <c r="U1407" s="1">
        <v>1</v>
      </c>
      <c r="V1407" s="1">
        <v>0</v>
      </c>
      <c r="W1407" s="1">
        <v>0</v>
      </c>
      <c r="X1407" s="1">
        <v>0</v>
      </c>
    </row>
    <row r="1408" spans="1:24">
      <c r="A1408" s="1">
        <v>1407</v>
      </c>
      <c r="B1408" s="1" t="s">
        <v>24</v>
      </c>
      <c r="C1408" s="1" t="s">
        <v>25</v>
      </c>
      <c r="D1408" s="1" t="s">
        <v>43</v>
      </c>
      <c r="E1408" s="1" t="s">
        <v>59</v>
      </c>
      <c r="F1408" s="1" t="s">
        <v>57</v>
      </c>
      <c r="G1408" s="1">
        <v>1</v>
      </c>
      <c r="H1408" s="1" t="s">
        <v>29</v>
      </c>
      <c r="I1408" s="1" t="s">
        <v>60</v>
      </c>
      <c r="J1408" s="1" t="s">
        <v>39</v>
      </c>
      <c r="K1408" s="1" t="s">
        <v>33</v>
      </c>
      <c r="L1408" s="1">
        <v>34</v>
      </c>
      <c r="M1408" s="1">
        <v>9</v>
      </c>
      <c r="N1408" s="1" t="s">
        <v>44</v>
      </c>
      <c r="O1408" s="1">
        <v>1</v>
      </c>
      <c r="P1408" s="1">
        <v>1</v>
      </c>
      <c r="Q1408" s="1">
        <v>3</v>
      </c>
      <c r="R1408" s="1">
        <v>2742</v>
      </c>
      <c r="S1408" s="1">
        <v>2</v>
      </c>
      <c r="T1408" s="1">
        <v>3</v>
      </c>
      <c r="U1408" s="1">
        <v>2</v>
      </c>
      <c r="V1408" s="1">
        <v>2</v>
      </c>
      <c r="W1408" s="1">
        <v>2</v>
      </c>
      <c r="X1408" s="1">
        <v>2</v>
      </c>
    </row>
    <row r="1409" spans="1:24">
      <c r="A1409" s="1">
        <v>1408</v>
      </c>
      <c r="B1409" s="1" t="s">
        <v>24</v>
      </c>
      <c r="C1409" s="1" t="s">
        <v>25</v>
      </c>
      <c r="D1409" s="1" t="s">
        <v>35</v>
      </c>
      <c r="E1409" s="1" t="s">
        <v>36</v>
      </c>
      <c r="F1409" s="1" t="s">
        <v>57</v>
      </c>
      <c r="G1409" s="1">
        <v>1</v>
      </c>
      <c r="H1409" s="1" t="s">
        <v>29</v>
      </c>
      <c r="I1409" s="1" t="s">
        <v>49</v>
      </c>
      <c r="J1409" s="1" t="s">
        <v>39</v>
      </c>
      <c r="K1409" s="1" t="s">
        <v>33</v>
      </c>
      <c r="L1409" s="1">
        <v>53</v>
      </c>
      <c r="M1409" s="1">
        <v>2</v>
      </c>
      <c r="N1409" s="1" t="s">
        <v>58</v>
      </c>
      <c r="O1409" s="1">
        <v>3</v>
      </c>
      <c r="P1409" s="1">
        <v>3</v>
      </c>
      <c r="Q1409" s="1">
        <v>4</v>
      </c>
      <c r="R1409" s="1">
        <v>10169</v>
      </c>
      <c r="S1409" s="1">
        <v>34</v>
      </c>
      <c r="T1409" s="1">
        <v>3</v>
      </c>
      <c r="U1409" s="1">
        <v>33</v>
      </c>
      <c r="V1409" s="1">
        <v>7</v>
      </c>
      <c r="W1409" s="1">
        <v>1</v>
      </c>
      <c r="X1409" s="1">
        <v>9</v>
      </c>
    </row>
    <row r="1410" spans="1:24">
      <c r="A1410" s="1">
        <v>1409</v>
      </c>
      <c r="B1410" s="1" t="s">
        <v>24</v>
      </c>
      <c r="C1410" s="1" t="s">
        <v>25</v>
      </c>
      <c r="D1410" s="1" t="s">
        <v>43</v>
      </c>
      <c r="E1410" s="1" t="s">
        <v>36</v>
      </c>
      <c r="F1410" s="1" t="s">
        <v>28</v>
      </c>
      <c r="G1410" s="1">
        <v>1</v>
      </c>
      <c r="H1410" s="1" t="s">
        <v>29</v>
      </c>
      <c r="I1410" s="1" t="s">
        <v>38</v>
      </c>
      <c r="J1410" s="1" t="s">
        <v>31</v>
      </c>
      <c r="K1410" s="1" t="s">
        <v>33</v>
      </c>
      <c r="L1410" s="1">
        <v>31</v>
      </c>
      <c r="M1410" s="1">
        <v>8</v>
      </c>
      <c r="N1410" s="1" t="s">
        <v>47</v>
      </c>
      <c r="O1410" s="1">
        <v>1</v>
      </c>
      <c r="P1410" s="1">
        <v>1</v>
      </c>
      <c r="Q1410" s="1">
        <v>2</v>
      </c>
      <c r="R1410" s="1">
        <v>1261</v>
      </c>
      <c r="S1410" s="1">
        <v>1</v>
      </c>
      <c r="T1410" s="1">
        <v>4</v>
      </c>
      <c r="U1410" s="1">
        <v>1</v>
      </c>
      <c r="V1410" s="1">
        <v>0</v>
      </c>
      <c r="W1410" s="1">
        <v>0</v>
      </c>
      <c r="X1410" s="1">
        <v>0</v>
      </c>
    </row>
    <row r="1411" spans="1:24">
      <c r="A1411" s="1">
        <v>1410</v>
      </c>
      <c r="B1411" s="1" t="s">
        <v>24</v>
      </c>
      <c r="C1411" s="1" t="s">
        <v>25</v>
      </c>
      <c r="D1411" s="1" t="s">
        <v>43</v>
      </c>
      <c r="E1411" s="1" t="s">
        <v>27</v>
      </c>
      <c r="F1411" s="1" t="s">
        <v>56</v>
      </c>
      <c r="G1411" s="1">
        <v>1</v>
      </c>
      <c r="H1411" s="1" t="s">
        <v>29</v>
      </c>
      <c r="I1411" s="1" t="s">
        <v>54</v>
      </c>
      <c r="J1411" s="1" t="s">
        <v>31</v>
      </c>
      <c r="K1411" s="1" t="s">
        <v>33</v>
      </c>
      <c r="L1411" s="1">
        <v>29</v>
      </c>
      <c r="M1411" s="1">
        <v>9</v>
      </c>
      <c r="N1411" s="1" t="s">
        <v>47</v>
      </c>
      <c r="O1411" s="1">
        <v>2</v>
      </c>
      <c r="P1411" s="1">
        <v>1</v>
      </c>
      <c r="Q1411" s="1">
        <v>2</v>
      </c>
      <c r="R1411" s="1">
        <v>2760</v>
      </c>
      <c r="S1411" s="1">
        <v>2</v>
      </c>
      <c r="T1411" s="1">
        <v>3</v>
      </c>
      <c r="U1411" s="1">
        <v>2</v>
      </c>
      <c r="V1411" s="1">
        <v>2</v>
      </c>
      <c r="W1411" s="1">
        <v>2</v>
      </c>
      <c r="X1411" s="1">
        <v>2</v>
      </c>
    </row>
    <row r="1412" spans="1:24">
      <c r="A1412" s="1">
        <v>1411</v>
      </c>
      <c r="B1412" s="1" t="s">
        <v>24</v>
      </c>
      <c r="C1412" s="1" t="s">
        <v>34</v>
      </c>
      <c r="D1412" s="1" t="s">
        <v>43</v>
      </c>
      <c r="E1412" s="1" t="s">
        <v>36</v>
      </c>
      <c r="F1412" s="1" t="s">
        <v>28</v>
      </c>
      <c r="G1412" s="1">
        <v>1</v>
      </c>
      <c r="H1412" s="1" t="s">
        <v>37</v>
      </c>
      <c r="I1412" s="1" t="s">
        <v>42</v>
      </c>
      <c r="J1412" s="1" t="s">
        <v>39</v>
      </c>
      <c r="K1412" s="1" t="s">
        <v>33</v>
      </c>
      <c r="L1412" s="1">
        <v>34</v>
      </c>
      <c r="M1412" s="1">
        <v>9</v>
      </c>
      <c r="N1412" s="1" t="s">
        <v>44</v>
      </c>
      <c r="O1412" s="1">
        <v>4</v>
      </c>
      <c r="P1412" s="1">
        <v>2</v>
      </c>
      <c r="Q1412" s="1">
        <v>1</v>
      </c>
      <c r="R1412" s="1">
        <v>5346</v>
      </c>
      <c r="S1412" s="1">
        <v>11</v>
      </c>
      <c r="T1412" s="1">
        <v>2</v>
      </c>
      <c r="U1412" s="1">
        <v>7</v>
      </c>
      <c r="V1412" s="1">
        <v>1</v>
      </c>
      <c r="W1412" s="1">
        <v>0</v>
      </c>
      <c r="X1412" s="1">
        <v>7</v>
      </c>
    </row>
    <row r="1413" spans="1:24">
      <c r="A1413" s="1">
        <v>1412</v>
      </c>
      <c r="B1413" s="1" t="s">
        <v>24</v>
      </c>
      <c r="C1413" s="1" t="s">
        <v>34</v>
      </c>
      <c r="D1413" s="1" t="s">
        <v>43</v>
      </c>
      <c r="E1413" s="1" t="s">
        <v>36</v>
      </c>
      <c r="F1413" s="1" t="s">
        <v>45</v>
      </c>
      <c r="G1413" s="1">
        <v>1</v>
      </c>
      <c r="H1413" s="1" t="s">
        <v>37</v>
      </c>
      <c r="I1413" s="1" t="s">
        <v>42</v>
      </c>
      <c r="J1413" s="1" t="s">
        <v>31</v>
      </c>
      <c r="K1413" s="1" t="s">
        <v>33</v>
      </c>
      <c r="L1413" s="1">
        <v>28</v>
      </c>
      <c r="M1413" s="1">
        <v>2</v>
      </c>
      <c r="N1413" s="1" t="s">
        <v>32</v>
      </c>
      <c r="O1413" s="1">
        <v>3</v>
      </c>
      <c r="P1413" s="1">
        <v>1</v>
      </c>
      <c r="Q1413" s="1">
        <v>1</v>
      </c>
      <c r="R1413" s="1">
        <v>2561</v>
      </c>
      <c r="S1413" s="1">
        <v>8</v>
      </c>
      <c r="T1413" s="1">
        <v>2</v>
      </c>
      <c r="U1413" s="1">
        <v>0</v>
      </c>
      <c r="V1413" s="1">
        <v>0</v>
      </c>
      <c r="W1413" s="1">
        <v>0</v>
      </c>
      <c r="X1413" s="1">
        <v>0</v>
      </c>
    </row>
    <row r="1414" spans="1:24">
      <c r="A1414" s="1">
        <v>1413</v>
      </c>
      <c r="B1414" s="1" t="s">
        <v>24</v>
      </c>
      <c r="C1414" s="1" t="s">
        <v>34</v>
      </c>
      <c r="D1414" s="1" t="s">
        <v>35</v>
      </c>
      <c r="E1414" s="1" t="s">
        <v>27</v>
      </c>
      <c r="F1414" s="1" t="s">
        <v>28</v>
      </c>
      <c r="G1414" s="1">
        <v>1</v>
      </c>
      <c r="H1414" s="1" t="s">
        <v>37</v>
      </c>
      <c r="I1414" s="1" t="s">
        <v>30</v>
      </c>
      <c r="J1414" s="1" t="s">
        <v>48</v>
      </c>
      <c r="K1414" s="1" t="s">
        <v>33</v>
      </c>
      <c r="L1414" s="1">
        <v>50</v>
      </c>
      <c r="M1414" s="1">
        <v>1</v>
      </c>
      <c r="N1414" s="1" t="s">
        <v>44</v>
      </c>
      <c r="O1414" s="1">
        <v>2</v>
      </c>
      <c r="P1414" s="1">
        <v>2</v>
      </c>
      <c r="Q1414" s="1">
        <v>3</v>
      </c>
      <c r="R1414" s="1">
        <v>6728</v>
      </c>
      <c r="S1414" s="1">
        <v>12</v>
      </c>
      <c r="T1414" s="1">
        <v>3</v>
      </c>
      <c r="U1414" s="1">
        <v>6</v>
      </c>
      <c r="V1414" s="1">
        <v>3</v>
      </c>
      <c r="W1414" s="1">
        <v>0</v>
      </c>
      <c r="X1414" s="1">
        <v>1</v>
      </c>
    </row>
    <row r="1415" spans="1:24">
      <c r="A1415" s="1">
        <v>1414</v>
      </c>
      <c r="B1415" s="1" t="s">
        <v>24</v>
      </c>
      <c r="C1415" s="1" t="s">
        <v>34</v>
      </c>
      <c r="D1415" s="1" t="s">
        <v>35</v>
      </c>
      <c r="E1415" s="1" t="s">
        <v>27</v>
      </c>
      <c r="F1415" s="1" t="s">
        <v>28</v>
      </c>
      <c r="G1415" s="1">
        <v>1</v>
      </c>
      <c r="H1415" s="1" t="s">
        <v>37</v>
      </c>
      <c r="I1415" s="1" t="s">
        <v>30</v>
      </c>
      <c r="J1415" s="1" t="s">
        <v>39</v>
      </c>
      <c r="K1415" s="1" t="s">
        <v>33</v>
      </c>
      <c r="L1415" s="1">
        <v>47</v>
      </c>
      <c r="M1415" s="1">
        <v>9</v>
      </c>
      <c r="N1415" s="1" t="s">
        <v>47</v>
      </c>
      <c r="O1415" s="1">
        <v>3</v>
      </c>
      <c r="P1415" s="1">
        <v>4</v>
      </c>
      <c r="Q1415" s="1">
        <v>3</v>
      </c>
      <c r="R1415" s="1">
        <v>12936</v>
      </c>
      <c r="S1415" s="1">
        <v>25</v>
      </c>
      <c r="T1415" s="1">
        <v>1</v>
      </c>
      <c r="U1415" s="1">
        <v>23</v>
      </c>
      <c r="V1415" s="1">
        <v>5</v>
      </c>
      <c r="W1415" s="1">
        <v>14</v>
      </c>
      <c r="X1415" s="1">
        <v>10</v>
      </c>
    </row>
    <row r="1416" spans="1:24">
      <c r="A1416" s="1">
        <v>1415</v>
      </c>
      <c r="B1416" s="1" t="s">
        <v>24</v>
      </c>
      <c r="C1416" s="1" t="s">
        <v>34</v>
      </c>
      <c r="D1416" s="1" t="s">
        <v>43</v>
      </c>
      <c r="E1416" s="1" t="s">
        <v>27</v>
      </c>
      <c r="F1416" s="1" t="s">
        <v>57</v>
      </c>
      <c r="G1416" s="1">
        <v>1</v>
      </c>
      <c r="H1416" s="1" t="s">
        <v>37</v>
      </c>
      <c r="I1416" s="1" t="s">
        <v>54</v>
      </c>
      <c r="J1416" s="1" t="s">
        <v>39</v>
      </c>
      <c r="K1416" s="1" t="s">
        <v>33</v>
      </c>
      <c r="L1416" s="1">
        <v>28</v>
      </c>
      <c r="M1416" s="1">
        <v>1</v>
      </c>
      <c r="N1416" s="1" t="s">
        <v>47</v>
      </c>
      <c r="O1416" s="1">
        <v>1</v>
      </c>
      <c r="P1416" s="1">
        <v>1</v>
      </c>
      <c r="Q1416" s="1">
        <v>3</v>
      </c>
      <c r="R1416" s="1">
        <v>2909</v>
      </c>
      <c r="S1416" s="1">
        <v>5</v>
      </c>
      <c r="T1416" s="1">
        <v>4</v>
      </c>
      <c r="U1416" s="1">
        <v>3</v>
      </c>
      <c r="V1416" s="1">
        <v>2</v>
      </c>
      <c r="W1416" s="1">
        <v>1</v>
      </c>
      <c r="X1416" s="1">
        <v>2</v>
      </c>
    </row>
    <row r="1417" spans="1:24">
      <c r="A1417" s="1">
        <v>1416</v>
      </c>
      <c r="B1417" s="1" t="s">
        <v>24</v>
      </c>
      <c r="C1417" s="1" t="s">
        <v>34</v>
      </c>
      <c r="D1417" s="1" t="s">
        <v>52</v>
      </c>
      <c r="E1417" s="1" t="s">
        <v>27</v>
      </c>
      <c r="F1417" s="1" t="s">
        <v>56</v>
      </c>
      <c r="G1417" s="1">
        <v>1</v>
      </c>
      <c r="H1417" s="1" t="s">
        <v>37</v>
      </c>
      <c r="I1417" s="1" t="s">
        <v>54</v>
      </c>
      <c r="J1417" s="1" t="s">
        <v>39</v>
      </c>
      <c r="K1417" s="1" t="s">
        <v>33</v>
      </c>
      <c r="L1417" s="1">
        <v>23</v>
      </c>
      <c r="M1417" s="1">
        <v>9</v>
      </c>
      <c r="N1417" s="1" t="s">
        <v>47</v>
      </c>
      <c r="O1417" s="1">
        <v>4</v>
      </c>
      <c r="P1417" s="1">
        <v>1</v>
      </c>
      <c r="Q1417" s="1">
        <v>1</v>
      </c>
      <c r="R1417" s="1">
        <v>1790</v>
      </c>
      <c r="S1417" s="1">
        <v>1</v>
      </c>
      <c r="T1417" s="1">
        <v>2</v>
      </c>
      <c r="U1417" s="1">
        <v>1</v>
      </c>
      <c r="V1417" s="1">
        <v>0</v>
      </c>
      <c r="W1417" s="1">
        <v>1</v>
      </c>
      <c r="X1417" s="1">
        <v>0</v>
      </c>
    </row>
    <row r="1418" spans="1:24">
      <c r="A1418" s="1">
        <v>1417</v>
      </c>
      <c r="B1418" s="1" t="s">
        <v>24</v>
      </c>
      <c r="C1418" s="1" t="s">
        <v>34</v>
      </c>
      <c r="D1418" s="1" t="s">
        <v>43</v>
      </c>
      <c r="E1418" s="1" t="s">
        <v>27</v>
      </c>
      <c r="F1418" s="1" t="s">
        <v>57</v>
      </c>
      <c r="G1418" s="1">
        <v>1</v>
      </c>
      <c r="H1418" s="1" t="s">
        <v>37</v>
      </c>
      <c r="I1418" s="1" t="s">
        <v>54</v>
      </c>
      <c r="J1418" s="1" t="s">
        <v>31</v>
      </c>
      <c r="K1418" s="1" t="s">
        <v>33</v>
      </c>
      <c r="L1418" s="1">
        <v>29</v>
      </c>
      <c r="M1418" s="1">
        <v>24</v>
      </c>
      <c r="N1418" s="1" t="s">
        <v>47</v>
      </c>
      <c r="O1418" s="1">
        <v>3</v>
      </c>
      <c r="P1418" s="1">
        <v>1</v>
      </c>
      <c r="Q1418" s="1">
        <v>1</v>
      </c>
      <c r="R1418" s="1">
        <v>1091</v>
      </c>
      <c r="S1418" s="1">
        <v>1</v>
      </c>
      <c r="T1418" s="1">
        <v>3</v>
      </c>
      <c r="U1418" s="1">
        <v>1</v>
      </c>
      <c r="V1418" s="1">
        <v>0</v>
      </c>
      <c r="W1418" s="1">
        <v>0</v>
      </c>
      <c r="X1418" s="1">
        <v>0</v>
      </c>
    </row>
    <row r="1419" spans="1:24">
      <c r="A1419" s="1">
        <v>1418</v>
      </c>
      <c r="B1419" s="1" t="s">
        <v>24</v>
      </c>
      <c r="C1419" s="1" t="s">
        <v>25</v>
      </c>
      <c r="D1419" s="1" t="s">
        <v>43</v>
      </c>
      <c r="E1419" s="1" t="s">
        <v>59</v>
      </c>
      <c r="F1419" s="1" t="s">
        <v>60</v>
      </c>
      <c r="G1419" s="1">
        <v>1</v>
      </c>
      <c r="H1419" s="1" t="s">
        <v>37</v>
      </c>
      <c r="I1419" s="1" t="s">
        <v>60</v>
      </c>
      <c r="J1419" s="1" t="s">
        <v>39</v>
      </c>
      <c r="K1419" s="1" t="s">
        <v>33</v>
      </c>
      <c r="L1419" s="1">
        <v>31</v>
      </c>
      <c r="M1419" s="1">
        <v>18</v>
      </c>
      <c r="N1419" s="1" t="s">
        <v>58</v>
      </c>
      <c r="O1419" s="1">
        <v>4</v>
      </c>
      <c r="P1419" s="1">
        <v>1</v>
      </c>
      <c r="Q1419" s="1">
        <v>1</v>
      </c>
      <c r="R1419" s="1">
        <v>2956</v>
      </c>
      <c r="S1419" s="1">
        <v>2</v>
      </c>
      <c r="T1419" s="1">
        <v>3</v>
      </c>
      <c r="U1419" s="1">
        <v>1</v>
      </c>
      <c r="V1419" s="1">
        <v>0</v>
      </c>
      <c r="W1419" s="1">
        <v>0</v>
      </c>
      <c r="X1419" s="1">
        <v>0</v>
      </c>
    </row>
    <row r="1420" spans="1:24">
      <c r="A1420" s="1">
        <v>1419</v>
      </c>
      <c r="B1420" s="1" t="s">
        <v>24</v>
      </c>
      <c r="C1420" s="1" t="s">
        <v>25</v>
      </c>
      <c r="D1420" s="1" t="s">
        <v>52</v>
      </c>
      <c r="E1420" s="1" t="s">
        <v>59</v>
      </c>
      <c r="F1420" s="1" t="s">
        <v>60</v>
      </c>
      <c r="G1420" s="1">
        <v>1</v>
      </c>
      <c r="H1420" s="1" t="s">
        <v>37</v>
      </c>
      <c r="I1420" s="1" t="s">
        <v>60</v>
      </c>
      <c r="J1420" s="1" t="s">
        <v>39</v>
      </c>
      <c r="K1420" s="1" t="s">
        <v>33</v>
      </c>
      <c r="L1420" s="1">
        <v>24</v>
      </c>
      <c r="M1420" s="1">
        <v>22</v>
      </c>
      <c r="N1420" s="1" t="s">
        <v>40</v>
      </c>
      <c r="O1420" s="1">
        <v>4</v>
      </c>
      <c r="P1420" s="1">
        <v>1</v>
      </c>
      <c r="Q1420" s="1">
        <v>3</v>
      </c>
      <c r="R1420" s="1">
        <v>1555</v>
      </c>
      <c r="S1420" s="1">
        <v>1</v>
      </c>
      <c r="T1420" s="1">
        <v>3</v>
      </c>
      <c r="U1420" s="1">
        <v>1</v>
      </c>
      <c r="V1420" s="1">
        <v>0</v>
      </c>
      <c r="W1420" s="1">
        <v>0</v>
      </c>
      <c r="X1420" s="1">
        <v>0</v>
      </c>
    </row>
    <row r="1421" spans="1:24">
      <c r="A1421" s="1">
        <v>1420</v>
      </c>
      <c r="B1421" s="1" t="s">
        <v>24</v>
      </c>
      <c r="C1421" s="1" t="s">
        <v>25</v>
      </c>
      <c r="D1421" s="1" t="s">
        <v>43</v>
      </c>
      <c r="E1421" s="1" t="s">
        <v>36</v>
      </c>
      <c r="F1421" s="1" t="s">
        <v>57</v>
      </c>
      <c r="G1421" s="1">
        <v>1</v>
      </c>
      <c r="H1421" s="1" t="s">
        <v>37</v>
      </c>
      <c r="I1421" s="1" t="s">
        <v>42</v>
      </c>
      <c r="J1421" s="1" t="s">
        <v>48</v>
      </c>
      <c r="K1421" s="1" t="s">
        <v>33</v>
      </c>
      <c r="L1421" s="1">
        <v>28</v>
      </c>
      <c r="M1421" s="1">
        <v>17</v>
      </c>
      <c r="N1421" s="1" t="s">
        <v>47</v>
      </c>
      <c r="O1421" s="1">
        <v>3</v>
      </c>
      <c r="P1421" s="1">
        <v>1</v>
      </c>
      <c r="Q1421" s="1">
        <v>4</v>
      </c>
      <c r="R1421" s="1">
        <v>2367</v>
      </c>
      <c r="S1421" s="1">
        <v>6</v>
      </c>
      <c r="T1421" s="1">
        <v>2</v>
      </c>
      <c r="U1421" s="1">
        <v>4</v>
      </c>
      <c r="V1421" s="1">
        <v>1</v>
      </c>
      <c r="W1421" s="1">
        <v>0</v>
      </c>
      <c r="X1421" s="1">
        <v>3</v>
      </c>
    </row>
    <row r="1422" spans="1:24">
      <c r="A1422" s="1">
        <v>1421</v>
      </c>
      <c r="B1422" s="1" t="s">
        <v>24</v>
      </c>
      <c r="C1422" s="1" t="s">
        <v>25</v>
      </c>
      <c r="D1422" s="1" t="s">
        <v>46</v>
      </c>
      <c r="E1422" s="1" t="s">
        <v>36</v>
      </c>
      <c r="F1422" s="1" t="s">
        <v>57</v>
      </c>
      <c r="G1422" s="1">
        <v>1</v>
      </c>
      <c r="H1422" s="1" t="s">
        <v>37</v>
      </c>
      <c r="I1422" s="1" t="s">
        <v>42</v>
      </c>
      <c r="J1422" s="1" t="s">
        <v>39</v>
      </c>
      <c r="K1422" s="1" t="s">
        <v>33</v>
      </c>
      <c r="L1422" s="1">
        <v>56</v>
      </c>
      <c r="M1422" s="1">
        <v>7</v>
      </c>
      <c r="N1422" s="1" t="s">
        <v>32</v>
      </c>
      <c r="O1422" s="1">
        <v>4</v>
      </c>
      <c r="P1422" s="1">
        <v>1</v>
      </c>
      <c r="Q1422" s="1">
        <v>3</v>
      </c>
      <c r="R1422" s="1">
        <v>2339</v>
      </c>
      <c r="S1422" s="1">
        <v>14</v>
      </c>
      <c r="T1422" s="1">
        <v>1</v>
      </c>
      <c r="U1422" s="1">
        <v>10</v>
      </c>
      <c r="V1422" s="1">
        <v>9</v>
      </c>
      <c r="W1422" s="1">
        <v>9</v>
      </c>
      <c r="X1422" s="1">
        <v>8</v>
      </c>
    </row>
    <row r="1423" spans="1:24">
      <c r="A1423" s="1">
        <v>1422</v>
      </c>
      <c r="B1423" s="1" t="s">
        <v>24</v>
      </c>
      <c r="C1423" s="1" t="s">
        <v>25</v>
      </c>
      <c r="D1423" s="1" t="s">
        <v>26</v>
      </c>
      <c r="E1423" s="1" t="s">
        <v>36</v>
      </c>
      <c r="F1423" s="1" t="s">
        <v>45</v>
      </c>
      <c r="G1423" s="1">
        <v>1</v>
      </c>
      <c r="H1423" s="1" t="s">
        <v>37</v>
      </c>
      <c r="I1423" s="1" t="s">
        <v>49</v>
      </c>
      <c r="J1423" s="1" t="s">
        <v>39</v>
      </c>
      <c r="K1423" s="1" t="s">
        <v>33</v>
      </c>
      <c r="L1423" s="1">
        <v>38</v>
      </c>
      <c r="M1423" s="1">
        <v>2</v>
      </c>
      <c r="N1423" s="1" t="s">
        <v>47</v>
      </c>
      <c r="O1423" s="1">
        <v>3</v>
      </c>
      <c r="P1423" s="1">
        <v>2</v>
      </c>
      <c r="Q1423" s="1">
        <v>2</v>
      </c>
      <c r="R1423" s="1">
        <v>4855</v>
      </c>
      <c r="S1423" s="1">
        <v>7</v>
      </c>
      <c r="T1423" s="1">
        <v>3</v>
      </c>
      <c r="U1423" s="1">
        <v>5</v>
      </c>
      <c r="V1423" s="1">
        <v>2</v>
      </c>
      <c r="W1423" s="1">
        <v>1</v>
      </c>
      <c r="X1423" s="1">
        <v>4</v>
      </c>
    </row>
    <row r="1424" spans="1:24">
      <c r="A1424" s="1">
        <v>1423</v>
      </c>
      <c r="B1424" s="1" t="s">
        <v>24</v>
      </c>
      <c r="C1424" s="1" t="s">
        <v>25</v>
      </c>
      <c r="D1424" s="1" t="s">
        <v>43</v>
      </c>
      <c r="E1424" s="1" t="s">
        <v>36</v>
      </c>
      <c r="F1424" s="1" t="s">
        <v>57</v>
      </c>
      <c r="G1424" s="1">
        <v>1</v>
      </c>
      <c r="H1424" s="1" t="s">
        <v>37</v>
      </c>
      <c r="I1424" s="1" t="s">
        <v>38</v>
      </c>
      <c r="J1424" s="1" t="s">
        <v>31</v>
      </c>
      <c r="K1424" s="1" t="s">
        <v>33</v>
      </c>
      <c r="L1424" s="1">
        <v>29</v>
      </c>
      <c r="M1424" s="1">
        <v>1</v>
      </c>
      <c r="N1424" s="1" t="s">
        <v>44</v>
      </c>
      <c r="O1424" s="1">
        <v>1</v>
      </c>
      <c r="P1424" s="1">
        <v>1</v>
      </c>
      <c r="Q1424" s="1">
        <v>1</v>
      </c>
      <c r="R1424" s="1">
        <v>2362</v>
      </c>
      <c r="S1424" s="1">
        <v>11</v>
      </c>
      <c r="T1424" s="1">
        <v>1</v>
      </c>
      <c r="U1424" s="1">
        <v>9</v>
      </c>
      <c r="V1424" s="1">
        <v>7</v>
      </c>
      <c r="W1424" s="1">
        <v>0</v>
      </c>
      <c r="X1424" s="1">
        <v>7</v>
      </c>
    </row>
    <row r="1425" spans="1:24">
      <c r="A1425" s="1">
        <v>1424</v>
      </c>
      <c r="B1425" s="1" t="s">
        <v>24</v>
      </c>
      <c r="C1425" s="1" t="s">
        <v>25</v>
      </c>
      <c r="D1425" s="1" t="s">
        <v>46</v>
      </c>
      <c r="E1425" s="1" t="s">
        <v>36</v>
      </c>
      <c r="F1425" s="1" t="s">
        <v>28</v>
      </c>
      <c r="G1425" s="1">
        <v>1</v>
      </c>
      <c r="H1425" s="1" t="s">
        <v>37</v>
      </c>
      <c r="I1425" s="1" t="s">
        <v>42</v>
      </c>
      <c r="J1425" s="1" t="s">
        <v>31</v>
      </c>
      <c r="K1425" s="1" t="s">
        <v>33</v>
      </c>
      <c r="L1425" s="1">
        <v>56</v>
      </c>
      <c r="M1425" s="1">
        <v>24</v>
      </c>
      <c r="N1425" s="1" t="s">
        <v>32</v>
      </c>
      <c r="O1425" s="1">
        <v>1</v>
      </c>
      <c r="P1425" s="1">
        <v>1</v>
      </c>
      <c r="Q1425" s="1">
        <v>4</v>
      </c>
      <c r="R1425" s="1">
        <v>2587</v>
      </c>
      <c r="S1425" s="1">
        <v>5</v>
      </c>
      <c r="T1425" s="1">
        <v>3</v>
      </c>
      <c r="U1425" s="1">
        <v>4</v>
      </c>
      <c r="V1425" s="1">
        <v>2</v>
      </c>
      <c r="W1425" s="1">
        <v>1</v>
      </c>
      <c r="X1425" s="1">
        <v>0</v>
      </c>
    </row>
    <row r="1426" spans="1:24">
      <c r="A1426" s="1">
        <v>1425</v>
      </c>
      <c r="B1426" s="1" t="s">
        <v>24</v>
      </c>
      <c r="C1426" s="1" t="s">
        <v>25</v>
      </c>
      <c r="D1426" s="1" t="s">
        <v>26</v>
      </c>
      <c r="E1426" s="1" t="s">
        <v>36</v>
      </c>
      <c r="F1426" s="1" t="s">
        <v>28</v>
      </c>
      <c r="G1426" s="1">
        <v>1</v>
      </c>
      <c r="H1426" s="1" t="s">
        <v>37</v>
      </c>
      <c r="I1426" s="1" t="s">
        <v>42</v>
      </c>
      <c r="J1426" s="1" t="s">
        <v>31</v>
      </c>
      <c r="K1426" s="1" t="s">
        <v>33</v>
      </c>
      <c r="L1426" s="1">
        <v>40</v>
      </c>
      <c r="M1426" s="1">
        <v>9</v>
      </c>
      <c r="N1426" s="1" t="s">
        <v>44</v>
      </c>
      <c r="O1426" s="1">
        <v>4</v>
      </c>
      <c r="P1426" s="1">
        <v>1</v>
      </c>
      <c r="Q1426" s="1">
        <v>1</v>
      </c>
      <c r="R1426" s="1">
        <v>2018</v>
      </c>
      <c r="S1426" s="1">
        <v>15</v>
      </c>
      <c r="T1426" s="1">
        <v>1</v>
      </c>
      <c r="U1426" s="1">
        <v>5</v>
      </c>
      <c r="V1426" s="1">
        <v>4</v>
      </c>
      <c r="W1426" s="1">
        <v>1</v>
      </c>
      <c r="X1426" s="1">
        <v>0</v>
      </c>
    </row>
    <row r="1427" spans="1:24">
      <c r="A1427" s="1">
        <v>1426</v>
      </c>
      <c r="B1427" s="1" t="s">
        <v>24</v>
      </c>
      <c r="C1427" s="1" t="s">
        <v>25</v>
      </c>
      <c r="D1427" s="1" t="s">
        <v>26</v>
      </c>
      <c r="E1427" s="1" t="s">
        <v>36</v>
      </c>
      <c r="F1427" s="1" t="s">
        <v>45</v>
      </c>
      <c r="G1427" s="1">
        <v>1</v>
      </c>
      <c r="H1427" s="1" t="s">
        <v>37</v>
      </c>
      <c r="I1427" s="1" t="s">
        <v>49</v>
      </c>
      <c r="J1427" s="1" t="s">
        <v>31</v>
      </c>
      <c r="K1427" s="1" t="s">
        <v>33</v>
      </c>
      <c r="L1427" s="1">
        <v>37</v>
      </c>
      <c r="M1427" s="1">
        <v>10</v>
      </c>
      <c r="N1427" s="1" t="s">
        <v>44</v>
      </c>
      <c r="O1427" s="1">
        <v>4</v>
      </c>
      <c r="P1427" s="1">
        <v>2</v>
      </c>
      <c r="Q1427" s="1">
        <v>1</v>
      </c>
      <c r="R1427" s="1">
        <v>4213</v>
      </c>
      <c r="S1427" s="1">
        <v>10</v>
      </c>
      <c r="T1427" s="1">
        <v>1</v>
      </c>
      <c r="U1427" s="1">
        <v>10</v>
      </c>
      <c r="V1427" s="1">
        <v>3</v>
      </c>
      <c r="W1427" s="1">
        <v>0</v>
      </c>
      <c r="X1427" s="1">
        <v>8</v>
      </c>
    </row>
    <row r="1428" spans="1:24">
      <c r="A1428" s="1">
        <v>1427</v>
      </c>
      <c r="B1428" s="1" t="s">
        <v>24</v>
      </c>
      <c r="C1428" s="1" t="s">
        <v>25</v>
      </c>
      <c r="D1428" s="1" t="s">
        <v>43</v>
      </c>
      <c r="E1428" s="1" t="s">
        <v>36</v>
      </c>
      <c r="F1428" s="1" t="s">
        <v>28</v>
      </c>
      <c r="G1428" s="1">
        <v>1</v>
      </c>
      <c r="H1428" s="1" t="s">
        <v>37</v>
      </c>
      <c r="I1428" s="1" t="s">
        <v>42</v>
      </c>
      <c r="J1428" s="1" t="s">
        <v>31</v>
      </c>
      <c r="K1428" s="1" t="s">
        <v>33</v>
      </c>
      <c r="L1428" s="1">
        <v>32</v>
      </c>
      <c r="M1428" s="1">
        <v>2</v>
      </c>
      <c r="N1428" s="1" t="s">
        <v>44</v>
      </c>
      <c r="O1428" s="1">
        <v>4</v>
      </c>
      <c r="P1428" s="1">
        <v>1</v>
      </c>
      <c r="Q1428" s="1">
        <v>2</v>
      </c>
      <c r="R1428" s="1">
        <v>1393</v>
      </c>
      <c r="S1428" s="1">
        <v>1</v>
      </c>
      <c r="T1428" s="1">
        <v>3</v>
      </c>
      <c r="U1428" s="1">
        <v>1</v>
      </c>
      <c r="V1428" s="1">
        <v>0</v>
      </c>
      <c r="W1428" s="1">
        <v>0</v>
      </c>
      <c r="X1428" s="1">
        <v>0</v>
      </c>
    </row>
    <row r="1429" spans="1:24">
      <c r="A1429" s="1">
        <v>1428</v>
      </c>
      <c r="B1429" s="1" t="s">
        <v>24</v>
      </c>
      <c r="C1429" s="1" t="s">
        <v>25</v>
      </c>
      <c r="D1429" s="1" t="s">
        <v>35</v>
      </c>
      <c r="E1429" s="1" t="s">
        <v>27</v>
      </c>
      <c r="F1429" s="1" t="s">
        <v>56</v>
      </c>
      <c r="G1429" s="1">
        <v>1</v>
      </c>
      <c r="H1429" s="1" t="s">
        <v>37</v>
      </c>
      <c r="I1429" s="1" t="s">
        <v>30</v>
      </c>
      <c r="J1429" s="1" t="s">
        <v>48</v>
      </c>
      <c r="K1429" s="1" t="s">
        <v>33</v>
      </c>
      <c r="L1429" s="1">
        <v>46</v>
      </c>
      <c r="M1429" s="1">
        <v>9</v>
      </c>
      <c r="N1429" s="1" t="s">
        <v>47</v>
      </c>
      <c r="O1429" s="1">
        <v>1</v>
      </c>
      <c r="P1429" s="1">
        <v>3</v>
      </c>
      <c r="Q1429" s="1">
        <v>4</v>
      </c>
      <c r="R1429" s="1">
        <v>10096</v>
      </c>
      <c r="S1429" s="1">
        <v>28</v>
      </c>
      <c r="T1429" s="1">
        <v>4</v>
      </c>
      <c r="U1429" s="1">
        <v>7</v>
      </c>
      <c r="V1429" s="1">
        <v>7</v>
      </c>
      <c r="W1429" s="1">
        <v>4</v>
      </c>
      <c r="X1429" s="1">
        <v>3</v>
      </c>
    </row>
    <row r="1430" spans="1:24">
      <c r="A1430" s="1">
        <v>1429</v>
      </c>
      <c r="B1430" s="1" t="s">
        <v>24</v>
      </c>
      <c r="C1430" s="1" t="s">
        <v>25</v>
      </c>
      <c r="D1430" s="1" t="s">
        <v>43</v>
      </c>
      <c r="E1430" s="1" t="s">
        <v>27</v>
      </c>
      <c r="F1430" s="1" t="s">
        <v>28</v>
      </c>
      <c r="G1430" s="1">
        <v>1</v>
      </c>
      <c r="H1430" s="1" t="s">
        <v>37</v>
      </c>
      <c r="I1430" s="1" t="s">
        <v>54</v>
      </c>
      <c r="J1430" s="1" t="s">
        <v>39</v>
      </c>
      <c r="K1430" s="1" t="s">
        <v>33</v>
      </c>
      <c r="L1430" s="1">
        <v>25</v>
      </c>
      <c r="M1430" s="1">
        <v>9</v>
      </c>
      <c r="N1430" s="1" t="s">
        <v>32</v>
      </c>
      <c r="O1430" s="1">
        <v>1</v>
      </c>
      <c r="P1430" s="1">
        <v>1</v>
      </c>
      <c r="Q1430" s="1">
        <v>1</v>
      </c>
      <c r="R1430" s="1">
        <v>4400</v>
      </c>
      <c r="S1430" s="1">
        <v>6</v>
      </c>
      <c r="T1430" s="1">
        <v>3</v>
      </c>
      <c r="U1430" s="1">
        <v>3</v>
      </c>
      <c r="V1430" s="1">
        <v>2</v>
      </c>
      <c r="W1430" s="1">
        <v>2</v>
      </c>
      <c r="X1430" s="1">
        <v>2</v>
      </c>
    </row>
    <row r="1431" spans="1:24">
      <c r="A1431" s="1">
        <v>1430</v>
      </c>
      <c r="B1431" s="1" t="s">
        <v>24</v>
      </c>
      <c r="C1431" s="1" t="s">
        <v>25</v>
      </c>
      <c r="D1431" s="1" t="s">
        <v>26</v>
      </c>
      <c r="E1431" s="1" t="s">
        <v>27</v>
      </c>
      <c r="F1431" s="1" t="s">
        <v>45</v>
      </c>
      <c r="G1431" s="1">
        <v>1</v>
      </c>
      <c r="H1431" s="1" t="s">
        <v>37</v>
      </c>
      <c r="I1431" s="1" t="s">
        <v>30</v>
      </c>
      <c r="J1431" s="1" t="s">
        <v>39</v>
      </c>
      <c r="K1431" s="1" t="s">
        <v>33</v>
      </c>
      <c r="L1431" s="1">
        <v>35</v>
      </c>
      <c r="M1431" s="1">
        <v>10</v>
      </c>
      <c r="N1431" s="1" t="s">
        <v>47</v>
      </c>
      <c r="O1431" s="1">
        <v>4</v>
      </c>
      <c r="P1431" s="1">
        <v>3</v>
      </c>
      <c r="Q1431" s="1">
        <v>1</v>
      </c>
      <c r="R1431" s="1">
        <v>10306</v>
      </c>
      <c r="S1431" s="1">
        <v>15</v>
      </c>
      <c r="T1431" s="1">
        <v>3</v>
      </c>
      <c r="U1431" s="1">
        <v>13</v>
      </c>
      <c r="V1431" s="1">
        <v>12</v>
      </c>
      <c r="W1431" s="1">
        <v>6</v>
      </c>
      <c r="X1431" s="1">
        <v>0</v>
      </c>
    </row>
    <row r="1432" spans="1:24">
      <c r="A1432" s="1">
        <v>1431</v>
      </c>
      <c r="B1432" s="1" t="s">
        <v>24</v>
      </c>
      <c r="C1432" s="1" t="s">
        <v>25</v>
      </c>
      <c r="D1432" s="1" t="s">
        <v>43</v>
      </c>
      <c r="E1432" s="1" t="s">
        <v>27</v>
      </c>
      <c r="F1432" s="1" t="s">
        <v>28</v>
      </c>
      <c r="G1432" s="1">
        <v>1</v>
      </c>
      <c r="H1432" s="1" t="s">
        <v>37</v>
      </c>
      <c r="I1432" s="1" t="s">
        <v>30</v>
      </c>
      <c r="J1432" s="1" t="s">
        <v>39</v>
      </c>
      <c r="K1432" s="1" t="s">
        <v>33</v>
      </c>
      <c r="L1432" s="1">
        <v>30</v>
      </c>
      <c r="M1432" s="1">
        <v>1</v>
      </c>
      <c r="N1432" s="1" t="s">
        <v>47</v>
      </c>
      <c r="O1432" s="1">
        <v>2</v>
      </c>
      <c r="P1432" s="1">
        <v>2</v>
      </c>
      <c r="Q1432" s="1">
        <v>1</v>
      </c>
      <c r="R1432" s="1">
        <v>9714</v>
      </c>
      <c r="S1432" s="1">
        <v>10</v>
      </c>
      <c r="T1432" s="1">
        <v>3</v>
      </c>
      <c r="U1432" s="1">
        <v>10</v>
      </c>
      <c r="V1432" s="1">
        <v>8</v>
      </c>
      <c r="W1432" s="1">
        <v>6</v>
      </c>
      <c r="X1432" s="1">
        <v>7</v>
      </c>
    </row>
    <row r="1433" spans="1:24">
      <c r="A1433" s="1">
        <v>1432</v>
      </c>
      <c r="B1433" s="1" t="s">
        <v>24</v>
      </c>
      <c r="C1433" s="1" t="s">
        <v>25</v>
      </c>
      <c r="D1433" s="1" t="s">
        <v>43</v>
      </c>
      <c r="E1433" s="1" t="s">
        <v>27</v>
      </c>
      <c r="F1433" s="1" t="s">
        <v>56</v>
      </c>
      <c r="G1433" s="1">
        <v>1</v>
      </c>
      <c r="H1433" s="1" t="s">
        <v>37</v>
      </c>
      <c r="I1433" s="1" t="s">
        <v>30</v>
      </c>
      <c r="J1433" s="1" t="s">
        <v>39</v>
      </c>
      <c r="K1433" s="1" t="s">
        <v>33</v>
      </c>
      <c r="L1433" s="1">
        <v>31</v>
      </c>
      <c r="M1433" s="1">
        <v>16</v>
      </c>
      <c r="N1433" s="1" t="s">
        <v>44</v>
      </c>
      <c r="O1433" s="1">
        <v>1</v>
      </c>
      <c r="P1433" s="1">
        <v>3</v>
      </c>
      <c r="Q1433" s="1">
        <v>3</v>
      </c>
      <c r="R1433" s="1">
        <v>8161</v>
      </c>
      <c r="S1433" s="1">
        <v>10</v>
      </c>
      <c r="T1433" s="1">
        <v>3</v>
      </c>
      <c r="U1433" s="1">
        <v>1</v>
      </c>
      <c r="V1433" s="1">
        <v>0</v>
      </c>
      <c r="W1433" s="1">
        <v>0</v>
      </c>
      <c r="X1433" s="1">
        <v>0</v>
      </c>
    </row>
    <row r="1434" spans="1:24">
      <c r="A1434" s="1">
        <v>1433</v>
      </c>
      <c r="B1434" s="1" t="s">
        <v>24</v>
      </c>
      <c r="C1434" s="1" t="s">
        <v>25</v>
      </c>
      <c r="D1434" s="1" t="s">
        <v>43</v>
      </c>
      <c r="E1434" s="1" t="s">
        <v>27</v>
      </c>
      <c r="F1434" s="1" t="s">
        <v>28</v>
      </c>
      <c r="G1434" s="1">
        <v>1</v>
      </c>
      <c r="H1434" s="1" t="s">
        <v>37</v>
      </c>
      <c r="I1434" s="1" t="s">
        <v>30</v>
      </c>
      <c r="J1434" s="1" t="s">
        <v>31</v>
      </c>
      <c r="K1434" s="1" t="s">
        <v>33</v>
      </c>
      <c r="L1434" s="1">
        <v>32</v>
      </c>
      <c r="M1434" s="1">
        <v>1</v>
      </c>
      <c r="N1434" s="1" t="s">
        <v>32</v>
      </c>
      <c r="O1434" s="1">
        <v>1</v>
      </c>
      <c r="P1434" s="1">
        <v>2</v>
      </c>
      <c r="Q1434" s="1">
        <v>2</v>
      </c>
      <c r="R1434" s="1">
        <v>6735</v>
      </c>
      <c r="S1434" s="1">
        <v>10</v>
      </c>
      <c r="T1434" s="1">
        <v>3</v>
      </c>
      <c r="U1434" s="1">
        <v>0</v>
      </c>
      <c r="V1434" s="1">
        <v>0</v>
      </c>
      <c r="W1434" s="1">
        <v>0</v>
      </c>
      <c r="X1434" s="1">
        <v>0</v>
      </c>
    </row>
    <row r="1435" spans="1:24">
      <c r="A1435" s="1">
        <v>1434</v>
      </c>
      <c r="B1435" s="1" t="s">
        <v>24</v>
      </c>
      <c r="C1435" s="1" t="s">
        <v>25</v>
      </c>
      <c r="D1435" s="1" t="s">
        <v>52</v>
      </c>
      <c r="E1435" s="1" t="s">
        <v>27</v>
      </c>
      <c r="F1435" s="1" t="s">
        <v>56</v>
      </c>
      <c r="G1435" s="1">
        <v>1</v>
      </c>
      <c r="H1435" s="1" t="s">
        <v>37</v>
      </c>
      <c r="I1435" s="1" t="s">
        <v>54</v>
      </c>
      <c r="J1435" s="1" t="s">
        <v>31</v>
      </c>
      <c r="K1435" s="1" t="s">
        <v>33</v>
      </c>
      <c r="L1435" s="1">
        <v>21</v>
      </c>
      <c r="M1435" s="1">
        <v>7</v>
      </c>
      <c r="N1435" s="1" t="s">
        <v>40</v>
      </c>
      <c r="O1435" s="1">
        <v>2</v>
      </c>
      <c r="P1435" s="1">
        <v>1</v>
      </c>
      <c r="Q1435" s="1">
        <v>2</v>
      </c>
      <c r="R1435" s="1">
        <v>2679</v>
      </c>
      <c r="S1435" s="1">
        <v>1</v>
      </c>
      <c r="T1435" s="1">
        <v>3</v>
      </c>
      <c r="U1435" s="1">
        <v>1</v>
      </c>
      <c r="V1435" s="1">
        <v>0</v>
      </c>
      <c r="W1435" s="1">
        <v>1</v>
      </c>
      <c r="X1435" s="1">
        <v>0</v>
      </c>
    </row>
    <row r="1436" spans="1:24">
      <c r="A1436" s="1">
        <v>1435</v>
      </c>
      <c r="B1436" s="1" t="s">
        <v>24</v>
      </c>
      <c r="C1436" s="1" t="s">
        <v>25</v>
      </c>
      <c r="D1436" s="1" t="s">
        <v>43</v>
      </c>
      <c r="E1436" s="1" t="s">
        <v>27</v>
      </c>
      <c r="F1436" s="1" t="s">
        <v>45</v>
      </c>
      <c r="G1436" s="1">
        <v>1</v>
      </c>
      <c r="H1436" s="1" t="s">
        <v>37</v>
      </c>
      <c r="I1436" s="1" t="s">
        <v>54</v>
      </c>
      <c r="J1436" s="1" t="s">
        <v>31</v>
      </c>
      <c r="K1436" s="1" t="s">
        <v>33</v>
      </c>
      <c r="L1436" s="1">
        <v>30</v>
      </c>
      <c r="M1436" s="1">
        <v>9</v>
      </c>
      <c r="N1436" s="1" t="s">
        <v>47</v>
      </c>
      <c r="O1436" s="1">
        <v>2</v>
      </c>
      <c r="P1436" s="1">
        <v>1</v>
      </c>
      <c r="Q1436" s="1">
        <v>4</v>
      </c>
      <c r="R1436" s="1">
        <v>1081</v>
      </c>
      <c r="S1436" s="1">
        <v>1</v>
      </c>
      <c r="T1436" s="1">
        <v>2</v>
      </c>
      <c r="U1436" s="1">
        <v>1</v>
      </c>
      <c r="V1436" s="1">
        <v>0</v>
      </c>
      <c r="W1436" s="1">
        <v>0</v>
      </c>
      <c r="X1436" s="1">
        <v>0</v>
      </c>
    </row>
    <row r="1437" spans="1:24">
      <c r="A1437" s="1">
        <v>1436</v>
      </c>
      <c r="B1437" s="1" t="s">
        <v>24</v>
      </c>
      <c r="C1437" s="1" t="s">
        <v>34</v>
      </c>
      <c r="D1437" s="1" t="s">
        <v>43</v>
      </c>
      <c r="E1437" s="1" t="s">
        <v>36</v>
      </c>
      <c r="F1437" s="1" t="s">
        <v>28</v>
      </c>
      <c r="G1437" s="1">
        <v>1</v>
      </c>
      <c r="H1437" s="1" t="s">
        <v>29</v>
      </c>
      <c r="I1437" s="1" t="s">
        <v>38</v>
      </c>
      <c r="J1437" s="1" t="s">
        <v>31</v>
      </c>
      <c r="K1437" s="1" t="s">
        <v>24</v>
      </c>
      <c r="L1437" s="1">
        <v>32</v>
      </c>
      <c r="M1437" s="1">
        <v>5</v>
      </c>
      <c r="N1437" s="1" t="s">
        <v>32</v>
      </c>
      <c r="O1437" s="1">
        <v>1</v>
      </c>
      <c r="P1437" s="1">
        <v>1</v>
      </c>
      <c r="Q1437" s="1">
        <v>3</v>
      </c>
      <c r="R1437" s="1">
        <v>2432</v>
      </c>
      <c r="S1437" s="1">
        <v>8</v>
      </c>
      <c r="T1437" s="1">
        <v>3</v>
      </c>
      <c r="U1437" s="1">
        <v>4</v>
      </c>
      <c r="V1437" s="1">
        <v>1</v>
      </c>
      <c r="W1437" s="1">
        <v>0</v>
      </c>
      <c r="X1437" s="1">
        <v>3</v>
      </c>
    </row>
    <row r="1438" spans="1:24">
      <c r="A1438" s="1">
        <v>1437</v>
      </c>
      <c r="B1438" s="1" t="s">
        <v>24</v>
      </c>
      <c r="C1438" s="1" t="s">
        <v>34</v>
      </c>
      <c r="D1438" s="1" t="s">
        <v>43</v>
      </c>
      <c r="E1438" s="1" t="s">
        <v>36</v>
      </c>
      <c r="F1438" s="1" t="s">
        <v>41</v>
      </c>
      <c r="G1438" s="1">
        <v>1</v>
      </c>
      <c r="H1438" s="1" t="s">
        <v>29</v>
      </c>
      <c r="I1438" s="1" t="s">
        <v>50</v>
      </c>
      <c r="J1438" s="1" t="s">
        <v>31</v>
      </c>
      <c r="K1438" s="1" t="s">
        <v>24</v>
      </c>
      <c r="L1438" s="1">
        <v>29</v>
      </c>
      <c r="M1438" s="1">
        <v>14</v>
      </c>
      <c r="N1438" s="1" t="s">
        <v>40</v>
      </c>
      <c r="O1438" s="1">
        <v>3</v>
      </c>
      <c r="P1438" s="1">
        <v>3</v>
      </c>
      <c r="Q1438" s="1">
        <v>4</v>
      </c>
      <c r="R1438" s="1">
        <v>7553</v>
      </c>
      <c r="S1438" s="1">
        <v>9</v>
      </c>
      <c r="T1438" s="1">
        <v>3</v>
      </c>
      <c r="U1438" s="1">
        <v>8</v>
      </c>
      <c r="V1438" s="1">
        <v>7</v>
      </c>
      <c r="W1438" s="1">
        <v>7</v>
      </c>
      <c r="X1438" s="1">
        <v>7</v>
      </c>
    </row>
    <row r="1439" spans="1:24">
      <c r="A1439" s="1">
        <v>1438</v>
      </c>
      <c r="B1439" s="1" t="s">
        <v>24</v>
      </c>
      <c r="C1439" s="1" t="s">
        <v>34</v>
      </c>
      <c r="D1439" s="1" t="s">
        <v>35</v>
      </c>
      <c r="E1439" s="1" t="s">
        <v>27</v>
      </c>
      <c r="F1439" s="1" t="s">
        <v>45</v>
      </c>
      <c r="G1439" s="1">
        <v>1</v>
      </c>
      <c r="H1439" s="1" t="s">
        <v>29</v>
      </c>
      <c r="I1439" s="1" t="s">
        <v>54</v>
      </c>
      <c r="J1439" s="1" t="s">
        <v>39</v>
      </c>
      <c r="K1439" s="1" t="s">
        <v>24</v>
      </c>
      <c r="L1439" s="1">
        <v>48</v>
      </c>
      <c r="M1439" s="1">
        <v>7</v>
      </c>
      <c r="N1439" s="1" t="s">
        <v>32</v>
      </c>
      <c r="O1439" s="1">
        <v>4</v>
      </c>
      <c r="P1439" s="1">
        <v>1</v>
      </c>
      <c r="Q1439" s="1">
        <v>3</v>
      </c>
      <c r="R1439" s="1">
        <v>2655</v>
      </c>
      <c r="S1439" s="1">
        <v>19</v>
      </c>
      <c r="T1439" s="1">
        <v>3</v>
      </c>
      <c r="U1439" s="1">
        <v>9</v>
      </c>
      <c r="V1439" s="1">
        <v>7</v>
      </c>
      <c r="W1439" s="1">
        <v>7</v>
      </c>
      <c r="X1439" s="1">
        <v>7</v>
      </c>
    </row>
    <row r="1440" spans="1:24">
      <c r="A1440" s="1">
        <v>1439</v>
      </c>
      <c r="B1440" s="1" t="s">
        <v>24</v>
      </c>
      <c r="C1440" s="1" t="s">
        <v>34</v>
      </c>
      <c r="D1440" s="1" t="s">
        <v>52</v>
      </c>
      <c r="E1440" s="1" t="s">
        <v>27</v>
      </c>
      <c r="F1440" s="1" t="s">
        <v>45</v>
      </c>
      <c r="G1440" s="1">
        <v>1</v>
      </c>
      <c r="H1440" s="1" t="s">
        <v>29</v>
      </c>
      <c r="I1440" s="1" t="s">
        <v>54</v>
      </c>
      <c r="J1440" s="1" t="s">
        <v>31</v>
      </c>
      <c r="K1440" s="1" t="s">
        <v>24</v>
      </c>
      <c r="L1440" s="1">
        <v>18</v>
      </c>
      <c r="M1440" s="1">
        <v>3</v>
      </c>
      <c r="N1440" s="1" t="s">
        <v>32</v>
      </c>
      <c r="O1440" s="1">
        <v>2</v>
      </c>
      <c r="P1440" s="1">
        <v>1</v>
      </c>
      <c r="Q1440" s="1">
        <v>4</v>
      </c>
      <c r="R1440" s="1">
        <v>1569</v>
      </c>
      <c r="S1440" s="1">
        <v>0</v>
      </c>
      <c r="T1440" s="1">
        <v>4</v>
      </c>
      <c r="U1440" s="1">
        <v>0</v>
      </c>
      <c r="V1440" s="1">
        <v>0</v>
      </c>
      <c r="W1440" s="1">
        <v>0</v>
      </c>
      <c r="X1440" s="1">
        <v>0</v>
      </c>
    </row>
    <row r="1441" spans="1:24">
      <c r="A1441" s="1">
        <v>1440</v>
      </c>
      <c r="B1441" s="1" t="s">
        <v>24</v>
      </c>
      <c r="C1441" s="1" t="s">
        <v>25</v>
      </c>
      <c r="D1441" s="1" t="s">
        <v>43</v>
      </c>
      <c r="E1441" s="1" t="s">
        <v>59</v>
      </c>
      <c r="F1441" s="1" t="s">
        <v>45</v>
      </c>
      <c r="G1441" s="1">
        <v>1</v>
      </c>
      <c r="H1441" s="1" t="s">
        <v>29</v>
      </c>
      <c r="I1441" s="1" t="s">
        <v>60</v>
      </c>
      <c r="J1441" s="1" t="s">
        <v>39</v>
      </c>
      <c r="K1441" s="1" t="s">
        <v>24</v>
      </c>
      <c r="L1441" s="1">
        <v>26</v>
      </c>
      <c r="M1441" s="1">
        <v>20</v>
      </c>
      <c r="N1441" s="1" t="s">
        <v>32</v>
      </c>
      <c r="O1441" s="1">
        <v>4</v>
      </c>
      <c r="P1441" s="1">
        <v>1</v>
      </c>
      <c r="Q1441" s="1">
        <v>2</v>
      </c>
      <c r="R1441" s="1">
        <v>2148</v>
      </c>
      <c r="S1441" s="1">
        <v>6</v>
      </c>
      <c r="T1441" s="1">
        <v>3</v>
      </c>
      <c r="U1441" s="1">
        <v>5</v>
      </c>
      <c r="V1441" s="1">
        <v>1</v>
      </c>
      <c r="W1441" s="1">
        <v>1</v>
      </c>
      <c r="X1441" s="1">
        <v>4</v>
      </c>
    </row>
    <row r="1442" spans="1:24">
      <c r="A1442" s="1">
        <v>1441</v>
      </c>
      <c r="B1442" s="1" t="s">
        <v>24</v>
      </c>
      <c r="C1442" s="1" t="s">
        <v>25</v>
      </c>
      <c r="D1442" s="1" t="s">
        <v>26</v>
      </c>
      <c r="E1442" s="1" t="s">
        <v>36</v>
      </c>
      <c r="F1442" s="1" t="s">
        <v>28</v>
      </c>
      <c r="G1442" s="1">
        <v>1</v>
      </c>
      <c r="H1442" s="1" t="s">
        <v>29</v>
      </c>
      <c r="I1442" s="1" t="s">
        <v>42</v>
      </c>
      <c r="J1442" s="1" t="s">
        <v>48</v>
      </c>
      <c r="K1442" s="1" t="s">
        <v>24</v>
      </c>
      <c r="L1442" s="1">
        <v>35</v>
      </c>
      <c r="M1442" s="1">
        <v>2</v>
      </c>
      <c r="N1442" s="1" t="s">
        <v>47</v>
      </c>
      <c r="O1442" s="1">
        <v>1</v>
      </c>
      <c r="P1442" s="1">
        <v>1</v>
      </c>
      <c r="Q1442" s="1">
        <v>1</v>
      </c>
      <c r="R1442" s="1">
        <v>2074</v>
      </c>
      <c r="S1442" s="1">
        <v>1</v>
      </c>
      <c r="T1442" s="1">
        <v>3</v>
      </c>
      <c r="U1442" s="1">
        <v>1</v>
      </c>
      <c r="V1442" s="1">
        <v>0</v>
      </c>
      <c r="W1442" s="1">
        <v>0</v>
      </c>
      <c r="X1442" s="1">
        <v>0</v>
      </c>
    </row>
    <row r="1443" spans="1:24">
      <c r="A1443" s="1">
        <v>1442</v>
      </c>
      <c r="B1443" s="1" t="s">
        <v>24</v>
      </c>
      <c r="C1443" s="1" t="s">
        <v>25</v>
      </c>
      <c r="D1443" s="1" t="s">
        <v>52</v>
      </c>
      <c r="E1443" s="1" t="s">
        <v>36</v>
      </c>
      <c r="F1443" s="1" t="s">
        <v>45</v>
      </c>
      <c r="G1443" s="1">
        <v>1</v>
      </c>
      <c r="H1443" s="1" t="s">
        <v>29</v>
      </c>
      <c r="I1443" s="1" t="s">
        <v>42</v>
      </c>
      <c r="J1443" s="1" t="s">
        <v>39</v>
      </c>
      <c r="K1443" s="1" t="s">
        <v>24</v>
      </c>
      <c r="L1443" s="1">
        <v>22</v>
      </c>
      <c r="M1443" s="1">
        <v>8</v>
      </c>
      <c r="N1443" s="1" t="s">
        <v>40</v>
      </c>
      <c r="O1443" s="1">
        <v>3</v>
      </c>
      <c r="P1443" s="1">
        <v>1</v>
      </c>
      <c r="Q1443" s="1">
        <v>1</v>
      </c>
      <c r="R1443" s="1">
        <v>2398</v>
      </c>
      <c r="S1443" s="1">
        <v>1</v>
      </c>
      <c r="T1443" s="1">
        <v>3</v>
      </c>
      <c r="U1443" s="1">
        <v>1</v>
      </c>
      <c r="V1443" s="1">
        <v>0</v>
      </c>
      <c r="W1443" s="1">
        <v>0</v>
      </c>
      <c r="X1443" s="1">
        <v>0</v>
      </c>
    </row>
    <row r="1444" spans="1:24">
      <c r="A1444" s="1">
        <v>1443</v>
      </c>
      <c r="B1444" s="1" t="s">
        <v>24</v>
      </c>
      <c r="C1444" s="1" t="s">
        <v>25</v>
      </c>
      <c r="D1444" s="1" t="s">
        <v>43</v>
      </c>
      <c r="E1444" s="1" t="s">
        <v>27</v>
      </c>
      <c r="F1444" s="1" t="s">
        <v>56</v>
      </c>
      <c r="G1444" s="1">
        <v>1</v>
      </c>
      <c r="H1444" s="1" t="s">
        <v>29</v>
      </c>
      <c r="I1444" s="1" t="s">
        <v>30</v>
      </c>
      <c r="J1444" s="1" t="s">
        <v>31</v>
      </c>
      <c r="K1444" s="1" t="s">
        <v>24</v>
      </c>
      <c r="L1444" s="1">
        <v>28</v>
      </c>
      <c r="M1444" s="1">
        <v>13</v>
      </c>
      <c r="N1444" s="1" t="s">
        <v>32</v>
      </c>
      <c r="O1444" s="1">
        <v>4</v>
      </c>
      <c r="P1444" s="1">
        <v>2</v>
      </c>
      <c r="Q1444" s="1">
        <v>3</v>
      </c>
      <c r="R1444" s="1">
        <v>9854</v>
      </c>
      <c r="S1444" s="1">
        <v>6</v>
      </c>
      <c r="T1444" s="1">
        <v>3</v>
      </c>
      <c r="U1444" s="1">
        <v>2</v>
      </c>
      <c r="V1444" s="1">
        <v>0</v>
      </c>
      <c r="W1444" s="1">
        <v>2</v>
      </c>
      <c r="X1444" s="1">
        <v>2</v>
      </c>
    </row>
    <row r="1445" spans="1:24">
      <c r="A1445" s="1">
        <v>1444</v>
      </c>
      <c r="B1445" s="1" t="s">
        <v>24</v>
      </c>
      <c r="C1445" s="1" t="s">
        <v>34</v>
      </c>
      <c r="D1445" s="1" t="s">
        <v>26</v>
      </c>
      <c r="E1445" s="1" t="s">
        <v>36</v>
      </c>
      <c r="F1445" s="1" t="s">
        <v>45</v>
      </c>
      <c r="G1445" s="1">
        <v>1</v>
      </c>
      <c r="H1445" s="1" t="s">
        <v>37</v>
      </c>
      <c r="I1445" s="1" t="s">
        <v>38</v>
      </c>
      <c r="J1445" s="1" t="s">
        <v>48</v>
      </c>
      <c r="K1445" s="1" t="s">
        <v>24</v>
      </c>
      <c r="L1445" s="1">
        <v>44</v>
      </c>
      <c r="M1445" s="1">
        <v>1</v>
      </c>
      <c r="N1445" s="1" t="s">
        <v>32</v>
      </c>
      <c r="O1445" s="1">
        <v>3</v>
      </c>
      <c r="P1445" s="1">
        <v>1</v>
      </c>
      <c r="Q1445" s="1">
        <v>2</v>
      </c>
      <c r="R1445" s="1">
        <v>2342</v>
      </c>
      <c r="S1445" s="1">
        <v>6</v>
      </c>
      <c r="T1445" s="1">
        <v>2</v>
      </c>
      <c r="U1445" s="1">
        <v>5</v>
      </c>
      <c r="V1445" s="1">
        <v>3</v>
      </c>
      <c r="W1445" s="1">
        <v>2</v>
      </c>
      <c r="X1445" s="1">
        <v>3</v>
      </c>
    </row>
    <row r="1446" spans="1:24">
      <c r="A1446" s="1">
        <v>1445</v>
      </c>
      <c r="B1446" s="1" t="s">
        <v>24</v>
      </c>
      <c r="C1446" s="1" t="s">
        <v>34</v>
      </c>
      <c r="D1446" s="1" t="s">
        <v>43</v>
      </c>
      <c r="E1446" s="1" t="s">
        <v>36</v>
      </c>
      <c r="F1446" s="1" t="s">
        <v>28</v>
      </c>
      <c r="G1446" s="1">
        <v>1</v>
      </c>
      <c r="H1446" s="1" t="s">
        <v>37</v>
      </c>
      <c r="I1446" s="1" t="s">
        <v>42</v>
      </c>
      <c r="J1446" s="1" t="s">
        <v>39</v>
      </c>
      <c r="K1446" s="1" t="s">
        <v>24</v>
      </c>
      <c r="L1446" s="1">
        <v>31</v>
      </c>
      <c r="M1446" s="1">
        <v>2</v>
      </c>
      <c r="N1446" s="1" t="s">
        <v>47</v>
      </c>
      <c r="O1446" s="1">
        <v>2</v>
      </c>
      <c r="P1446" s="1">
        <v>1</v>
      </c>
      <c r="Q1446" s="1">
        <v>4</v>
      </c>
      <c r="R1446" s="1">
        <v>3722</v>
      </c>
      <c r="S1446" s="1">
        <v>7</v>
      </c>
      <c r="T1446" s="1">
        <v>1</v>
      </c>
      <c r="U1446" s="1">
        <v>2</v>
      </c>
      <c r="V1446" s="1">
        <v>2</v>
      </c>
      <c r="W1446" s="1">
        <v>2</v>
      </c>
      <c r="X1446" s="1">
        <v>2</v>
      </c>
    </row>
    <row r="1447" spans="1:24">
      <c r="A1447" s="1">
        <v>1446</v>
      </c>
      <c r="B1447" s="1" t="s">
        <v>24</v>
      </c>
      <c r="C1447" s="1" t="s">
        <v>34</v>
      </c>
      <c r="D1447" s="1" t="s">
        <v>26</v>
      </c>
      <c r="E1447" s="1" t="s">
        <v>36</v>
      </c>
      <c r="F1447" s="1" t="s">
        <v>57</v>
      </c>
      <c r="G1447" s="1">
        <v>1</v>
      </c>
      <c r="H1447" s="1" t="s">
        <v>37</v>
      </c>
      <c r="I1447" s="1" t="s">
        <v>38</v>
      </c>
      <c r="J1447" s="1" t="s">
        <v>39</v>
      </c>
      <c r="K1447" s="1" t="s">
        <v>24</v>
      </c>
      <c r="L1447" s="1">
        <v>43</v>
      </c>
      <c r="M1447" s="1">
        <v>17</v>
      </c>
      <c r="N1447" s="1" t="s">
        <v>47</v>
      </c>
      <c r="O1447" s="1">
        <v>3</v>
      </c>
      <c r="P1447" s="1">
        <v>1</v>
      </c>
      <c r="Q1447" s="1">
        <v>3</v>
      </c>
      <c r="R1447" s="1">
        <v>2437</v>
      </c>
      <c r="S1447" s="1">
        <v>6</v>
      </c>
      <c r="T1447" s="1">
        <v>3</v>
      </c>
      <c r="U1447" s="1">
        <v>1</v>
      </c>
      <c r="V1447" s="1">
        <v>0</v>
      </c>
      <c r="W1447" s="1">
        <v>0</v>
      </c>
      <c r="X1447" s="1">
        <v>0</v>
      </c>
    </row>
    <row r="1448" spans="1:24">
      <c r="A1448" s="1">
        <v>1447</v>
      </c>
      <c r="B1448" s="1" t="s">
        <v>24</v>
      </c>
      <c r="C1448" s="1" t="s">
        <v>34</v>
      </c>
      <c r="D1448" s="1" t="s">
        <v>52</v>
      </c>
      <c r="E1448" s="1" t="s">
        <v>36</v>
      </c>
      <c r="F1448" s="1" t="s">
        <v>45</v>
      </c>
      <c r="G1448" s="1">
        <v>1</v>
      </c>
      <c r="H1448" s="1" t="s">
        <v>37</v>
      </c>
      <c r="I1448" s="1" t="s">
        <v>42</v>
      </c>
      <c r="J1448" s="1" t="s">
        <v>31</v>
      </c>
      <c r="K1448" s="1" t="s">
        <v>24</v>
      </c>
      <c r="L1448" s="1">
        <v>24</v>
      </c>
      <c r="M1448" s="1">
        <v>9</v>
      </c>
      <c r="N1448" s="1" t="s">
        <v>47</v>
      </c>
      <c r="O1448" s="1">
        <v>2</v>
      </c>
      <c r="P1448" s="1">
        <v>1</v>
      </c>
      <c r="Q1448" s="1">
        <v>1</v>
      </c>
      <c r="R1448" s="1">
        <v>3172</v>
      </c>
      <c r="S1448" s="1">
        <v>4</v>
      </c>
      <c r="T1448" s="1">
        <v>2</v>
      </c>
      <c r="U1448" s="1">
        <v>0</v>
      </c>
      <c r="V1448" s="1">
        <v>0</v>
      </c>
      <c r="W1448" s="1">
        <v>0</v>
      </c>
      <c r="X1448" s="1">
        <v>0</v>
      </c>
    </row>
    <row r="1449" spans="1:24">
      <c r="A1449" s="1">
        <v>1448</v>
      </c>
      <c r="B1449" s="1" t="s">
        <v>24</v>
      </c>
      <c r="C1449" s="1" t="s">
        <v>34</v>
      </c>
      <c r="D1449" s="1" t="s">
        <v>43</v>
      </c>
      <c r="E1449" s="1" t="s">
        <v>27</v>
      </c>
      <c r="F1449" s="1" t="s">
        <v>56</v>
      </c>
      <c r="G1449" s="1">
        <v>1</v>
      </c>
      <c r="H1449" s="1" t="s">
        <v>37</v>
      </c>
      <c r="I1449" s="1" t="s">
        <v>30</v>
      </c>
      <c r="J1449" s="1" t="s">
        <v>39</v>
      </c>
      <c r="K1449" s="1" t="s">
        <v>24</v>
      </c>
      <c r="L1449" s="1">
        <v>31</v>
      </c>
      <c r="M1449" s="1">
        <v>26</v>
      </c>
      <c r="N1449" s="1" t="s">
        <v>44</v>
      </c>
      <c r="O1449" s="1">
        <v>1</v>
      </c>
      <c r="P1449" s="1">
        <v>2</v>
      </c>
      <c r="Q1449" s="1">
        <v>4</v>
      </c>
      <c r="R1449" s="1">
        <v>5617</v>
      </c>
      <c r="S1449" s="1">
        <v>10</v>
      </c>
      <c r="T1449" s="1">
        <v>3</v>
      </c>
      <c r="U1449" s="1">
        <v>10</v>
      </c>
      <c r="V1449" s="1">
        <v>7</v>
      </c>
      <c r="W1449" s="1">
        <v>0</v>
      </c>
      <c r="X1449" s="1">
        <v>8</v>
      </c>
    </row>
    <row r="1450" spans="1:24">
      <c r="A1450" s="1">
        <v>1449</v>
      </c>
      <c r="B1450" s="1" t="s">
        <v>24</v>
      </c>
      <c r="C1450" s="1" t="s">
        <v>25</v>
      </c>
      <c r="D1450" s="1" t="s">
        <v>43</v>
      </c>
      <c r="E1450" s="1" t="s">
        <v>59</v>
      </c>
      <c r="F1450" s="1" t="s">
        <v>60</v>
      </c>
      <c r="G1450" s="1">
        <v>1</v>
      </c>
      <c r="H1450" s="1" t="s">
        <v>37</v>
      </c>
      <c r="I1450" s="1" t="s">
        <v>60</v>
      </c>
      <c r="J1450" s="1" t="s">
        <v>48</v>
      </c>
      <c r="K1450" s="1" t="s">
        <v>24</v>
      </c>
      <c r="L1450" s="1">
        <v>29</v>
      </c>
      <c r="M1450" s="1">
        <v>13</v>
      </c>
      <c r="N1450" s="1" t="s">
        <v>47</v>
      </c>
      <c r="O1450" s="1">
        <v>1</v>
      </c>
      <c r="P1450" s="1">
        <v>1</v>
      </c>
      <c r="Q1450" s="1">
        <v>1</v>
      </c>
      <c r="R1450" s="1">
        <v>2335</v>
      </c>
      <c r="S1450" s="1">
        <v>4</v>
      </c>
      <c r="T1450" s="1">
        <v>3</v>
      </c>
      <c r="U1450" s="1">
        <v>2</v>
      </c>
      <c r="V1450" s="1">
        <v>2</v>
      </c>
      <c r="W1450" s="1">
        <v>2</v>
      </c>
      <c r="X1450" s="1">
        <v>0</v>
      </c>
    </row>
    <row r="1451" spans="1:24">
      <c r="A1451" s="1">
        <v>1450</v>
      </c>
      <c r="B1451" s="1" t="s">
        <v>24</v>
      </c>
      <c r="C1451" s="1" t="s">
        <v>25</v>
      </c>
      <c r="D1451" s="1" t="s">
        <v>43</v>
      </c>
      <c r="E1451" s="1" t="s">
        <v>36</v>
      </c>
      <c r="F1451" s="1" t="s">
        <v>45</v>
      </c>
      <c r="G1451" s="1">
        <v>1</v>
      </c>
      <c r="H1451" s="1" t="s">
        <v>37</v>
      </c>
      <c r="I1451" s="1" t="s">
        <v>38</v>
      </c>
      <c r="J1451" s="1" t="s">
        <v>39</v>
      </c>
      <c r="K1451" s="1" t="s">
        <v>24</v>
      </c>
      <c r="L1451" s="1">
        <v>29</v>
      </c>
      <c r="M1451" s="1">
        <v>1</v>
      </c>
      <c r="N1451" s="1" t="s">
        <v>44</v>
      </c>
      <c r="O1451" s="1">
        <v>1</v>
      </c>
      <c r="P1451" s="1">
        <v>1</v>
      </c>
      <c r="Q1451" s="1">
        <v>4</v>
      </c>
      <c r="R1451" s="1">
        <v>4787</v>
      </c>
      <c r="S1451" s="1">
        <v>4</v>
      </c>
      <c r="T1451" s="1">
        <v>4</v>
      </c>
      <c r="U1451" s="1">
        <v>2</v>
      </c>
      <c r="V1451" s="1">
        <v>2</v>
      </c>
      <c r="W1451" s="1">
        <v>2</v>
      </c>
      <c r="X1451" s="1">
        <v>2</v>
      </c>
    </row>
    <row r="1452" spans="1:24">
      <c r="A1452" s="1">
        <v>1451</v>
      </c>
      <c r="B1452" s="1" t="s">
        <v>24</v>
      </c>
      <c r="C1452" s="1" t="s">
        <v>25</v>
      </c>
      <c r="D1452" s="1" t="s">
        <v>43</v>
      </c>
      <c r="E1452" s="1" t="s">
        <v>36</v>
      </c>
      <c r="F1452" s="1" t="s">
        <v>45</v>
      </c>
      <c r="G1452" s="1">
        <v>1</v>
      </c>
      <c r="H1452" s="1" t="s">
        <v>37</v>
      </c>
      <c r="I1452" s="1" t="s">
        <v>42</v>
      </c>
      <c r="J1452" s="1" t="s">
        <v>39</v>
      </c>
      <c r="K1452" s="1" t="s">
        <v>24</v>
      </c>
      <c r="L1452" s="1">
        <v>28</v>
      </c>
      <c r="M1452" s="1">
        <v>24</v>
      </c>
      <c r="N1452" s="1" t="s">
        <v>47</v>
      </c>
      <c r="O1452" s="1">
        <v>3</v>
      </c>
      <c r="P1452" s="1">
        <v>1</v>
      </c>
      <c r="Q1452" s="1">
        <v>2</v>
      </c>
      <c r="R1452" s="1">
        <v>2408</v>
      </c>
      <c r="S1452" s="1">
        <v>1</v>
      </c>
      <c r="T1452" s="1">
        <v>3</v>
      </c>
      <c r="U1452" s="1">
        <v>1</v>
      </c>
      <c r="V1452" s="1">
        <v>1</v>
      </c>
      <c r="W1452" s="1">
        <v>0</v>
      </c>
      <c r="X1452" s="1">
        <v>0</v>
      </c>
    </row>
    <row r="1453" spans="1:24">
      <c r="A1453" s="1">
        <v>1452</v>
      </c>
      <c r="B1453" s="1" t="s">
        <v>24</v>
      </c>
      <c r="C1453" s="1" t="s">
        <v>25</v>
      </c>
      <c r="D1453" s="1" t="s">
        <v>26</v>
      </c>
      <c r="E1453" s="1" t="s">
        <v>36</v>
      </c>
      <c r="F1453" s="1" t="s">
        <v>28</v>
      </c>
      <c r="G1453" s="1">
        <v>1</v>
      </c>
      <c r="H1453" s="1" t="s">
        <v>37</v>
      </c>
      <c r="I1453" s="1" t="s">
        <v>42</v>
      </c>
      <c r="J1453" s="1" t="s">
        <v>31</v>
      </c>
      <c r="K1453" s="1" t="s">
        <v>24</v>
      </c>
      <c r="L1453" s="1">
        <v>40</v>
      </c>
      <c r="M1453" s="1">
        <v>7</v>
      </c>
      <c r="N1453" s="1" t="s">
        <v>47</v>
      </c>
      <c r="O1453" s="1">
        <v>1</v>
      </c>
      <c r="P1453" s="1">
        <v>1</v>
      </c>
      <c r="Q1453" s="1">
        <v>1</v>
      </c>
      <c r="R1453" s="1">
        <v>2166</v>
      </c>
      <c r="S1453" s="1">
        <v>10</v>
      </c>
      <c r="T1453" s="1">
        <v>1</v>
      </c>
      <c r="U1453" s="1">
        <v>4</v>
      </c>
      <c r="V1453" s="1">
        <v>2</v>
      </c>
      <c r="W1453" s="1">
        <v>0</v>
      </c>
      <c r="X1453" s="1">
        <v>3</v>
      </c>
    </row>
    <row r="1454" spans="1:24">
      <c r="A1454" s="1">
        <v>1453</v>
      </c>
      <c r="B1454" s="1" t="s">
        <v>24</v>
      </c>
      <c r="C1454" s="1" t="s">
        <v>25</v>
      </c>
      <c r="D1454" s="1" t="s">
        <v>52</v>
      </c>
      <c r="E1454" s="1" t="s">
        <v>36</v>
      </c>
      <c r="F1454" s="1" t="s">
        <v>45</v>
      </c>
      <c r="G1454" s="1">
        <v>1</v>
      </c>
      <c r="H1454" s="1" t="s">
        <v>37</v>
      </c>
      <c r="I1454" s="1" t="s">
        <v>42</v>
      </c>
      <c r="J1454" s="1" t="s">
        <v>31</v>
      </c>
      <c r="K1454" s="1" t="s">
        <v>24</v>
      </c>
      <c r="L1454" s="1">
        <v>23</v>
      </c>
      <c r="M1454" s="1">
        <v>8</v>
      </c>
      <c r="N1454" s="1" t="s">
        <v>40</v>
      </c>
      <c r="O1454" s="1">
        <v>4</v>
      </c>
      <c r="P1454" s="1">
        <v>1</v>
      </c>
      <c r="Q1454" s="1">
        <v>3</v>
      </c>
      <c r="R1454" s="1">
        <v>3989</v>
      </c>
      <c r="S1454" s="1">
        <v>5</v>
      </c>
      <c r="T1454" s="1">
        <v>3</v>
      </c>
      <c r="U1454" s="1">
        <v>5</v>
      </c>
      <c r="V1454" s="1">
        <v>4</v>
      </c>
      <c r="W1454" s="1">
        <v>1</v>
      </c>
      <c r="X1454" s="1">
        <v>2</v>
      </c>
    </row>
    <row r="1455" spans="1:24">
      <c r="A1455" s="1">
        <v>1454</v>
      </c>
      <c r="B1455" s="1" t="s">
        <v>24</v>
      </c>
      <c r="C1455" s="1" t="s">
        <v>25</v>
      </c>
      <c r="D1455" s="1" t="s">
        <v>35</v>
      </c>
      <c r="E1455" s="1" t="s">
        <v>27</v>
      </c>
      <c r="F1455" s="1" t="s">
        <v>56</v>
      </c>
      <c r="G1455" s="1">
        <v>1</v>
      </c>
      <c r="H1455" s="1" t="s">
        <v>37</v>
      </c>
      <c r="I1455" s="1" t="s">
        <v>30</v>
      </c>
      <c r="J1455" s="1" t="s">
        <v>48</v>
      </c>
      <c r="K1455" s="1" t="s">
        <v>24</v>
      </c>
      <c r="L1455" s="1">
        <v>50</v>
      </c>
      <c r="M1455" s="1">
        <v>28</v>
      </c>
      <c r="N1455" s="1" t="s">
        <v>47</v>
      </c>
      <c r="O1455" s="1">
        <v>4</v>
      </c>
      <c r="P1455" s="1">
        <v>3</v>
      </c>
      <c r="Q1455" s="1">
        <v>1</v>
      </c>
      <c r="R1455" s="1">
        <v>10854</v>
      </c>
      <c r="S1455" s="1">
        <v>20</v>
      </c>
      <c r="T1455" s="1">
        <v>3</v>
      </c>
      <c r="U1455" s="1">
        <v>3</v>
      </c>
      <c r="V1455" s="1">
        <v>2</v>
      </c>
      <c r="W1455" s="1">
        <v>2</v>
      </c>
      <c r="X1455" s="1">
        <v>0</v>
      </c>
    </row>
    <row r="1456" spans="1:24">
      <c r="A1456" s="1">
        <v>1455</v>
      </c>
      <c r="B1456" s="1" t="s">
        <v>24</v>
      </c>
      <c r="C1456" s="1" t="s">
        <v>25</v>
      </c>
      <c r="D1456" s="1" t="s">
        <v>26</v>
      </c>
      <c r="E1456" s="1" t="s">
        <v>27</v>
      </c>
      <c r="F1456" s="1" t="s">
        <v>45</v>
      </c>
      <c r="G1456" s="1">
        <v>1</v>
      </c>
      <c r="H1456" s="1" t="s">
        <v>37</v>
      </c>
      <c r="I1456" s="1" t="s">
        <v>30</v>
      </c>
      <c r="J1456" s="1" t="s">
        <v>48</v>
      </c>
      <c r="K1456" s="1" t="s">
        <v>24</v>
      </c>
      <c r="L1456" s="1">
        <v>35</v>
      </c>
      <c r="M1456" s="1">
        <v>15</v>
      </c>
      <c r="N1456" s="1" t="s">
        <v>32</v>
      </c>
      <c r="O1456" s="1">
        <v>1</v>
      </c>
      <c r="P1456" s="1">
        <v>2</v>
      </c>
      <c r="Q1456" s="1">
        <v>4</v>
      </c>
      <c r="R1456" s="1">
        <v>5440</v>
      </c>
      <c r="S1456" s="1">
        <v>7</v>
      </c>
      <c r="T1456" s="1">
        <v>2</v>
      </c>
      <c r="U1456" s="1">
        <v>2</v>
      </c>
      <c r="V1456" s="1">
        <v>2</v>
      </c>
      <c r="W1456" s="1">
        <v>2</v>
      </c>
      <c r="X1456" s="1">
        <v>2</v>
      </c>
    </row>
    <row r="1457" spans="1:24">
      <c r="A1457" s="1">
        <v>1456</v>
      </c>
      <c r="B1457" s="1" t="s">
        <v>24</v>
      </c>
      <c r="C1457" s="1" t="s">
        <v>25</v>
      </c>
      <c r="D1457" s="1" t="s">
        <v>26</v>
      </c>
      <c r="E1457" s="1" t="s">
        <v>27</v>
      </c>
      <c r="F1457" s="1" t="s">
        <v>56</v>
      </c>
      <c r="G1457" s="1">
        <v>1</v>
      </c>
      <c r="H1457" s="1" t="s">
        <v>37</v>
      </c>
      <c r="I1457" s="1" t="s">
        <v>30</v>
      </c>
      <c r="J1457" s="1" t="s">
        <v>48</v>
      </c>
      <c r="K1457" s="1" t="s">
        <v>24</v>
      </c>
      <c r="L1457" s="1">
        <v>36</v>
      </c>
      <c r="M1457" s="1">
        <v>13</v>
      </c>
      <c r="N1457" s="1" t="s">
        <v>58</v>
      </c>
      <c r="O1457" s="1">
        <v>2</v>
      </c>
      <c r="P1457" s="1">
        <v>2</v>
      </c>
      <c r="Q1457" s="1">
        <v>1</v>
      </c>
      <c r="R1457" s="1">
        <v>6134</v>
      </c>
      <c r="S1457" s="1">
        <v>16</v>
      </c>
      <c r="T1457" s="1">
        <v>3</v>
      </c>
      <c r="U1457" s="1">
        <v>2</v>
      </c>
      <c r="V1457" s="1">
        <v>2</v>
      </c>
      <c r="W1457" s="1">
        <v>2</v>
      </c>
      <c r="X1457" s="1">
        <v>2</v>
      </c>
    </row>
    <row r="1458" spans="1:24">
      <c r="A1458" s="1">
        <v>1457</v>
      </c>
      <c r="B1458" s="1" t="s">
        <v>24</v>
      </c>
      <c r="C1458" s="1" t="s">
        <v>25</v>
      </c>
      <c r="D1458" s="1" t="s">
        <v>35</v>
      </c>
      <c r="E1458" s="1" t="s">
        <v>27</v>
      </c>
      <c r="F1458" s="1" t="s">
        <v>28</v>
      </c>
      <c r="G1458" s="1">
        <v>1</v>
      </c>
      <c r="H1458" s="1" t="s">
        <v>37</v>
      </c>
      <c r="I1458" s="1" t="s">
        <v>30</v>
      </c>
      <c r="J1458" s="1" t="s">
        <v>31</v>
      </c>
      <c r="K1458" s="1" t="s">
        <v>24</v>
      </c>
      <c r="L1458" s="1">
        <v>53</v>
      </c>
      <c r="M1458" s="1">
        <v>24</v>
      </c>
      <c r="N1458" s="1" t="s">
        <v>44</v>
      </c>
      <c r="O1458" s="1">
        <v>1</v>
      </c>
      <c r="P1458" s="1">
        <v>3</v>
      </c>
      <c r="Q1458" s="1">
        <v>1</v>
      </c>
      <c r="R1458" s="1">
        <v>10448</v>
      </c>
      <c r="S1458" s="1">
        <v>15</v>
      </c>
      <c r="T1458" s="1">
        <v>2</v>
      </c>
      <c r="U1458" s="1">
        <v>2</v>
      </c>
      <c r="V1458" s="1">
        <v>2</v>
      </c>
      <c r="W1458" s="1">
        <v>2</v>
      </c>
      <c r="X1458" s="1">
        <v>2</v>
      </c>
    </row>
    <row r="1459" spans="1:24">
      <c r="A1459" s="1">
        <v>1458</v>
      </c>
      <c r="B1459" s="1" t="s">
        <v>24</v>
      </c>
      <c r="C1459" s="1" t="s">
        <v>25</v>
      </c>
      <c r="D1459" s="1" t="s">
        <v>43</v>
      </c>
      <c r="E1459" s="1" t="s">
        <v>27</v>
      </c>
      <c r="F1459" s="1" t="s">
        <v>56</v>
      </c>
      <c r="G1459" s="1">
        <v>1</v>
      </c>
      <c r="H1459" s="1" t="s">
        <v>37</v>
      </c>
      <c r="I1459" s="1" t="s">
        <v>30</v>
      </c>
      <c r="J1459" s="1" t="s">
        <v>31</v>
      </c>
      <c r="K1459" s="1" t="s">
        <v>24</v>
      </c>
      <c r="L1459" s="1">
        <v>32</v>
      </c>
      <c r="M1459" s="1">
        <v>2</v>
      </c>
      <c r="N1459" s="1" t="s">
        <v>44</v>
      </c>
      <c r="O1459" s="1">
        <v>3</v>
      </c>
      <c r="P1459" s="1">
        <v>2</v>
      </c>
      <c r="Q1459" s="1">
        <v>2</v>
      </c>
      <c r="R1459" s="1">
        <v>9907</v>
      </c>
      <c r="S1459" s="1">
        <v>7</v>
      </c>
      <c r="T1459" s="1">
        <v>2</v>
      </c>
      <c r="U1459" s="1">
        <v>2</v>
      </c>
      <c r="V1459" s="1">
        <v>2</v>
      </c>
      <c r="W1459" s="1">
        <v>2</v>
      </c>
      <c r="X1459" s="1">
        <v>2</v>
      </c>
    </row>
    <row r="1460" spans="1:24">
      <c r="A1460" s="1">
        <v>1459</v>
      </c>
      <c r="B1460" s="1" t="s">
        <v>24</v>
      </c>
      <c r="C1460" s="1" t="s">
        <v>25</v>
      </c>
      <c r="D1460" s="1" t="s">
        <v>26</v>
      </c>
      <c r="E1460" s="1" t="s">
        <v>27</v>
      </c>
      <c r="F1460" s="1" t="s">
        <v>28</v>
      </c>
      <c r="G1460" s="1">
        <v>1</v>
      </c>
      <c r="H1460" s="1" t="s">
        <v>37</v>
      </c>
      <c r="I1460" s="1" t="s">
        <v>30</v>
      </c>
      <c r="J1460" s="1" t="s">
        <v>31</v>
      </c>
      <c r="K1460" s="1" t="s">
        <v>24</v>
      </c>
      <c r="L1460" s="1">
        <v>35</v>
      </c>
      <c r="M1460" s="1">
        <v>27</v>
      </c>
      <c r="N1460" s="1" t="s">
        <v>47</v>
      </c>
      <c r="O1460" s="1">
        <v>3</v>
      </c>
      <c r="P1460" s="1">
        <v>2</v>
      </c>
      <c r="Q1460" s="1">
        <v>4</v>
      </c>
      <c r="R1460" s="1">
        <v>5813</v>
      </c>
      <c r="S1460" s="1">
        <v>10</v>
      </c>
      <c r="T1460" s="1">
        <v>3</v>
      </c>
      <c r="U1460" s="1">
        <v>10</v>
      </c>
      <c r="V1460" s="1">
        <v>7</v>
      </c>
      <c r="W1460" s="1">
        <v>7</v>
      </c>
      <c r="X1460" s="1">
        <v>7</v>
      </c>
    </row>
    <row r="1461" spans="1:24">
      <c r="A1461" s="1">
        <v>1460</v>
      </c>
      <c r="B1461" s="1" t="s">
        <v>24</v>
      </c>
      <c r="C1461" s="1" t="s">
        <v>25</v>
      </c>
      <c r="D1461" s="1" t="s">
        <v>35</v>
      </c>
      <c r="E1461" s="1" t="s">
        <v>36</v>
      </c>
      <c r="F1461" s="1" t="s">
        <v>45</v>
      </c>
      <c r="G1461" s="1">
        <v>1</v>
      </c>
      <c r="H1461" s="1" t="s">
        <v>29</v>
      </c>
      <c r="I1461" s="1" t="s">
        <v>50</v>
      </c>
      <c r="J1461" s="1" t="s">
        <v>39</v>
      </c>
      <c r="K1461" s="1" t="s">
        <v>33</v>
      </c>
      <c r="L1461" s="1">
        <v>46</v>
      </c>
      <c r="M1461" s="1">
        <v>21</v>
      </c>
      <c r="N1461" s="1" t="s">
        <v>32</v>
      </c>
      <c r="O1461" s="1">
        <v>4</v>
      </c>
      <c r="P1461" s="1">
        <v>2</v>
      </c>
      <c r="Q1461" s="1">
        <v>2</v>
      </c>
      <c r="R1461" s="1">
        <v>8926</v>
      </c>
      <c r="S1461" s="1">
        <v>13</v>
      </c>
      <c r="T1461" s="1">
        <v>4</v>
      </c>
      <c r="U1461" s="1">
        <v>9</v>
      </c>
      <c r="V1461" s="1">
        <v>7</v>
      </c>
      <c r="W1461" s="1">
        <v>3</v>
      </c>
      <c r="X1461" s="1">
        <v>7</v>
      </c>
    </row>
    <row r="1462" spans="1:24">
      <c r="A1462" s="1">
        <v>1461</v>
      </c>
      <c r="B1462" s="1" t="s">
        <v>24</v>
      </c>
      <c r="C1462" s="1" t="s">
        <v>25</v>
      </c>
      <c r="D1462" s="1" t="s">
        <v>35</v>
      </c>
      <c r="E1462" s="1" t="s">
        <v>27</v>
      </c>
      <c r="F1462" s="1" t="s">
        <v>28</v>
      </c>
      <c r="G1462" s="1">
        <v>1</v>
      </c>
      <c r="H1462" s="1" t="s">
        <v>29</v>
      </c>
      <c r="I1462" s="1" t="s">
        <v>30</v>
      </c>
      <c r="J1462" s="1" t="s">
        <v>39</v>
      </c>
      <c r="K1462" s="1" t="s">
        <v>33</v>
      </c>
      <c r="L1462" s="1">
        <v>46</v>
      </c>
      <c r="M1462" s="1">
        <v>10</v>
      </c>
      <c r="N1462" s="1" t="s">
        <v>47</v>
      </c>
      <c r="O1462" s="1">
        <v>3</v>
      </c>
      <c r="P1462" s="1">
        <v>3</v>
      </c>
      <c r="Q1462" s="1">
        <v>2</v>
      </c>
      <c r="R1462" s="1">
        <v>7314</v>
      </c>
      <c r="S1462" s="1">
        <v>14</v>
      </c>
      <c r="T1462" s="1">
        <v>3</v>
      </c>
      <c r="U1462" s="1">
        <v>8</v>
      </c>
      <c r="V1462" s="1">
        <v>7</v>
      </c>
      <c r="W1462" s="1">
        <v>0</v>
      </c>
      <c r="X1462" s="1">
        <v>7</v>
      </c>
    </row>
    <row r="1463" spans="1:24">
      <c r="A1463" s="1">
        <v>1462</v>
      </c>
      <c r="B1463" s="1" t="s">
        <v>24</v>
      </c>
      <c r="C1463" s="1" t="s">
        <v>34</v>
      </c>
      <c r="D1463" s="1" t="s">
        <v>35</v>
      </c>
      <c r="E1463" s="1" t="s">
        <v>36</v>
      </c>
      <c r="F1463" s="1" t="s">
        <v>28</v>
      </c>
      <c r="G1463" s="1">
        <v>1</v>
      </c>
      <c r="H1463" s="1" t="s">
        <v>37</v>
      </c>
      <c r="I1463" s="1" t="s">
        <v>42</v>
      </c>
      <c r="J1463" s="1" t="s">
        <v>31</v>
      </c>
      <c r="K1463" s="1" t="s">
        <v>33</v>
      </c>
      <c r="L1463" s="1">
        <v>49</v>
      </c>
      <c r="M1463" s="1">
        <v>28</v>
      </c>
      <c r="N1463" s="1" t="s">
        <v>32</v>
      </c>
      <c r="O1463" s="1">
        <v>1</v>
      </c>
      <c r="P1463" s="1">
        <v>2</v>
      </c>
      <c r="Q1463" s="1">
        <v>1</v>
      </c>
      <c r="R1463" s="1">
        <v>4284</v>
      </c>
      <c r="S1463" s="1">
        <v>20</v>
      </c>
      <c r="T1463" s="1">
        <v>3</v>
      </c>
      <c r="U1463" s="1">
        <v>4</v>
      </c>
      <c r="V1463" s="1">
        <v>3</v>
      </c>
      <c r="W1463" s="1">
        <v>1</v>
      </c>
      <c r="X1463" s="1">
        <v>3</v>
      </c>
    </row>
    <row r="1464" spans="1:24">
      <c r="A1464" s="1">
        <v>1463</v>
      </c>
      <c r="B1464" s="1" t="s">
        <v>24</v>
      </c>
      <c r="C1464" s="1" t="s">
        <v>51</v>
      </c>
      <c r="D1464" s="1" t="s">
        <v>26</v>
      </c>
      <c r="E1464" s="1" t="s">
        <v>36</v>
      </c>
      <c r="F1464" s="1" t="s">
        <v>28</v>
      </c>
      <c r="G1464" s="1">
        <v>1</v>
      </c>
      <c r="H1464" s="1" t="s">
        <v>29</v>
      </c>
      <c r="I1464" s="1" t="s">
        <v>42</v>
      </c>
      <c r="J1464" s="1" t="s">
        <v>31</v>
      </c>
      <c r="K1464" s="1" t="s">
        <v>24</v>
      </c>
      <c r="L1464" s="1">
        <v>39</v>
      </c>
      <c r="M1464" s="1">
        <v>2</v>
      </c>
      <c r="N1464" s="1" t="s">
        <v>47</v>
      </c>
      <c r="O1464" s="1">
        <v>1</v>
      </c>
      <c r="P1464" s="1">
        <v>1</v>
      </c>
      <c r="Q1464" s="1">
        <v>1</v>
      </c>
      <c r="R1464" s="1">
        <v>3646</v>
      </c>
      <c r="S1464" s="1">
        <v>11</v>
      </c>
      <c r="T1464" s="1">
        <v>4</v>
      </c>
      <c r="U1464" s="1">
        <v>1</v>
      </c>
      <c r="V1464" s="1">
        <v>0</v>
      </c>
      <c r="W1464" s="1">
        <v>0</v>
      </c>
      <c r="X1464" s="1">
        <v>0</v>
      </c>
    </row>
    <row r="1465" spans="1:24">
      <c r="A1465" s="1">
        <v>1464</v>
      </c>
      <c r="B1465" s="1" t="s">
        <v>24</v>
      </c>
      <c r="C1465" s="1" t="s">
        <v>25</v>
      </c>
      <c r="D1465" s="1" t="s">
        <v>43</v>
      </c>
      <c r="E1465" s="1" t="s">
        <v>27</v>
      </c>
      <c r="F1465" s="1" t="s">
        <v>45</v>
      </c>
      <c r="G1465" s="1">
        <v>1</v>
      </c>
      <c r="H1465" s="1" t="s">
        <v>29</v>
      </c>
      <c r="I1465" s="1" t="s">
        <v>30</v>
      </c>
      <c r="J1465" s="1" t="s">
        <v>31</v>
      </c>
      <c r="K1465" s="1" t="s">
        <v>24</v>
      </c>
      <c r="L1465" s="1">
        <v>34</v>
      </c>
      <c r="M1465" s="1">
        <v>24</v>
      </c>
      <c r="N1465" s="1" t="s">
        <v>44</v>
      </c>
      <c r="O1465" s="1">
        <v>1</v>
      </c>
      <c r="P1465" s="1">
        <v>2</v>
      </c>
      <c r="Q1465" s="1">
        <v>2</v>
      </c>
      <c r="R1465" s="1">
        <v>4599</v>
      </c>
      <c r="S1465" s="1">
        <v>16</v>
      </c>
      <c r="T1465" s="1">
        <v>4</v>
      </c>
      <c r="U1465" s="1">
        <v>15</v>
      </c>
      <c r="V1465" s="1">
        <v>9</v>
      </c>
      <c r="W1465" s="1">
        <v>10</v>
      </c>
      <c r="X1465" s="1">
        <v>10</v>
      </c>
    </row>
    <row r="1466" spans="1:24">
      <c r="A1466" s="1">
        <v>1465</v>
      </c>
      <c r="B1466" s="1" t="s">
        <v>24</v>
      </c>
      <c r="C1466" s="1" t="s">
        <v>25</v>
      </c>
      <c r="D1466" s="1" t="s">
        <v>43</v>
      </c>
      <c r="E1466" s="1" t="s">
        <v>27</v>
      </c>
      <c r="F1466" s="1" t="s">
        <v>28</v>
      </c>
      <c r="G1466" s="1">
        <v>1</v>
      </c>
      <c r="H1466" s="1" t="s">
        <v>29</v>
      </c>
      <c r="I1466" s="1" t="s">
        <v>30</v>
      </c>
      <c r="J1466" s="1" t="s">
        <v>31</v>
      </c>
      <c r="K1466" s="1" t="s">
        <v>24</v>
      </c>
      <c r="L1466" s="1">
        <v>33</v>
      </c>
      <c r="M1466" s="1">
        <v>16</v>
      </c>
      <c r="N1466" s="1" t="s">
        <v>47</v>
      </c>
      <c r="O1466" s="1">
        <v>1</v>
      </c>
      <c r="P1466" s="1">
        <v>3</v>
      </c>
      <c r="Q1466" s="1">
        <v>1</v>
      </c>
      <c r="R1466" s="1">
        <v>8564</v>
      </c>
      <c r="S1466" s="1">
        <v>11</v>
      </c>
      <c r="T1466" s="1">
        <v>2</v>
      </c>
      <c r="U1466" s="1">
        <v>0</v>
      </c>
      <c r="V1466" s="1">
        <v>0</v>
      </c>
      <c r="W1466" s="1">
        <v>0</v>
      </c>
      <c r="X1466" s="1">
        <v>0</v>
      </c>
    </row>
    <row r="1467" spans="1:24">
      <c r="A1467" s="1">
        <v>1466</v>
      </c>
      <c r="B1467" s="1" t="s">
        <v>24</v>
      </c>
      <c r="C1467" s="1" t="s">
        <v>51</v>
      </c>
      <c r="D1467" s="1" t="s">
        <v>43</v>
      </c>
      <c r="E1467" s="1" t="s">
        <v>36</v>
      </c>
      <c r="F1467" s="1" t="s">
        <v>57</v>
      </c>
      <c r="G1467" s="1">
        <v>1</v>
      </c>
      <c r="H1467" s="1" t="s">
        <v>37</v>
      </c>
      <c r="I1467" s="1" t="s">
        <v>38</v>
      </c>
      <c r="J1467" s="1" t="s">
        <v>39</v>
      </c>
      <c r="K1467" s="1" t="s">
        <v>24</v>
      </c>
      <c r="L1467" s="1">
        <v>34</v>
      </c>
      <c r="M1467" s="1">
        <v>16</v>
      </c>
      <c r="N1467" s="1" t="s">
        <v>44</v>
      </c>
      <c r="O1467" s="1">
        <v>4</v>
      </c>
      <c r="P1467" s="1">
        <v>1</v>
      </c>
      <c r="Q1467" s="1">
        <v>1</v>
      </c>
      <c r="R1467" s="1">
        <v>2307</v>
      </c>
      <c r="S1467" s="1">
        <v>5</v>
      </c>
      <c r="T1467" s="1">
        <v>3</v>
      </c>
      <c r="U1467" s="1">
        <v>5</v>
      </c>
      <c r="V1467" s="1">
        <v>2</v>
      </c>
      <c r="W1467" s="1">
        <v>3</v>
      </c>
      <c r="X1467" s="1">
        <v>0</v>
      </c>
    </row>
    <row r="1468" spans="1:24">
      <c r="A1468" s="1">
        <v>1467</v>
      </c>
      <c r="B1468" s="1" t="s">
        <v>24</v>
      </c>
      <c r="C1468" s="1" t="s">
        <v>34</v>
      </c>
      <c r="D1468" s="1" t="s">
        <v>43</v>
      </c>
      <c r="E1468" s="1" t="s">
        <v>36</v>
      </c>
      <c r="F1468" s="1" t="s">
        <v>28</v>
      </c>
      <c r="G1468" s="1">
        <v>1</v>
      </c>
      <c r="H1468" s="1" t="s">
        <v>37</v>
      </c>
      <c r="I1468" s="1" t="s">
        <v>38</v>
      </c>
      <c r="J1468" s="1" t="s">
        <v>31</v>
      </c>
      <c r="K1468" s="1" t="s">
        <v>24</v>
      </c>
      <c r="L1468" s="1">
        <v>29</v>
      </c>
      <c r="M1468" s="1">
        <v>24</v>
      </c>
      <c r="N1468" s="1" t="s">
        <v>32</v>
      </c>
      <c r="O1468" s="1">
        <v>4</v>
      </c>
      <c r="P1468" s="1">
        <v>1</v>
      </c>
      <c r="Q1468" s="1">
        <v>4</v>
      </c>
      <c r="R1468" s="1">
        <v>2439</v>
      </c>
      <c r="S1468" s="1">
        <v>1</v>
      </c>
      <c r="T1468" s="1">
        <v>2</v>
      </c>
      <c r="U1468" s="1">
        <v>1</v>
      </c>
      <c r="V1468" s="1">
        <v>0</v>
      </c>
      <c r="W1468" s="1">
        <v>1</v>
      </c>
      <c r="X1468" s="1">
        <v>0</v>
      </c>
    </row>
    <row r="1469" spans="1:24">
      <c r="A1469" s="1">
        <v>1468</v>
      </c>
      <c r="B1469" s="1" t="s">
        <v>24</v>
      </c>
      <c r="C1469" s="1" t="s">
        <v>34</v>
      </c>
      <c r="D1469" s="1" t="s">
        <v>26</v>
      </c>
      <c r="E1469" s="1" t="s">
        <v>27</v>
      </c>
      <c r="F1469" s="1" t="s">
        <v>41</v>
      </c>
      <c r="G1469" s="1">
        <v>1</v>
      </c>
      <c r="H1469" s="1" t="s">
        <v>37</v>
      </c>
      <c r="I1469" s="1" t="s">
        <v>30</v>
      </c>
      <c r="J1469" s="1" t="s">
        <v>31</v>
      </c>
      <c r="K1469" s="1" t="s">
        <v>24</v>
      </c>
      <c r="L1469" s="1">
        <v>35</v>
      </c>
      <c r="M1469" s="1">
        <v>12</v>
      </c>
      <c r="N1469" s="1" t="s">
        <v>44</v>
      </c>
      <c r="O1469" s="1">
        <v>4</v>
      </c>
      <c r="P1469" s="1">
        <v>2</v>
      </c>
      <c r="Q1469" s="1">
        <v>4</v>
      </c>
      <c r="R1469" s="1">
        <v>4581</v>
      </c>
      <c r="S1469" s="1">
        <v>13</v>
      </c>
      <c r="T1469" s="1">
        <v>4</v>
      </c>
      <c r="U1469" s="1">
        <v>11</v>
      </c>
      <c r="V1469" s="1">
        <v>9</v>
      </c>
      <c r="W1469" s="1">
        <v>6</v>
      </c>
      <c r="X1469" s="1">
        <v>7</v>
      </c>
    </row>
    <row r="1470" spans="1:24">
      <c r="A1470" s="1">
        <v>1469</v>
      </c>
      <c r="B1470" s="1" t="s">
        <v>24</v>
      </c>
      <c r="C1470" s="1" t="s">
        <v>25</v>
      </c>
      <c r="D1470" s="1" t="s">
        <v>52</v>
      </c>
      <c r="E1470" s="1" t="s">
        <v>36</v>
      </c>
      <c r="F1470" s="1" t="s">
        <v>28</v>
      </c>
      <c r="G1470" s="1">
        <v>1</v>
      </c>
      <c r="H1470" s="1" t="s">
        <v>37</v>
      </c>
      <c r="I1470" s="1" t="s">
        <v>38</v>
      </c>
      <c r="J1470" s="1" t="s">
        <v>31</v>
      </c>
      <c r="K1470" s="1" t="s">
        <v>24</v>
      </c>
      <c r="L1470" s="1">
        <v>22</v>
      </c>
      <c r="M1470" s="1">
        <v>7</v>
      </c>
      <c r="N1470" s="1" t="s">
        <v>40</v>
      </c>
      <c r="O1470" s="1">
        <v>4</v>
      </c>
      <c r="P1470" s="1">
        <v>1</v>
      </c>
      <c r="Q1470" s="1">
        <v>2</v>
      </c>
      <c r="R1470" s="1">
        <v>2472</v>
      </c>
      <c r="S1470" s="1">
        <v>1</v>
      </c>
      <c r="T1470" s="1">
        <v>3</v>
      </c>
      <c r="U1470" s="1">
        <v>1</v>
      </c>
      <c r="V1470" s="1">
        <v>0</v>
      </c>
      <c r="W1470" s="1">
        <v>0</v>
      </c>
      <c r="X1470" s="1">
        <v>0</v>
      </c>
    </row>
    <row r="1471" spans="1:24">
      <c r="A1471" s="1">
        <v>1470</v>
      </c>
      <c r="B1471" s="1" t="s">
        <v>24</v>
      </c>
      <c r="C1471" s="1" t="s">
        <v>25</v>
      </c>
      <c r="D1471" s="1" t="s">
        <v>52</v>
      </c>
      <c r="E1471" s="1" t="s">
        <v>27</v>
      </c>
      <c r="F1471" s="1" t="s">
        <v>28</v>
      </c>
      <c r="G1471" s="1">
        <v>1</v>
      </c>
      <c r="H1471" s="1" t="s">
        <v>37</v>
      </c>
      <c r="I1471" s="1" t="s">
        <v>54</v>
      </c>
      <c r="J1471" s="1" t="s">
        <v>48</v>
      </c>
      <c r="K1471" s="1" t="s">
        <v>24</v>
      </c>
      <c r="L1471" s="1">
        <v>23</v>
      </c>
      <c r="M1471" s="1">
        <v>7</v>
      </c>
      <c r="N1471" s="1" t="s">
        <v>47</v>
      </c>
      <c r="O1471" s="1">
        <v>3</v>
      </c>
      <c r="P1471" s="1">
        <v>1</v>
      </c>
      <c r="Q1471" s="1">
        <v>4</v>
      </c>
      <c r="R1471" s="1">
        <v>2275</v>
      </c>
      <c r="S1471" s="1">
        <v>3</v>
      </c>
      <c r="T1471" s="1">
        <v>3</v>
      </c>
      <c r="U1471" s="1">
        <v>3</v>
      </c>
      <c r="V1471" s="1">
        <v>2</v>
      </c>
      <c r="W1471" s="1">
        <v>0</v>
      </c>
      <c r="X1471" s="1">
        <v>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F0AD-C038-954F-8644-023414025487}">
  <sheetPr>
    <tabColor theme="5" tint="0.59999389629810485"/>
  </sheetPr>
  <dimension ref="A1:U20"/>
  <sheetViews>
    <sheetView topLeftCell="A5" zoomScale="125" zoomScaleNormal="100" workbookViewId="0">
      <selection activeCell="G28" sqref="G28"/>
    </sheetView>
  </sheetViews>
  <sheetFormatPr defaultColWidth="11" defaultRowHeight="15.95"/>
  <cols>
    <col min="1" max="1" width="13" bestFit="1" customWidth="1"/>
    <col min="2" max="2" width="15.5" bestFit="1" customWidth="1"/>
    <col min="3" max="3" width="13.875" bestFit="1" customWidth="1"/>
    <col min="4" max="4" width="23.875" bestFit="1" customWidth="1"/>
    <col min="5" max="5" width="27.875" bestFit="1" customWidth="1"/>
    <col min="6" max="7" width="26" bestFit="1" customWidth="1"/>
    <col min="8" max="8" width="13" bestFit="1" customWidth="1"/>
    <col min="9" max="9" width="21" bestFit="1" customWidth="1"/>
  </cols>
  <sheetData>
    <row r="1" spans="1:21">
      <c r="A1" s="15" t="s">
        <v>61</v>
      </c>
      <c r="B1" s="16"/>
      <c r="C1" s="16"/>
      <c r="D1" s="16"/>
      <c r="E1" s="16"/>
      <c r="F1" s="16"/>
      <c r="G1" s="16"/>
      <c r="H1" s="16"/>
      <c r="I1" s="16"/>
      <c r="J1" s="16"/>
      <c r="K1" s="16"/>
      <c r="L1" s="16"/>
      <c r="M1" s="16"/>
      <c r="N1" s="16"/>
      <c r="O1" s="16"/>
      <c r="P1" s="16"/>
      <c r="Q1" s="16"/>
      <c r="R1" s="16"/>
      <c r="S1" s="16"/>
      <c r="T1" s="16"/>
      <c r="U1" s="17"/>
    </row>
    <row r="2" spans="1:21" ht="17.100000000000001" thickBot="1">
      <c r="A2" s="18"/>
      <c r="B2" s="19"/>
      <c r="C2" s="19"/>
      <c r="D2" s="19"/>
      <c r="E2" s="19"/>
      <c r="F2" s="19"/>
      <c r="G2" s="19"/>
      <c r="H2" s="19"/>
      <c r="I2" s="19"/>
      <c r="J2" s="19"/>
      <c r="K2" s="19"/>
      <c r="L2" s="19"/>
      <c r="M2" s="19"/>
      <c r="N2" s="19"/>
      <c r="O2" s="19"/>
      <c r="P2" s="19"/>
      <c r="Q2" s="19"/>
      <c r="R2" s="19"/>
      <c r="S2" s="19"/>
      <c r="T2" s="19"/>
      <c r="U2" s="20"/>
    </row>
    <row r="3" spans="1:21">
      <c r="A3" t="s">
        <v>62</v>
      </c>
      <c r="B3" t="s">
        <v>63</v>
      </c>
      <c r="C3" t="s">
        <v>64</v>
      </c>
      <c r="D3" t="s">
        <v>65</v>
      </c>
      <c r="E3" t="s">
        <v>66</v>
      </c>
      <c r="F3" t="s">
        <v>67</v>
      </c>
      <c r="H3" s="3" t="s">
        <v>68</v>
      </c>
      <c r="I3" t="s">
        <v>69</v>
      </c>
    </row>
    <row r="4" spans="1:21">
      <c r="A4">
        <v>1470</v>
      </c>
      <c r="B4" s="14">
        <v>6502.931292517007</v>
      </c>
      <c r="C4" s="12">
        <v>36.923809523809524</v>
      </c>
      <c r="D4" s="13">
        <v>2.7285714285714286</v>
      </c>
      <c r="E4" s="4">
        <v>11.279591836734694</v>
      </c>
      <c r="F4" s="4">
        <v>7.0081632653061225</v>
      </c>
      <c r="H4" s="5" t="s">
        <v>29</v>
      </c>
      <c r="I4">
        <v>588</v>
      </c>
    </row>
    <row r="5" spans="1:21">
      <c r="H5" s="5" t="s">
        <v>37</v>
      </c>
      <c r="I5">
        <v>882</v>
      </c>
    </row>
    <row r="6" spans="1:21">
      <c r="H6" s="5" t="s">
        <v>70</v>
      </c>
      <c r="I6">
        <v>1470</v>
      </c>
    </row>
    <row r="7" spans="1:21">
      <c r="A7" s="3" t="s">
        <v>68</v>
      </c>
      <c r="B7" t="s">
        <v>71</v>
      </c>
      <c r="C7" s="8" t="s">
        <v>72</v>
      </c>
      <c r="D7" s="8" t="s">
        <v>73</v>
      </c>
      <c r="E7" s="8" t="s">
        <v>74</v>
      </c>
    </row>
    <row r="8" spans="1:21">
      <c r="A8" s="5" t="s">
        <v>33</v>
      </c>
      <c r="B8">
        <v>1233</v>
      </c>
      <c r="C8" s="4">
        <f>GETPIVOTDATA("Attrition",$A$7,"Attrition","Yes")/GETPIVOTDATA("Attrition",$A$7)*100</f>
        <v>16.122448979591837</v>
      </c>
      <c r="D8">
        <f>GETPIVOTDATA("Attrition",$A$7)-GETPIVOTDATA("Attrition",$A$7,"Attrition","Yes")</f>
        <v>1233</v>
      </c>
      <c r="E8">
        <f>GETPIVOTDATA("Attrition",$A$7,"Attrition","Yes")</f>
        <v>237</v>
      </c>
    </row>
    <row r="9" spans="1:21">
      <c r="A9" s="5" t="s">
        <v>24</v>
      </c>
      <c r="B9">
        <v>237</v>
      </c>
    </row>
    <row r="10" spans="1:21">
      <c r="A10" s="5" t="s">
        <v>70</v>
      </c>
      <c r="B10">
        <v>1470</v>
      </c>
    </row>
    <row r="13" spans="1:21">
      <c r="E13" t="s">
        <v>75</v>
      </c>
      <c r="F13" t="s">
        <v>76</v>
      </c>
      <c r="G13" s="4">
        <f>GETPIVOTDATA("Average of Years At Company",$A$3)</f>
        <v>7.0081632653061225</v>
      </c>
    </row>
    <row r="14" spans="1:21">
      <c r="G14" s="4"/>
    </row>
    <row r="15" spans="1:21">
      <c r="E15" t="s">
        <v>75</v>
      </c>
      <c r="F15" t="s">
        <v>77</v>
      </c>
      <c r="G15" s="4">
        <f>GETPIVOTDATA("Average of Job Satisfaction",$A$3)</f>
        <v>2.7285714285714286</v>
      </c>
    </row>
    <row r="16" spans="1:21">
      <c r="F16" t="s">
        <v>78</v>
      </c>
      <c r="G16" s="12">
        <f>GETPIVOTDATA("Average of Age",$A$3)</f>
        <v>36.923809523809524</v>
      </c>
    </row>
    <row r="17" spans="5:7">
      <c r="E17" t="s">
        <v>75</v>
      </c>
      <c r="F17" t="s">
        <v>79</v>
      </c>
      <c r="G17">
        <f>GETPIVOTDATA("Count of Employee Number",$A$3)</f>
        <v>1470</v>
      </c>
    </row>
    <row r="18" spans="5:7">
      <c r="F18" t="s">
        <v>80</v>
      </c>
      <c r="G18">
        <f>GETPIVOTDATA("Average of Monthly Income",$A$3)</f>
        <v>6502.931292517007</v>
      </c>
    </row>
    <row r="19" spans="5:7">
      <c r="F19" t="s">
        <v>81</v>
      </c>
      <c r="G19">
        <f>GETPIVOTDATA("Employee Count",$H$3,"Gender","Female")</f>
        <v>588</v>
      </c>
    </row>
    <row r="20" spans="5:7">
      <c r="F20" t="s">
        <v>82</v>
      </c>
      <c r="G20">
        <f>GETPIVOTDATA("Employee Count",$H$3,"Gender","Male")</f>
        <v>882</v>
      </c>
    </row>
  </sheetData>
  <mergeCells count="1">
    <mergeCell ref="A1:U2"/>
  </mergeCells>
  <pageMargins left="0.7" right="0.7" top="0.75" bottom="0.75" header="0.3" footer="0.3"/>
  <pageSetup paperSize="9" orientation="portrait" horizontalDpi="0" verticalDpi="0"/>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FB8CC-A27E-A94D-87C5-225EC00DDF5D}">
  <sheetPr>
    <tabColor theme="7" tint="0.59999389629810485"/>
  </sheetPr>
  <dimension ref="A1:L32"/>
  <sheetViews>
    <sheetView workbookViewId="0">
      <selection activeCell="G39" sqref="G39"/>
    </sheetView>
  </sheetViews>
  <sheetFormatPr defaultColWidth="11" defaultRowHeight="15.95"/>
  <cols>
    <col min="1" max="1" width="13" bestFit="1" customWidth="1"/>
    <col min="2" max="2" width="23.875" bestFit="1" customWidth="1"/>
    <col min="3" max="3" width="15.5" bestFit="1" customWidth="1"/>
    <col min="4" max="4" width="13" bestFit="1" customWidth="1"/>
    <col min="5" max="5" width="26" bestFit="1" customWidth="1"/>
    <col min="6" max="6" width="10.5" customWidth="1"/>
    <col min="7" max="7" width="13" bestFit="1" customWidth="1"/>
    <col min="8" max="8" width="26" bestFit="1" customWidth="1"/>
    <col min="10" max="10" width="23.125" bestFit="1" customWidth="1"/>
    <col min="11" max="11" width="18.625" bestFit="1" customWidth="1"/>
  </cols>
  <sheetData>
    <row r="1" spans="1:12" ht="17.100000000000001" thickBot="1">
      <c r="A1" s="21"/>
      <c r="B1" s="22"/>
      <c r="C1" s="22"/>
      <c r="D1" s="22"/>
      <c r="E1" s="22"/>
      <c r="F1" s="22"/>
      <c r="G1" s="22"/>
      <c r="H1" s="23"/>
    </row>
    <row r="2" spans="1:12">
      <c r="A2" s="26" t="s">
        <v>83</v>
      </c>
      <c r="B2" s="27"/>
      <c r="D2" s="26" t="s">
        <v>84</v>
      </c>
      <c r="E2" s="26"/>
      <c r="F2" s="8"/>
      <c r="G2" s="26" t="s">
        <v>85</v>
      </c>
      <c r="H2" s="26"/>
      <c r="I2" s="8"/>
      <c r="J2" s="25"/>
      <c r="K2" s="25"/>
      <c r="L2" s="25"/>
    </row>
    <row r="3" spans="1:12">
      <c r="A3" s="3" t="s">
        <v>68</v>
      </c>
      <c r="B3" t="s">
        <v>62</v>
      </c>
      <c r="D3" s="3" t="s">
        <v>68</v>
      </c>
      <c r="E3" t="s">
        <v>86</v>
      </c>
      <c r="G3" s="3" t="s">
        <v>68</v>
      </c>
      <c r="H3" t="s">
        <v>86</v>
      </c>
    </row>
    <row r="4" spans="1:12">
      <c r="A4" s="5" t="s">
        <v>59</v>
      </c>
      <c r="B4">
        <v>63</v>
      </c>
      <c r="D4" s="5" t="s">
        <v>36</v>
      </c>
      <c r="E4" s="6">
        <v>0.13839750260145681</v>
      </c>
      <c r="G4" s="5" t="s">
        <v>55</v>
      </c>
      <c r="H4" s="7">
        <v>2.5000000000000001E-2</v>
      </c>
    </row>
    <row r="5" spans="1:12">
      <c r="A5" s="5" t="s">
        <v>27</v>
      </c>
      <c r="B5">
        <v>446</v>
      </c>
      <c r="D5" s="5" t="s">
        <v>59</v>
      </c>
      <c r="E5" s="6">
        <v>0.19047619047619047</v>
      </c>
      <c r="G5" s="5" t="s">
        <v>53</v>
      </c>
      <c r="H5" s="7">
        <v>4.9019607843137254E-2</v>
      </c>
    </row>
    <row r="6" spans="1:12">
      <c r="A6" s="5" t="s">
        <v>36</v>
      </c>
      <c r="B6">
        <v>961</v>
      </c>
      <c r="D6" s="5" t="s">
        <v>27</v>
      </c>
      <c r="E6" s="6">
        <v>0.20627802690582961</v>
      </c>
      <c r="G6" s="5" t="s">
        <v>50</v>
      </c>
      <c r="H6" s="7">
        <v>6.8702290076335881E-2</v>
      </c>
    </row>
    <row r="7" spans="1:12">
      <c r="A7" s="5" t="s">
        <v>70</v>
      </c>
      <c r="B7">
        <v>1470</v>
      </c>
      <c r="D7" s="5" t="s">
        <v>70</v>
      </c>
      <c r="E7" s="6">
        <v>0.16122448979591836</v>
      </c>
      <c r="G7" s="5" t="s">
        <v>49</v>
      </c>
      <c r="H7" s="7">
        <v>6.8965517241379309E-2</v>
      </c>
    </row>
    <row r="8" spans="1:12">
      <c r="G8" s="5" t="s">
        <v>38</v>
      </c>
      <c r="H8" s="7">
        <v>0.16095890410958905</v>
      </c>
    </row>
    <row r="9" spans="1:12">
      <c r="G9" s="5" t="s">
        <v>30</v>
      </c>
      <c r="H9" s="7">
        <v>0.17484662576687116</v>
      </c>
    </row>
    <row r="10" spans="1:12">
      <c r="G10" s="5" t="s">
        <v>60</v>
      </c>
      <c r="H10" s="7">
        <v>0.23076923076923078</v>
      </c>
    </row>
    <row r="11" spans="1:12">
      <c r="G11" s="5" t="s">
        <v>42</v>
      </c>
      <c r="H11" s="7">
        <v>0.23938223938223938</v>
      </c>
    </row>
    <row r="12" spans="1:12">
      <c r="G12" s="5" t="s">
        <v>54</v>
      </c>
      <c r="H12" s="7">
        <v>0.39759036144578314</v>
      </c>
    </row>
    <row r="13" spans="1:12">
      <c r="G13" s="5" t="s">
        <v>70</v>
      </c>
      <c r="H13" s="7">
        <v>0.16122448979591836</v>
      </c>
    </row>
    <row r="15" spans="1:12" ht="17.100000000000001" thickBot="1"/>
    <row r="16" spans="1:12" ht="17.100000000000001" thickBot="1">
      <c r="A16" s="21"/>
      <c r="B16" s="22"/>
      <c r="C16" s="22"/>
      <c r="D16" s="22"/>
      <c r="E16" s="22"/>
      <c r="F16" s="22"/>
      <c r="G16" s="22"/>
      <c r="H16" s="23"/>
    </row>
    <row r="17" spans="1:8">
      <c r="A17" s="24" t="s">
        <v>87</v>
      </c>
      <c r="B17" s="24"/>
      <c r="D17" s="24" t="s">
        <v>88</v>
      </c>
      <c r="E17" s="16"/>
      <c r="G17" s="24" t="s">
        <v>89</v>
      </c>
      <c r="H17" s="24"/>
    </row>
    <row r="18" spans="1:8">
      <c r="A18" s="3" t="s">
        <v>68</v>
      </c>
      <c r="B18" t="s">
        <v>86</v>
      </c>
      <c r="D18" s="3" t="s">
        <v>68</v>
      </c>
      <c r="E18" t="s">
        <v>62</v>
      </c>
      <c r="G18" s="3" t="s">
        <v>68</v>
      </c>
      <c r="H18" t="s">
        <v>63</v>
      </c>
    </row>
    <row r="19" spans="1:8">
      <c r="A19" s="5" t="s">
        <v>52</v>
      </c>
      <c r="B19" s="6">
        <v>0.39175257731958762</v>
      </c>
      <c r="D19" s="5" t="s">
        <v>29</v>
      </c>
      <c r="E19" s="6">
        <v>0.4</v>
      </c>
      <c r="G19" s="5" t="s">
        <v>36</v>
      </c>
      <c r="H19" s="4">
        <v>6281.2528616024974</v>
      </c>
    </row>
    <row r="20" spans="1:8">
      <c r="A20" s="5" t="s">
        <v>43</v>
      </c>
      <c r="B20" s="6">
        <v>0.20216606498194944</v>
      </c>
      <c r="D20" s="5" t="s">
        <v>37</v>
      </c>
      <c r="E20" s="6">
        <v>0.6</v>
      </c>
      <c r="G20" s="5" t="s">
        <v>59</v>
      </c>
      <c r="H20" s="4">
        <v>6654.5079365079364</v>
      </c>
    </row>
    <row r="21" spans="1:8">
      <c r="A21" s="5" t="s">
        <v>46</v>
      </c>
      <c r="B21" s="6">
        <v>0.15942028985507245</v>
      </c>
      <c r="D21" s="5" t="s">
        <v>70</v>
      </c>
      <c r="E21" s="6">
        <v>1</v>
      </c>
      <c r="G21" s="5" t="s">
        <v>27</v>
      </c>
      <c r="H21" s="4">
        <v>6959.17264573991</v>
      </c>
    </row>
    <row r="22" spans="1:8">
      <c r="A22" s="5" t="s">
        <v>35</v>
      </c>
      <c r="B22" s="6">
        <v>0.10204081632653061</v>
      </c>
      <c r="G22" s="5" t="s">
        <v>70</v>
      </c>
      <c r="H22" s="4">
        <v>6502.931292517007</v>
      </c>
    </row>
    <row r="23" spans="1:8">
      <c r="A23" s="5" t="s">
        <v>26</v>
      </c>
      <c r="B23" s="6">
        <v>0.100990099009901</v>
      </c>
    </row>
    <row r="24" spans="1:8">
      <c r="A24" s="5" t="s">
        <v>70</v>
      </c>
      <c r="B24" s="6">
        <v>0.16122448979591836</v>
      </c>
    </row>
    <row r="25" spans="1:8" ht="17.100000000000001" thickBot="1"/>
    <row r="26" spans="1:8" ht="17.100000000000001" thickBot="1">
      <c r="A26" s="9"/>
      <c r="B26" s="10"/>
      <c r="C26" s="10"/>
      <c r="D26" s="10"/>
      <c r="E26" s="10"/>
      <c r="F26" s="10"/>
      <c r="G26" s="10"/>
      <c r="H26" s="11"/>
    </row>
    <row r="27" spans="1:8">
      <c r="A27" s="26" t="s">
        <v>90</v>
      </c>
      <c r="B27" s="27"/>
      <c r="D27" s="26" t="s">
        <v>19</v>
      </c>
      <c r="E27" s="27"/>
      <c r="G27" s="26" t="s">
        <v>91</v>
      </c>
      <c r="H27" s="27"/>
    </row>
    <row r="28" spans="1:8">
      <c r="A28" s="3" t="s">
        <v>68</v>
      </c>
      <c r="B28" t="s">
        <v>65</v>
      </c>
      <c r="D28" s="3" t="s">
        <v>68</v>
      </c>
      <c r="E28" t="s">
        <v>92</v>
      </c>
      <c r="G28" s="3" t="s">
        <v>68</v>
      </c>
      <c r="H28" t="s">
        <v>67</v>
      </c>
    </row>
    <row r="29" spans="1:8">
      <c r="A29" s="5" t="s">
        <v>59</v>
      </c>
      <c r="B29" s="4">
        <v>2.6031746031746033</v>
      </c>
      <c r="D29" s="5" t="s">
        <v>36</v>
      </c>
      <c r="E29" s="4">
        <v>2.7252861602497398</v>
      </c>
      <c r="G29" s="5" t="s">
        <v>36</v>
      </c>
      <c r="H29" s="4">
        <v>6.8647242455775235</v>
      </c>
    </row>
    <row r="30" spans="1:8">
      <c r="A30" s="5" t="s">
        <v>36</v>
      </c>
      <c r="B30" s="4">
        <v>2.7263267429760667</v>
      </c>
      <c r="D30" s="5" t="s">
        <v>27</v>
      </c>
      <c r="E30" s="4">
        <v>2.8161434977578477</v>
      </c>
      <c r="G30" s="5" t="s">
        <v>59</v>
      </c>
      <c r="H30" s="4">
        <v>7.2380952380952381</v>
      </c>
    </row>
    <row r="31" spans="1:8">
      <c r="A31" s="5" t="s">
        <v>27</v>
      </c>
      <c r="B31" s="4">
        <v>2.7511210762331837</v>
      </c>
      <c r="D31" s="5" t="s">
        <v>59</v>
      </c>
      <c r="E31" s="4">
        <v>2.9206349206349205</v>
      </c>
      <c r="G31" s="5" t="s">
        <v>27</v>
      </c>
      <c r="H31" s="4">
        <v>7.2847533632286998</v>
      </c>
    </row>
    <row r="32" spans="1:8">
      <c r="A32" s="5" t="s">
        <v>70</v>
      </c>
      <c r="B32" s="4">
        <v>2.7285714285714286</v>
      </c>
      <c r="D32" s="5" t="s">
        <v>70</v>
      </c>
      <c r="E32" s="4">
        <v>2.7612244897959184</v>
      </c>
      <c r="G32" s="5" t="s">
        <v>70</v>
      </c>
      <c r="H32" s="4">
        <v>7.0081632653061225</v>
      </c>
    </row>
  </sheetData>
  <mergeCells count="12">
    <mergeCell ref="J2:L2"/>
    <mergeCell ref="A27:B27"/>
    <mergeCell ref="D27:E27"/>
    <mergeCell ref="G27:H27"/>
    <mergeCell ref="A2:B2"/>
    <mergeCell ref="D2:E2"/>
    <mergeCell ref="G2:H2"/>
    <mergeCell ref="A1:H1"/>
    <mergeCell ref="A16:H16"/>
    <mergeCell ref="A17:B17"/>
    <mergeCell ref="D17:E17"/>
    <mergeCell ref="G17:H17"/>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90659-7F9F-7040-85CC-92E1CCE4A7D3}">
  <sheetPr>
    <tabColor theme="9" tint="0.79998168889431442"/>
  </sheetPr>
  <dimension ref="A1:Y1471"/>
  <sheetViews>
    <sheetView zoomScale="131" workbookViewId="0">
      <selection activeCell="D11" sqref="D11"/>
    </sheetView>
  </sheetViews>
  <sheetFormatPr defaultColWidth="11" defaultRowHeight="15.9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93</v>
      </c>
    </row>
    <row r="2" spans="1:25">
      <c r="A2">
        <v>1</v>
      </c>
      <c r="B2" t="s">
        <v>24</v>
      </c>
      <c r="C2" t="s">
        <v>25</v>
      </c>
      <c r="D2" t="s">
        <v>26</v>
      </c>
      <c r="E2" t="s">
        <v>27</v>
      </c>
      <c r="F2" t="s">
        <v>28</v>
      </c>
      <c r="G2">
        <v>1</v>
      </c>
      <c r="H2" t="s">
        <v>29</v>
      </c>
      <c r="I2" t="s">
        <v>30</v>
      </c>
      <c r="J2" t="s">
        <v>31</v>
      </c>
      <c r="K2" t="s">
        <v>24</v>
      </c>
      <c r="L2">
        <v>41</v>
      </c>
      <c r="M2">
        <v>1</v>
      </c>
      <c r="N2" t="s">
        <v>32</v>
      </c>
      <c r="O2">
        <v>2</v>
      </c>
      <c r="P2">
        <v>2</v>
      </c>
      <c r="Q2">
        <v>4</v>
      </c>
      <c r="R2">
        <v>5993</v>
      </c>
      <c r="S2">
        <v>8</v>
      </c>
      <c r="T2">
        <v>1</v>
      </c>
      <c r="U2">
        <v>6</v>
      </c>
      <c r="V2">
        <v>4</v>
      </c>
      <c r="W2">
        <v>0</v>
      </c>
      <c r="X2">
        <v>5</v>
      </c>
      <c r="Y2">
        <f>IF(HR_data[[#This Row],[Attrition]]= "Yes",1,0)</f>
        <v>1</v>
      </c>
    </row>
    <row r="3" spans="1:25">
      <c r="A3">
        <v>2</v>
      </c>
      <c r="B3" t="s">
        <v>33</v>
      </c>
      <c r="C3" t="s">
        <v>34</v>
      </c>
      <c r="D3" t="s">
        <v>35</v>
      </c>
      <c r="E3" t="s">
        <v>36</v>
      </c>
      <c r="F3" t="s">
        <v>28</v>
      </c>
      <c r="G3">
        <v>1</v>
      </c>
      <c r="H3" t="s">
        <v>37</v>
      </c>
      <c r="I3" t="s">
        <v>38</v>
      </c>
      <c r="J3" t="s">
        <v>39</v>
      </c>
      <c r="K3" t="s">
        <v>33</v>
      </c>
      <c r="L3">
        <v>49</v>
      </c>
      <c r="M3">
        <v>8</v>
      </c>
      <c r="N3" t="s">
        <v>40</v>
      </c>
      <c r="O3">
        <v>3</v>
      </c>
      <c r="P3">
        <v>2</v>
      </c>
      <c r="Q3">
        <v>2</v>
      </c>
      <c r="R3">
        <v>5130</v>
      </c>
      <c r="S3">
        <v>10</v>
      </c>
      <c r="T3">
        <v>3</v>
      </c>
      <c r="U3">
        <v>10</v>
      </c>
      <c r="V3">
        <v>7</v>
      </c>
      <c r="W3">
        <v>1</v>
      </c>
      <c r="X3">
        <v>7</v>
      </c>
      <c r="Y3">
        <f>IF(HR_data[[#This Row],[Attrition]]= "Yes",1,0)</f>
        <v>0</v>
      </c>
    </row>
    <row r="4" spans="1:25">
      <c r="A4">
        <v>3</v>
      </c>
      <c r="B4" t="s">
        <v>24</v>
      </c>
      <c r="C4" t="s">
        <v>25</v>
      </c>
      <c r="D4" t="s">
        <v>26</v>
      </c>
      <c r="E4" t="s">
        <v>36</v>
      </c>
      <c r="F4" t="s">
        <v>41</v>
      </c>
      <c r="G4">
        <v>1</v>
      </c>
      <c r="H4" t="s">
        <v>37</v>
      </c>
      <c r="I4" t="s">
        <v>42</v>
      </c>
      <c r="J4" t="s">
        <v>31</v>
      </c>
      <c r="K4" t="s">
        <v>24</v>
      </c>
      <c r="L4">
        <v>37</v>
      </c>
      <c r="M4">
        <v>2</v>
      </c>
      <c r="N4" t="s">
        <v>32</v>
      </c>
      <c r="O4">
        <v>4</v>
      </c>
      <c r="P4">
        <v>1</v>
      </c>
      <c r="Q4">
        <v>3</v>
      </c>
      <c r="R4">
        <v>2090</v>
      </c>
      <c r="S4">
        <v>7</v>
      </c>
      <c r="T4">
        <v>3</v>
      </c>
      <c r="U4">
        <v>0</v>
      </c>
      <c r="V4">
        <v>0</v>
      </c>
      <c r="W4">
        <v>0</v>
      </c>
      <c r="X4">
        <v>0</v>
      </c>
      <c r="Y4">
        <f>IF(HR_data[[#This Row],[Attrition]]= "Yes",1,0)</f>
        <v>1</v>
      </c>
    </row>
    <row r="5" spans="1:25">
      <c r="A5">
        <v>4</v>
      </c>
      <c r="B5" t="s">
        <v>33</v>
      </c>
      <c r="C5" t="s">
        <v>34</v>
      </c>
      <c r="D5" t="s">
        <v>43</v>
      </c>
      <c r="E5" t="s">
        <v>36</v>
      </c>
      <c r="F5" t="s">
        <v>28</v>
      </c>
      <c r="G5">
        <v>1</v>
      </c>
      <c r="H5" t="s">
        <v>29</v>
      </c>
      <c r="I5" t="s">
        <v>38</v>
      </c>
      <c r="J5" t="s">
        <v>39</v>
      </c>
      <c r="K5" t="s">
        <v>24</v>
      </c>
      <c r="L5">
        <v>33</v>
      </c>
      <c r="M5">
        <v>3</v>
      </c>
      <c r="N5" t="s">
        <v>44</v>
      </c>
      <c r="O5">
        <v>4</v>
      </c>
      <c r="P5">
        <v>1</v>
      </c>
      <c r="Q5">
        <v>3</v>
      </c>
      <c r="R5">
        <v>2909</v>
      </c>
      <c r="S5">
        <v>8</v>
      </c>
      <c r="T5">
        <v>3</v>
      </c>
      <c r="U5">
        <v>8</v>
      </c>
      <c r="V5">
        <v>7</v>
      </c>
      <c r="W5">
        <v>3</v>
      </c>
      <c r="X5">
        <v>0</v>
      </c>
      <c r="Y5">
        <f>IF(HR_data[[#This Row],[Attrition]]= "Yes",1,0)</f>
        <v>0</v>
      </c>
    </row>
    <row r="6" spans="1:25">
      <c r="A6">
        <v>5</v>
      </c>
      <c r="B6" t="s">
        <v>33</v>
      </c>
      <c r="C6" t="s">
        <v>25</v>
      </c>
      <c r="D6" t="s">
        <v>43</v>
      </c>
      <c r="E6" t="s">
        <v>36</v>
      </c>
      <c r="F6" t="s">
        <v>45</v>
      </c>
      <c r="G6">
        <v>1</v>
      </c>
      <c r="H6" t="s">
        <v>37</v>
      </c>
      <c r="I6" t="s">
        <v>42</v>
      </c>
      <c r="J6" t="s">
        <v>39</v>
      </c>
      <c r="K6" t="s">
        <v>33</v>
      </c>
      <c r="L6">
        <v>27</v>
      </c>
      <c r="M6">
        <v>2</v>
      </c>
      <c r="N6" t="s">
        <v>40</v>
      </c>
      <c r="O6">
        <v>1</v>
      </c>
      <c r="P6">
        <v>1</v>
      </c>
      <c r="Q6">
        <v>2</v>
      </c>
      <c r="R6">
        <v>3468</v>
      </c>
      <c r="S6">
        <v>6</v>
      </c>
      <c r="T6">
        <v>3</v>
      </c>
      <c r="U6">
        <v>2</v>
      </c>
      <c r="V6">
        <v>2</v>
      </c>
      <c r="W6">
        <v>2</v>
      </c>
      <c r="X6">
        <v>2</v>
      </c>
      <c r="Y6">
        <f>IF(HR_data[[#This Row],[Attrition]]= "Yes",1,0)</f>
        <v>0</v>
      </c>
    </row>
    <row r="7" spans="1:25">
      <c r="A7">
        <v>6</v>
      </c>
      <c r="B7" t="s">
        <v>33</v>
      </c>
      <c r="C7" t="s">
        <v>34</v>
      </c>
      <c r="D7" t="s">
        <v>43</v>
      </c>
      <c r="E7" t="s">
        <v>36</v>
      </c>
      <c r="F7" t="s">
        <v>28</v>
      </c>
      <c r="G7">
        <v>1</v>
      </c>
      <c r="H7" t="s">
        <v>37</v>
      </c>
      <c r="I7" t="s">
        <v>42</v>
      </c>
      <c r="J7" t="s">
        <v>31</v>
      </c>
      <c r="K7" t="s">
        <v>33</v>
      </c>
      <c r="L7">
        <v>32</v>
      </c>
      <c r="M7">
        <v>2</v>
      </c>
      <c r="N7" t="s">
        <v>32</v>
      </c>
      <c r="O7">
        <v>4</v>
      </c>
      <c r="P7">
        <v>1</v>
      </c>
      <c r="Q7">
        <v>4</v>
      </c>
      <c r="R7">
        <v>3068</v>
      </c>
      <c r="S7">
        <v>8</v>
      </c>
      <c r="T7">
        <v>2</v>
      </c>
      <c r="U7">
        <v>7</v>
      </c>
      <c r="V7">
        <v>7</v>
      </c>
      <c r="W7">
        <v>3</v>
      </c>
      <c r="X7">
        <v>6</v>
      </c>
      <c r="Y7">
        <f>IF(HR_data[[#This Row],[Attrition]]= "Yes",1,0)</f>
        <v>0</v>
      </c>
    </row>
    <row r="8" spans="1:25">
      <c r="A8">
        <v>7</v>
      </c>
      <c r="B8" t="s">
        <v>33</v>
      </c>
      <c r="C8" t="s">
        <v>25</v>
      </c>
      <c r="D8" t="s">
        <v>46</v>
      </c>
      <c r="E8" t="s">
        <v>36</v>
      </c>
      <c r="F8" t="s">
        <v>45</v>
      </c>
      <c r="G8">
        <v>1</v>
      </c>
      <c r="H8" t="s">
        <v>29</v>
      </c>
      <c r="I8" t="s">
        <v>42</v>
      </c>
      <c r="J8" t="s">
        <v>39</v>
      </c>
      <c r="K8" t="s">
        <v>24</v>
      </c>
      <c r="L8">
        <v>59</v>
      </c>
      <c r="M8">
        <v>3</v>
      </c>
      <c r="N8" t="s">
        <v>47</v>
      </c>
      <c r="O8">
        <v>3</v>
      </c>
      <c r="P8">
        <v>1</v>
      </c>
      <c r="Q8">
        <v>1</v>
      </c>
      <c r="R8">
        <v>2670</v>
      </c>
      <c r="S8">
        <v>12</v>
      </c>
      <c r="T8">
        <v>2</v>
      </c>
      <c r="U8">
        <v>1</v>
      </c>
      <c r="V8">
        <v>0</v>
      </c>
      <c r="W8">
        <v>0</v>
      </c>
      <c r="X8">
        <v>0</v>
      </c>
      <c r="Y8">
        <f>IF(HR_data[[#This Row],[Attrition]]= "Yes",1,0)</f>
        <v>0</v>
      </c>
    </row>
    <row r="9" spans="1:25">
      <c r="A9">
        <v>8</v>
      </c>
      <c r="B9" t="s">
        <v>33</v>
      </c>
      <c r="C9" t="s">
        <v>25</v>
      </c>
      <c r="D9" t="s">
        <v>43</v>
      </c>
      <c r="E9" t="s">
        <v>36</v>
      </c>
      <c r="F9" t="s">
        <v>28</v>
      </c>
      <c r="G9">
        <v>1</v>
      </c>
      <c r="H9" t="s">
        <v>37</v>
      </c>
      <c r="I9" t="s">
        <v>42</v>
      </c>
      <c r="J9" t="s">
        <v>48</v>
      </c>
      <c r="K9" t="s">
        <v>33</v>
      </c>
      <c r="L9">
        <v>30</v>
      </c>
      <c r="M9">
        <v>24</v>
      </c>
      <c r="N9" t="s">
        <v>40</v>
      </c>
      <c r="O9">
        <v>4</v>
      </c>
      <c r="P9">
        <v>1</v>
      </c>
      <c r="Q9">
        <v>3</v>
      </c>
      <c r="R9">
        <v>2693</v>
      </c>
      <c r="S9">
        <v>1</v>
      </c>
      <c r="T9">
        <v>3</v>
      </c>
      <c r="U9">
        <v>1</v>
      </c>
      <c r="V9">
        <v>0</v>
      </c>
      <c r="W9">
        <v>0</v>
      </c>
      <c r="X9">
        <v>0</v>
      </c>
      <c r="Y9">
        <f>IF(HR_data[[#This Row],[Attrition]]= "Yes",1,0)</f>
        <v>0</v>
      </c>
    </row>
    <row r="10" spans="1:25">
      <c r="A10">
        <v>9</v>
      </c>
      <c r="B10" t="s">
        <v>33</v>
      </c>
      <c r="C10" t="s">
        <v>34</v>
      </c>
      <c r="D10" t="s">
        <v>26</v>
      </c>
      <c r="E10" t="s">
        <v>36</v>
      </c>
      <c r="F10" t="s">
        <v>28</v>
      </c>
      <c r="G10">
        <v>1</v>
      </c>
      <c r="H10" t="s">
        <v>37</v>
      </c>
      <c r="I10" t="s">
        <v>49</v>
      </c>
      <c r="J10" t="s">
        <v>31</v>
      </c>
      <c r="K10" t="s">
        <v>33</v>
      </c>
      <c r="L10">
        <v>38</v>
      </c>
      <c r="M10">
        <v>23</v>
      </c>
      <c r="N10" t="s">
        <v>47</v>
      </c>
      <c r="O10">
        <v>4</v>
      </c>
      <c r="P10">
        <v>3</v>
      </c>
      <c r="Q10">
        <v>3</v>
      </c>
      <c r="R10">
        <v>9526</v>
      </c>
      <c r="S10">
        <v>10</v>
      </c>
      <c r="T10">
        <v>3</v>
      </c>
      <c r="U10">
        <v>9</v>
      </c>
      <c r="V10">
        <v>7</v>
      </c>
      <c r="W10">
        <v>1</v>
      </c>
      <c r="X10">
        <v>8</v>
      </c>
      <c r="Y10">
        <f>IF(HR_data[[#This Row],[Attrition]]= "Yes",1,0)</f>
        <v>0</v>
      </c>
    </row>
    <row r="11" spans="1:25">
      <c r="A11">
        <v>10</v>
      </c>
      <c r="B11" t="s">
        <v>33</v>
      </c>
      <c r="C11" t="s">
        <v>25</v>
      </c>
      <c r="D11" t="s">
        <v>26</v>
      </c>
      <c r="E11" t="s">
        <v>36</v>
      </c>
      <c r="F11" t="s">
        <v>45</v>
      </c>
      <c r="G11">
        <v>1</v>
      </c>
      <c r="H11" t="s">
        <v>37</v>
      </c>
      <c r="I11" t="s">
        <v>50</v>
      </c>
      <c r="J11" t="s">
        <v>39</v>
      </c>
      <c r="K11" t="s">
        <v>33</v>
      </c>
      <c r="L11">
        <v>36</v>
      </c>
      <c r="M11">
        <v>27</v>
      </c>
      <c r="N11" t="s">
        <v>47</v>
      </c>
      <c r="O11">
        <v>3</v>
      </c>
      <c r="P11">
        <v>2</v>
      </c>
      <c r="Q11">
        <v>3</v>
      </c>
      <c r="R11">
        <v>5237</v>
      </c>
      <c r="S11">
        <v>17</v>
      </c>
      <c r="T11">
        <v>2</v>
      </c>
      <c r="U11">
        <v>7</v>
      </c>
      <c r="V11">
        <v>7</v>
      </c>
      <c r="W11">
        <v>7</v>
      </c>
      <c r="X11">
        <v>7</v>
      </c>
      <c r="Y11">
        <f>IF(HR_data[[#This Row],[Attrition]]= "Yes",1,0)</f>
        <v>0</v>
      </c>
    </row>
    <row r="12" spans="1:25">
      <c r="A12">
        <v>11</v>
      </c>
      <c r="B12" t="s">
        <v>33</v>
      </c>
      <c r="C12" t="s">
        <v>25</v>
      </c>
      <c r="D12" t="s">
        <v>26</v>
      </c>
      <c r="E12" t="s">
        <v>36</v>
      </c>
      <c r="F12" t="s">
        <v>45</v>
      </c>
      <c r="G12">
        <v>1</v>
      </c>
      <c r="H12" t="s">
        <v>37</v>
      </c>
      <c r="I12" t="s">
        <v>42</v>
      </c>
      <c r="J12" t="s">
        <v>39</v>
      </c>
      <c r="K12" t="s">
        <v>33</v>
      </c>
      <c r="L12">
        <v>35</v>
      </c>
      <c r="M12">
        <v>16</v>
      </c>
      <c r="N12" t="s">
        <v>47</v>
      </c>
      <c r="O12">
        <v>1</v>
      </c>
      <c r="P12">
        <v>1</v>
      </c>
      <c r="Q12">
        <v>2</v>
      </c>
      <c r="R12">
        <v>2426</v>
      </c>
      <c r="S12">
        <v>6</v>
      </c>
      <c r="T12">
        <v>3</v>
      </c>
      <c r="U12">
        <v>5</v>
      </c>
      <c r="V12">
        <v>4</v>
      </c>
      <c r="W12">
        <v>0</v>
      </c>
      <c r="X12">
        <v>3</v>
      </c>
      <c r="Y12">
        <f>IF(HR_data[[#This Row],[Attrition]]= "Yes",1,0)</f>
        <v>0</v>
      </c>
    </row>
    <row r="13" spans="1:25">
      <c r="A13">
        <v>12</v>
      </c>
      <c r="B13" t="s">
        <v>33</v>
      </c>
      <c r="C13" t="s">
        <v>25</v>
      </c>
      <c r="D13" t="s">
        <v>43</v>
      </c>
      <c r="E13" t="s">
        <v>36</v>
      </c>
      <c r="F13" t="s">
        <v>28</v>
      </c>
      <c r="G13">
        <v>1</v>
      </c>
      <c r="H13" t="s">
        <v>29</v>
      </c>
      <c r="I13" t="s">
        <v>42</v>
      </c>
      <c r="J13" t="s">
        <v>31</v>
      </c>
      <c r="K13" t="s">
        <v>24</v>
      </c>
      <c r="L13">
        <v>29</v>
      </c>
      <c r="M13">
        <v>15</v>
      </c>
      <c r="N13" t="s">
        <v>32</v>
      </c>
      <c r="O13">
        <v>4</v>
      </c>
      <c r="P13">
        <v>2</v>
      </c>
      <c r="Q13">
        <v>3</v>
      </c>
      <c r="R13">
        <v>4193</v>
      </c>
      <c r="S13">
        <v>10</v>
      </c>
      <c r="T13">
        <v>3</v>
      </c>
      <c r="U13">
        <v>9</v>
      </c>
      <c r="V13">
        <v>5</v>
      </c>
      <c r="W13">
        <v>0</v>
      </c>
      <c r="X13">
        <v>8</v>
      </c>
      <c r="Y13">
        <f>IF(HR_data[[#This Row],[Attrition]]= "Yes",1,0)</f>
        <v>0</v>
      </c>
    </row>
    <row r="14" spans="1:25">
      <c r="A14">
        <v>13</v>
      </c>
      <c r="B14" t="s">
        <v>33</v>
      </c>
      <c r="C14" t="s">
        <v>25</v>
      </c>
      <c r="D14" t="s">
        <v>43</v>
      </c>
      <c r="E14" t="s">
        <v>36</v>
      </c>
      <c r="F14" t="s">
        <v>28</v>
      </c>
      <c r="G14">
        <v>1</v>
      </c>
      <c r="H14" t="s">
        <v>37</v>
      </c>
      <c r="I14" t="s">
        <v>38</v>
      </c>
      <c r="J14" t="s">
        <v>48</v>
      </c>
      <c r="K14" t="s">
        <v>33</v>
      </c>
      <c r="L14">
        <v>31</v>
      </c>
      <c r="M14">
        <v>26</v>
      </c>
      <c r="N14" t="s">
        <v>40</v>
      </c>
      <c r="O14">
        <v>1</v>
      </c>
      <c r="P14">
        <v>1</v>
      </c>
      <c r="Q14">
        <v>3</v>
      </c>
      <c r="R14">
        <v>2911</v>
      </c>
      <c r="S14">
        <v>5</v>
      </c>
      <c r="T14">
        <v>2</v>
      </c>
      <c r="U14">
        <v>5</v>
      </c>
      <c r="V14">
        <v>2</v>
      </c>
      <c r="W14">
        <v>4</v>
      </c>
      <c r="X14">
        <v>3</v>
      </c>
      <c r="Y14">
        <f>IF(HR_data[[#This Row],[Attrition]]= "Yes",1,0)</f>
        <v>0</v>
      </c>
    </row>
    <row r="15" spans="1:25">
      <c r="A15">
        <v>14</v>
      </c>
      <c r="B15" t="s">
        <v>33</v>
      </c>
      <c r="C15" t="s">
        <v>25</v>
      </c>
      <c r="D15" t="s">
        <v>43</v>
      </c>
      <c r="E15" t="s">
        <v>36</v>
      </c>
      <c r="F15" t="s">
        <v>45</v>
      </c>
      <c r="G15">
        <v>1</v>
      </c>
      <c r="H15" t="s">
        <v>37</v>
      </c>
      <c r="I15" t="s">
        <v>42</v>
      </c>
      <c r="J15" t="s">
        <v>48</v>
      </c>
      <c r="K15" t="s">
        <v>33</v>
      </c>
      <c r="L15">
        <v>34</v>
      </c>
      <c r="M15">
        <v>19</v>
      </c>
      <c r="N15" t="s">
        <v>32</v>
      </c>
      <c r="O15">
        <v>2</v>
      </c>
      <c r="P15">
        <v>1</v>
      </c>
      <c r="Q15">
        <v>4</v>
      </c>
      <c r="R15">
        <v>2661</v>
      </c>
      <c r="S15">
        <v>3</v>
      </c>
      <c r="T15">
        <v>3</v>
      </c>
      <c r="U15">
        <v>2</v>
      </c>
      <c r="V15">
        <v>2</v>
      </c>
      <c r="W15">
        <v>1</v>
      </c>
      <c r="X15">
        <v>2</v>
      </c>
      <c r="Y15">
        <f>IF(HR_data[[#This Row],[Attrition]]= "Yes",1,0)</f>
        <v>0</v>
      </c>
    </row>
    <row r="16" spans="1:25">
      <c r="A16">
        <v>15</v>
      </c>
      <c r="B16" t="s">
        <v>24</v>
      </c>
      <c r="C16" t="s">
        <v>25</v>
      </c>
      <c r="D16" t="s">
        <v>43</v>
      </c>
      <c r="E16" t="s">
        <v>36</v>
      </c>
      <c r="F16" t="s">
        <v>28</v>
      </c>
      <c r="G16">
        <v>1</v>
      </c>
      <c r="H16" t="s">
        <v>37</v>
      </c>
      <c r="I16" t="s">
        <v>42</v>
      </c>
      <c r="J16" t="s">
        <v>31</v>
      </c>
      <c r="K16" t="s">
        <v>24</v>
      </c>
      <c r="L16">
        <v>28</v>
      </c>
      <c r="M16">
        <v>24</v>
      </c>
      <c r="N16" t="s">
        <v>47</v>
      </c>
      <c r="O16">
        <v>3</v>
      </c>
      <c r="P16">
        <v>1</v>
      </c>
      <c r="Q16">
        <v>3</v>
      </c>
      <c r="R16">
        <v>2028</v>
      </c>
      <c r="S16">
        <v>6</v>
      </c>
      <c r="T16">
        <v>3</v>
      </c>
      <c r="U16">
        <v>4</v>
      </c>
      <c r="V16">
        <v>2</v>
      </c>
      <c r="W16">
        <v>0</v>
      </c>
      <c r="X16">
        <v>3</v>
      </c>
      <c r="Y16">
        <f>IF(HR_data[[#This Row],[Attrition]]= "Yes",1,0)</f>
        <v>1</v>
      </c>
    </row>
    <row r="17" spans="1:25">
      <c r="A17">
        <v>16</v>
      </c>
      <c r="B17" t="s">
        <v>33</v>
      </c>
      <c r="C17" t="s">
        <v>25</v>
      </c>
      <c r="D17" t="s">
        <v>43</v>
      </c>
      <c r="E17" t="s">
        <v>36</v>
      </c>
      <c r="F17" t="s">
        <v>28</v>
      </c>
      <c r="G17">
        <v>1</v>
      </c>
      <c r="H17" t="s">
        <v>29</v>
      </c>
      <c r="I17" t="s">
        <v>49</v>
      </c>
      <c r="J17" t="s">
        <v>48</v>
      </c>
      <c r="K17" t="s">
        <v>33</v>
      </c>
      <c r="L17">
        <v>29</v>
      </c>
      <c r="M17">
        <v>21</v>
      </c>
      <c r="N17" t="s">
        <v>44</v>
      </c>
      <c r="O17">
        <v>2</v>
      </c>
      <c r="P17">
        <v>3</v>
      </c>
      <c r="Q17">
        <v>1</v>
      </c>
      <c r="R17">
        <v>9980</v>
      </c>
      <c r="S17">
        <v>10</v>
      </c>
      <c r="T17">
        <v>3</v>
      </c>
      <c r="U17">
        <v>10</v>
      </c>
      <c r="V17">
        <v>9</v>
      </c>
      <c r="W17">
        <v>8</v>
      </c>
      <c r="X17">
        <v>8</v>
      </c>
      <c r="Y17">
        <f>IF(HR_data[[#This Row],[Attrition]]= "Yes",1,0)</f>
        <v>0</v>
      </c>
    </row>
    <row r="18" spans="1:25">
      <c r="A18">
        <v>17</v>
      </c>
      <c r="B18" t="s">
        <v>33</v>
      </c>
      <c r="C18" t="s">
        <v>25</v>
      </c>
      <c r="D18" t="s">
        <v>43</v>
      </c>
      <c r="E18" t="s">
        <v>36</v>
      </c>
      <c r="F18" t="s">
        <v>28</v>
      </c>
      <c r="G18">
        <v>1</v>
      </c>
      <c r="H18" t="s">
        <v>37</v>
      </c>
      <c r="I18" t="s">
        <v>38</v>
      </c>
      <c r="J18" t="s">
        <v>48</v>
      </c>
      <c r="K18" t="s">
        <v>24</v>
      </c>
      <c r="L18">
        <v>32</v>
      </c>
      <c r="M18">
        <v>5</v>
      </c>
      <c r="N18" t="s">
        <v>32</v>
      </c>
      <c r="O18">
        <v>1</v>
      </c>
      <c r="P18">
        <v>1</v>
      </c>
      <c r="Q18">
        <v>2</v>
      </c>
      <c r="R18">
        <v>3298</v>
      </c>
      <c r="S18">
        <v>7</v>
      </c>
      <c r="T18">
        <v>2</v>
      </c>
      <c r="U18">
        <v>6</v>
      </c>
      <c r="V18">
        <v>2</v>
      </c>
      <c r="W18">
        <v>0</v>
      </c>
      <c r="X18">
        <v>5</v>
      </c>
      <c r="Y18">
        <f>IF(HR_data[[#This Row],[Attrition]]= "Yes",1,0)</f>
        <v>0</v>
      </c>
    </row>
    <row r="19" spans="1:25">
      <c r="A19">
        <v>18</v>
      </c>
      <c r="B19" t="s">
        <v>33</v>
      </c>
      <c r="C19" t="s">
        <v>51</v>
      </c>
      <c r="D19" t="s">
        <v>52</v>
      </c>
      <c r="E19" t="s">
        <v>36</v>
      </c>
      <c r="F19" t="s">
        <v>45</v>
      </c>
      <c r="G19">
        <v>1</v>
      </c>
      <c r="H19" t="s">
        <v>37</v>
      </c>
      <c r="I19" t="s">
        <v>42</v>
      </c>
      <c r="J19" t="s">
        <v>48</v>
      </c>
      <c r="K19" t="s">
        <v>24</v>
      </c>
      <c r="L19">
        <v>22</v>
      </c>
      <c r="M19">
        <v>16</v>
      </c>
      <c r="N19" t="s">
        <v>32</v>
      </c>
      <c r="O19">
        <v>4</v>
      </c>
      <c r="P19">
        <v>1</v>
      </c>
      <c r="Q19">
        <v>4</v>
      </c>
      <c r="R19">
        <v>2935</v>
      </c>
      <c r="S19">
        <v>1</v>
      </c>
      <c r="T19">
        <v>2</v>
      </c>
      <c r="U19">
        <v>1</v>
      </c>
      <c r="V19">
        <v>0</v>
      </c>
      <c r="W19">
        <v>0</v>
      </c>
      <c r="X19">
        <v>0</v>
      </c>
      <c r="Y19">
        <f>IF(HR_data[[#This Row],[Attrition]]= "Yes",1,0)</f>
        <v>0</v>
      </c>
    </row>
    <row r="20" spans="1:25">
      <c r="A20">
        <v>19</v>
      </c>
      <c r="B20" t="s">
        <v>33</v>
      </c>
      <c r="C20" t="s">
        <v>25</v>
      </c>
      <c r="D20" t="s">
        <v>35</v>
      </c>
      <c r="E20" t="s">
        <v>27</v>
      </c>
      <c r="F20" t="s">
        <v>28</v>
      </c>
      <c r="G20">
        <v>1</v>
      </c>
      <c r="H20" t="s">
        <v>29</v>
      </c>
      <c r="I20" t="s">
        <v>53</v>
      </c>
      <c r="J20" t="s">
        <v>39</v>
      </c>
      <c r="K20" t="s">
        <v>33</v>
      </c>
      <c r="L20">
        <v>53</v>
      </c>
      <c r="M20">
        <v>2</v>
      </c>
      <c r="N20" t="s">
        <v>44</v>
      </c>
      <c r="O20">
        <v>1</v>
      </c>
      <c r="P20">
        <v>4</v>
      </c>
      <c r="Q20">
        <v>4</v>
      </c>
      <c r="R20">
        <v>15427</v>
      </c>
      <c r="S20">
        <v>31</v>
      </c>
      <c r="T20">
        <v>3</v>
      </c>
      <c r="U20">
        <v>25</v>
      </c>
      <c r="V20">
        <v>8</v>
      </c>
      <c r="W20">
        <v>3</v>
      </c>
      <c r="X20">
        <v>7</v>
      </c>
      <c r="Y20">
        <f>IF(HR_data[[#This Row],[Attrition]]= "Yes",1,0)</f>
        <v>0</v>
      </c>
    </row>
    <row r="21" spans="1:25">
      <c r="A21">
        <v>20</v>
      </c>
      <c r="B21" t="s">
        <v>33</v>
      </c>
      <c r="C21" t="s">
        <v>25</v>
      </c>
      <c r="D21" t="s">
        <v>26</v>
      </c>
      <c r="E21" t="s">
        <v>36</v>
      </c>
      <c r="F21" t="s">
        <v>28</v>
      </c>
      <c r="G21">
        <v>1</v>
      </c>
      <c r="H21" t="s">
        <v>37</v>
      </c>
      <c r="I21" t="s">
        <v>38</v>
      </c>
      <c r="J21" t="s">
        <v>31</v>
      </c>
      <c r="K21" t="s">
        <v>24</v>
      </c>
      <c r="L21">
        <v>38</v>
      </c>
      <c r="M21">
        <v>2</v>
      </c>
      <c r="N21" t="s">
        <v>47</v>
      </c>
      <c r="O21">
        <v>4</v>
      </c>
      <c r="P21">
        <v>1</v>
      </c>
      <c r="Q21">
        <v>4</v>
      </c>
      <c r="R21">
        <v>3944</v>
      </c>
      <c r="S21">
        <v>6</v>
      </c>
      <c r="T21">
        <v>3</v>
      </c>
      <c r="U21">
        <v>3</v>
      </c>
      <c r="V21">
        <v>2</v>
      </c>
      <c r="W21">
        <v>1</v>
      </c>
      <c r="X21">
        <v>2</v>
      </c>
      <c r="Y21">
        <f>IF(HR_data[[#This Row],[Attrition]]= "Yes",1,0)</f>
        <v>0</v>
      </c>
    </row>
    <row r="22" spans="1:25">
      <c r="A22">
        <v>21</v>
      </c>
      <c r="B22" t="s">
        <v>33</v>
      </c>
      <c r="C22" t="s">
        <v>51</v>
      </c>
      <c r="D22" t="s">
        <v>52</v>
      </c>
      <c r="E22" t="s">
        <v>36</v>
      </c>
      <c r="F22" t="s">
        <v>41</v>
      </c>
      <c r="G22">
        <v>1</v>
      </c>
      <c r="H22" t="s">
        <v>29</v>
      </c>
      <c r="I22" t="s">
        <v>49</v>
      </c>
      <c r="J22" t="s">
        <v>48</v>
      </c>
      <c r="K22" t="s">
        <v>33</v>
      </c>
      <c r="L22">
        <v>24</v>
      </c>
      <c r="M22">
        <v>11</v>
      </c>
      <c r="N22" t="s">
        <v>32</v>
      </c>
      <c r="O22">
        <v>1</v>
      </c>
      <c r="P22">
        <v>2</v>
      </c>
      <c r="Q22">
        <v>3</v>
      </c>
      <c r="R22">
        <v>4011</v>
      </c>
      <c r="S22">
        <v>5</v>
      </c>
      <c r="T22">
        <v>2</v>
      </c>
      <c r="U22">
        <v>4</v>
      </c>
      <c r="V22">
        <v>2</v>
      </c>
      <c r="W22">
        <v>1</v>
      </c>
      <c r="X22">
        <v>3</v>
      </c>
      <c r="Y22">
        <f>IF(HR_data[[#This Row],[Attrition]]= "Yes",1,0)</f>
        <v>0</v>
      </c>
    </row>
    <row r="23" spans="1:25">
      <c r="A23">
        <v>22</v>
      </c>
      <c r="B23" t="s">
        <v>24</v>
      </c>
      <c r="C23" t="s">
        <v>25</v>
      </c>
      <c r="D23" t="s">
        <v>26</v>
      </c>
      <c r="E23" t="s">
        <v>27</v>
      </c>
      <c r="F23" t="s">
        <v>28</v>
      </c>
      <c r="G23">
        <v>1</v>
      </c>
      <c r="H23" t="s">
        <v>37</v>
      </c>
      <c r="I23" t="s">
        <v>54</v>
      </c>
      <c r="J23" t="s">
        <v>31</v>
      </c>
      <c r="K23" t="s">
        <v>33</v>
      </c>
      <c r="L23">
        <v>36</v>
      </c>
      <c r="M23">
        <v>9</v>
      </c>
      <c r="N23" t="s">
        <v>44</v>
      </c>
      <c r="O23">
        <v>3</v>
      </c>
      <c r="P23">
        <v>1</v>
      </c>
      <c r="Q23">
        <v>1</v>
      </c>
      <c r="R23">
        <v>3407</v>
      </c>
      <c r="S23">
        <v>10</v>
      </c>
      <c r="T23">
        <v>3</v>
      </c>
      <c r="U23">
        <v>5</v>
      </c>
      <c r="V23">
        <v>3</v>
      </c>
      <c r="W23">
        <v>0</v>
      </c>
      <c r="X23">
        <v>3</v>
      </c>
      <c r="Y23">
        <f>IF(HR_data[[#This Row],[Attrition]]= "Yes",1,0)</f>
        <v>1</v>
      </c>
    </row>
    <row r="24" spans="1:25">
      <c r="A24">
        <v>23</v>
      </c>
      <c r="B24" t="s">
        <v>33</v>
      </c>
      <c r="C24" t="s">
        <v>25</v>
      </c>
      <c r="D24" t="s">
        <v>43</v>
      </c>
      <c r="E24" t="s">
        <v>36</v>
      </c>
      <c r="F24" t="s">
        <v>28</v>
      </c>
      <c r="G24">
        <v>1</v>
      </c>
      <c r="H24" t="s">
        <v>29</v>
      </c>
      <c r="I24" t="s">
        <v>55</v>
      </c>
      <c r="J24" t="s">
        <v>31</v>
      </c>
      <c r="K24" t="s">
        <v>33</v>
      </c>
      <c r="L24">
        <v>34</v>
      </c>
      <c r="M24">
        <v>7</v>
      </c>
      <c r="N24" t="s">
        <v>44</v>
      </c>
      <c r="O24">
        <v>1</v>
      </c>
      <c r="P24">
        <v>3</v>
      </c>
      <c r="Q24">
        <v>2</v>
      </c>
      <c r="R24">
        <v>11994</v>
      </c>
      <c r="S24">
        <v>13</v>
      </c>
      <c r="T24">
        <v>3</v>
      </c>
      <c r="U24">
        <v>12</v>
      </c>
      <c r="V24">
        <v>6</v>
      </c>
      <c r="W24">
        <v>2</v>
      </c>
      <c r="X24">
        <v>11</v>
      </c>
      <c r="Y24">
        <f>IF(HR_data[[#This Row],[Attrition]]= "Yes",1,0)</f>
        <v>0</v>
      </c>
    </row>
    <row r="25" spans="1:25">
      <c r="A25">
        <v>24</v>
      </c>
      <c r="B25" t="s">
        <v>33</v>
      </c>
      <c r="C25" t="s">
        <v>25</v>
      </c>
      <c r="D25" t="s">
        <v>52</v>
      </c>
      <c r="E25" t="s">
        <v>36</v>
      </c>
      <c r="F25" t="s">
        <v>28</v>
      </c>
      <c r="G25">
        <v>1</v>
      </c>
      <c r="H25" t="s">
        <v>37</v>
      </c>
      <c r="I25" t="s">
        <v>38</v>
      </c>
      <c r="J25" t="s">
        <v>31</v>
      </c>
      <c r="K25" t="s">
        <v>33</v>
      </c>
      <c r="L25">
        <v>21</v>
      </c>
      <c r="M25">
        <v>15</v>
      </c>
      <c r="N25" t="s">
        <v>32</v>
      </c>
      <c r="O25">
        <v>3</v>
      </c>
      <c r="P25">
        <v>1</v>
      </c>
      <c r="Q25">
        <v>4</v>
      </c>
      <c r="R25">
        <v>1232</v>
      </c>
      <c r="S25">
        <v>0</v>
      </c>
      <c r="T25">
        <v>3</v>
      </c>
      <c r="U25">
        <v>0</v>
      </c>
      <c r="V25">
        <v>0</v>
      </c>
      <c r="W25">
        <v>0</v>
      </c>
      <c r="X25">
        <v>0</v>
      </c>
      <c r="Y25">
        <f>IF(HR_data[[#This Row],[Attrition]]= "Yes",1,0)</f>
        <v>0</v>
      </c>
    </row>
    <row r="26" spans="1:25">
      <c r="A26">
        <v>25</v>
      </c>
      <c r="B26" t="s">
        <v>24</v>
      </c>
      <c r="C26" t="s">
        <v>25</v>
      </c>
      <c r="D26" t="s">
        <v>43</v>
      </c>
      <c r="E26" t="s">
        <v>36</v>
      </c>
      <c r="F26" t="s">
        <v>45</v>
      </c>
      <c r="G26">
        <v>1</v>
      </c>
      <c r="H26" t="s">
        <v>37</v>
      </c>
      <c r="I26" t="s">
        <v>38</v>
      </c>
      <c r="J26" t="s">
        <v>31</v>
      </c>
      <c r="K26" t="s">
        <v>33</v>
      </c>
      <c r="L26">
        <v>34</v>
      </c>
      <c r="M26">
        <v>6</v>
      </c>
      <c r="N26" t="s">
        <v>40</v>
      </c>
      <c r="O26">
        <v>2</v>
      </c>
      <c r="P26">
        <v>1</v>
      </c>
      <c r="Q26">
        <v>1</v>
      </c>
      <c r="R26">
        <v>2960</v>
      </c>
      <c r="S26">
        <v>8</v>
      </c>
      <c r="T26">
        <v>3</v>
      </c>
      <c r="U26">
        <v>4</v>
      </c>
      <c r="V26">
        <v>2</v>
      </c>
      <c r="W26">
        <v>1</v>
      </c>
      <c r="X26">
        <v>3</v>
      </c>
      <c r="Y26">
        <f>IF(HR_data[[#This Row],[Attrition]]= "Yes",1,0)</f>
        <v>1</v>
      </c>
    </row>
    <row r="27" spans="1:25">
      <c r="A27">
        <v>26</v>
      </c>
      <c r="B27" t="s">
        <v>33</v>
      </c>
      <c r="C27" t="s">
        <v>25</v>
      </c>
      <c r="D27" t="s">
        <v>35</v>
      </c>
      <c r="E27" t="s">
        <v>36</v>
      </c>
      <c r="F27" t="s">
        <v>41</v>
      </c>
      <c r="G27">
        <v>1</v>
      </c>
      <c r="H27" t="s">
        <v>29</v>
      </c>
      <c r="I27" t="s">
        <v>53</v>
      </c>
      <c r="J27" t="s">
        <v>48</v>
      </c>
      <c r="K27" t="s">
        <v>33</v>
      </c>
      <c r="L27">
        <v>53</v>
      </c>
      <c r="M27">
        <v>5</v>
      </c>
      <c r="N27" t="s">
        <v>47</v>
      </c>
      <c r="O27">
        <v>3</v>
      </c>
      <c r="P27">
        <v>5</v>
      </c>
      <c r="Q27">
        <v>3</v>
      </c>
      <c r="R27">
        <v>19094</v>
      </c>
      <c r="S27">
        <v>26</v>
      </c>
      <c r="T27">
        <v>2</v>
      </c>
      <c r="U27">
        <v>14</v>
      </c>
      <c r="V27">
        <v>13</v>
      </c>
      <c r="W27">
        <v>4</v>
      </c>
      <c r="X27">
        <v>8</v>
      </c>
      <c r="Y27">
        <f>IF(HR_data[[#This Row],[Attrition]]= "Yes",1,0)</f>
        <v>0</v>
      </c>
    </row>
    <row r="28" spans="1:25">
      <c r="A28">
        <v>27</v>
      </c>
      <c r="B28" t="s">
        <v>24</v>
      </c>
      <c r="C28" t="s">
        <v>34</v>
      </c>
      <c r="D28" t="s">
        <v>43</v>
      </c>
      <c r="E28" t="s">
        <v>36</v>
      </c>
      <c r="F28" t="s">
        <v>28</v>
      </c>
      <c r="G28">
        <v>1</v>
      </c>
      <c r="H28" t="s">
        <v>29</v>
      </c>
      <c r="I28" t="s">
        <v>38</v>
      </c>
      <c r="J28" t="s">
        <v>31</v>
      </c>
      <c r="K28" t="s">
        <v>24</v>
      </c>
      <c r="L28">
        <v>32</v>
      </c>
      <c r="M28">
        <v>16</v>
      </c>
      <c r="N28" t="s">
        <v>40</v>
      </c>
      <c r="O28">
        <v>2</v>
      </c>
      <c r="P28">
        <v>1</v>
      </c>
      <c r="Q28">
        <v>1</v>
      </c>
      <c r="R28">
        <v>3919</v>
      </c>
      <c r="S28">
        <v>10</v>
      </c>
      <c r="T28">
        <v>3</v>
      </c>
      <c r="U28">
        <v>10</v>
      </c>
      <c r="V28">
        <v>2</v>
      </c>
      <c r="W28">
        <v>6</v>
      </c>
      <c r="X28">
        <v>7</v>
      </c>
      <c r="Y28">
        <f>IF(HR_data[[#This Row],[Attrition]]= "Yes",1,0)</f>
        <v>1</v>
      </c>
    </row>
    <row r="29" spans="1:25">
      <c r="A29">
        <v>28</v>
      </c>
      <c r="B29" t="s">
        <v>33</v>
      </c>
      <c r="C29" t="s">
        <v>25</v>
      </c>
      <c r="D29" t="s">
        <v>26</v>
      </c>
      <c r="E29" t="s">
        <v>27</v>
      </c>
      <c r="F29" t="s">
        <v>56</v>
      </c>
      <c r="G29">
        <v>1</v>
      </c>
      <c r="H29" t="s">
        <v>37</v>
      </c>
      <c r="I29" t="s">
        <v>30</v>
      </c>
      <c r="J29" t="s">
        <v>39</v>
      </c>
      <c r="K29" t="s">
        <v>33</v>
      </c>
      <c r="L29">
        <v>42</v>
      </c>
      <c r="M29">
        <v>8</v>
      </c>
      <c r="N29" t="s">
        <v>44</v>
      </c>
      <c r="O29">
        <v>3</v>
      </c>
      <c r="P29">
        <v>2</v>
      </c>
      <c r="Q29">
        <v>2</v>
      </c>
      <c r="R29">
        <v>6825</v>
      </c>
      <c r="S29">
        <v>10</v>
      </c>
      <c r="T29">
        <v>3</v>
      </c>
      <c r="U29">
        <v>9</v>
      </c>
      <c r="V29">
        <v>7</v>
      </c>
      <c r="W29">
        <v>4</v>
      </c>
      <c r="X29">
        <v>2</v>
      </c>
      <c r="Y29">
        <f>IF(HR_data[[#This Row],[Attrition]]= "Yes",1,0)</f>
        <v>0</v>
      </c>
    </row>
    <row r="30" spans="1:25">
      <c r="A30">
        <v>29</v>
      </c>
      <c r="B30" t="s">
        <v>33</v>
      </c>
      <c r="C30" t="s">
        <v>25</v>
      </c>
      <c r="D30" t="s">
        <v>26</v>
      </c>
      <c r="E30" t="s">
        <v>36</v>
      </c>
      <c r="F30" t="s">
        <v>45</v>
      </c>
      <c r="G30">
        <v>1</v>
      </c>
      <c r="H30" t="s">
        <v>29</v>
      </c>
      <c r="I30" t="s">
        <v>50</v>
      </c>
      <c r="J30" t="s">
        <v>39</v>
      </c>
      <c r="K30" t="s">
        <v>33</v>
      </c>
      <c r="L30">
        <v>44</v>
      </c>
      <c r="M30">
        <v>7</v>
      </c>
      <c r="N30" t="s">
        <v>44</v>
      </c>
      <c r="O30">
        <v>1</v>
      </c>
      <c r="P30">
        <v>3</v>
      </c>
      <c r="Q30">
        <v>4</v>
      </c>
      <c r="R30">
        <v>10248</v>
      </c>
      <c r="S30">
        <v>24</v>
      </c>
      <c r="T30">
        <v>3</v>
      </c>
      <c r="U30">
        <v>22</v>
      </c>
      <c r="V30">
        <v>6</v>
      </c>
      <c r="W30">
        <v>5</v>
      </c>
      <c r="X30">
        <v>17</v>
      </c>
      <c r="Y30">
        <f>IF(HR_data[[#This Row],[Attrition]]= "Yes",1,0)</f>
        <v>0</v>
      </c>
    </row>
    <row r="31" spans="1:25">
      <c r="A31">
        <v>30</v>
      </c>
      <c r="B31" t="s">
        <v>33</v>
      </c>
      <c r="C31" t="s">
        <v>25</v>
      </c>
      <c r="D31" t="s">
        <v>35</v>
      </c>
      <c r="E31" t="s">
        <v>27</v>
      </c>
      <c r="F31" t="s">
        <v>56</v>
      </c>
      <c r="G31">
        <v>1</v>
      </c>
      <c r="H31" t="s">
        <v>29</v>
      </c>
      <c r="I31" t="s">
        <v>53</v>
      </c>
      <c r="J31" t="s">
        <v>31</v>
      </c>
      <c r="K31" t="s">
        <v>33</v>
      </c>
      <c r="L31">
        <v>46</v>
      </c>
      <c r="M31">
        <v>2</v>
      </c>
      <c r="N31" t="s">
        <v>44</v>
      </c>
      <c r="O31">
        <v>2</v>
      </c>
      <c r="P31">
        <v>5</v>
      </c>
      <c r="Q31">
        <v>1</v>
      </c>
      <c r="R31">
        <v>18947</v>
      </c>
      <c r="S31">
        <v>22</v>
      </c>
      <c r="T31">
        <v>2</v>
      </c>
      <c r="U31">
        <v>2</v>
      </c>
      <c r="V31">
        <v>2</v>
      </c>
      <c r="W31">
        <v>2</v>
      </c>
      <c r="X31">
        <v>1</v>
      </c>
      <c r="Y31">
        <f>IF(HR_data[[#This Row],[Attrition]]= "Yes",1,0)</f>
        <v>0</v>
      </c>
    </row>
    <row r="32" spans="1:25">
      <c r="A32">
        <v>31</v>
      </c>
      <c r="B32" t="s">
        <v>33</v>
      </c>
      <c r="C32" t="s">
        <v>25</v>
      </c>
      <c r="D32" t="s">
        <v>43</v>
      </c>
      <c r="E32" t="s">
        <v>36</v>
      </c>
      <c r="F32" t="s">
        <v>45</v>
      </c>
      <c r="G32">
        <v>1</v>
      </c>
      <c r="H32" t="s">
        <v>37</v>
      </c>
      <c r="I32" t="s">
        <v>42</v>
      </c>
      <c r="J32" t="s">
        <v>31</v>
      </c>
      <c r="K32" t="s">
        <v>33</v>
      </c>
      <c r="L32">
        <v>33</v>
      </c>
      <c r="M32">
        <v>2</v>
      </c>
      <c r="N32" t="s">
        <v>47</v>
      </c>
      <c r="O32">
        <v>3</v>
      </c>
      <c r="P32">
        <v>1</v>
      </c>
      <c r="Q32">
        <v>4</v>
      </c>
      <c r="R32">
        <v>2496</v>
      </c>
      <c r="S32">
        <v>7</v>
      </c>
      <c r="T32">
        <v>3</v>
      </c>
      <c r="U32">
        <v>1</v>
      </c>
      <c r="V32">
        <v>1</v>
      </c>
      <c r="W32">
        <v>0</v>
      </c>
      <c r="X32">
        <v>0</v>
      </c>
      <c r="Y32">
        <f>IF(HR_data[[#This Row],[Attrition]]= "Yes",1,0)</f>
        <v>0</v>
      </c>
    </row>
    <row r="33" spans="1:25">
      <c r="A33">
        <v>32</v>
      </c>
      <c r="B33" t="s">
        <v>33</v>
      </c>
      <c r="C33" t="s">
        <v>25</v>
      </c>
      <c r="D33" t="s">
        <v>26</v>
      </c>
      <c r="E33" t="s">
        <v>36</v>
      </c>
      <c r="F33" t="s">
        <v>41</v>
      </c>
      <c r="G33">
        <v>1</v>
      </c>
      <c r="H33" t="s">
        <v>37</v>
      </c>
      <c r="I33" t="s">
        <v>50</v>
      </c>
      <c r="J33" t="s">
        <v>39</v>
      </c>
      <c r="K33" t="s">
        <v>24</v>
      </c>
      <c r="L33">
        <v>44</v>
      </c>
      <c r="M33">
        <v>10</v>
      </c>
      <c r="N33" t="s">
        <v>44</v>
      </c>
      <c r="O33">
        <v>4</v>
      </c>
      <c r="P33">
        <v>2</v>
      </c>
      <c r="Q33">
        <v>4</v>
      </c>
      <c r="R33">
        <v>6465</v>
      </c>
      <c r="S33">
        <v>9</v>
      </c>
      <c r="T33">
        <v>4</v>
      </c>
      <c r="U33">
        <v>4</v>
      </c>
      <c r="V33">
        <v>2</v>
      </c>
      <c r="W33">
        <v>1</v>
      </c>
      <c r="X33">
        <v>3</v>
      </c>
      <c r="Y33">
        <f>IF(HR_data[[#This Row],[Attrition]]= "Yes",1,0)</f>
        <v>0</v>
      </c>
    </row>
    <row r="34" spans="1:25">
      <c r="A34">
        <v>33</v>
      </c>
      <c r="B34" t="s">
        <v>33</v>
      </c>
      <c r="C34" t="s">
        <v>25</v>
      </c>
      <c r="D34" t="s">
        <v>43</v>
      </c>
      <c r="E34" t="s">
        <v>36</v>
      </c>
      <c r="F34" t="s">
        <v>45</v>
      </c>
      <c r="G34">
        <v>1</v>
      </c>
      <c r="H34" t="s">
        <v>37</v>
      </c>
      <c r="I34" t="s">
        <v>42</v>
      </c>
      <c r="J34" t="s">
        <v>31</v>
      </c>
      <c r="K34" t="s">
        <v>33</v>
      </c>
      <c r="L34">
        <v>30</v>
      </c>
      <c r="M34">
        <v>9</v>
      </c>
      <c r="N34" t="s">
        <v>32</v>
      </c>
      <c r="O34">
        <v>4</v>
      </c>
      <c r="P34">
        <v>1</v>
      </c>
      <c r="Q34">
        <v>3</v>
      </c>
      <c r="R34">
        <v>2206</v>
      </c>
      <c r="S34">
        <v>10</v>
      </c>
      <c r="T34">
        <v>3</v>
      </c>
      <c r="U34">
        <v>10</v>
      </c>
      <c r="V34">
        <v>0</v>
      </c>
      <c r="W34">
        <v>1</v>
      </c>
      <c r="X34">
        <v>8</v>
      </c>
      <c r="Y34">
        <f>IF(HR_data[[#This Row],[Attrition]]= "Yes",1,0)</f>
        <v>0</v>
      </c>
    </row>
    <row r="35" spans="1:25">
      <c r="A35">
        <v>34</v>
      </c>
      <c r="B35" t="s">
        <v>24</v>
      </c>
      <c r="C35" t="s">
        <v>25</v>
      </c>
      <c r="D35" t="s">
        <v>26</v>
      </c>
      <c r="E35" t="s">
        <v>27</v>
      </c>
      <c r="F35" t="s">
        <v>57</v>
      </c>
      <c r="G35">
        <v>1</v>
      </c>
      <c r="H35" t="s">
        <v>37</v>
      </c>
      <c r="I35" t="s">
        <v>54</v>
      </c>
      <c r="J35" t="s">
        <v>39</v>
      </c>
      <c r="K35" t="s">
        <v>33</v>
      </c>
      <c r="L35">
        <v>39</v>
      </c>
      <c r="M35">
        <v>5</v>
      </c>
      <c r="N35" t="s">
        <v>47</v>
      </c>
      <c r="O35">
        <v>4</v>
      </c>
      <c r="P35">
        <v>2</v>
      </c>
      <c r="Q35">
        <v>4</v>
      </c>
      <c r="R35">
        <v>2086</v>
      </c>
      <c r="S35">
        <v>19</v>
      </c>
      <c r="T35">
        <v>4</v>
      </c>
      <c r="U35">
        <v>1</v>
      </c>
      <c r="V35">
        <v>0</v>
      </c>
      <c r="W35">
        <v>0</v>
      </c>
      <c r="X35">
        <v>0</v>
      </c>
      <c r="Y35">
        <f>IF(HR_data[[#This Row],[Attrition]]= "Yes",1,0)</f>
        <v>1</v>
      </c>
    </row>
    <row r="36" spans="1:25">
      <c r="A36">
        <v>35</v>
      </c>
      <c r="B36" t="s">
        <v>24</v>
      </c>
      <c r="C36" t="s">
        <v>25</v>
      </c>
      <c r="D36" t="s">
        <v>52</v>
      </c>
      <c r="E36" t="s">
        <v>36</v>
      </c>
      <c r="F36" t="s">
        <v>45</v>
      </c>
      <c r="G36">
        <v>1</v>
      </c>
      <c r="H36" t="s">
        <v>37</v>
      </c>
      <c r="I36" t="s">
        <v>38</v>
      </c>
      <c r="J36" t="s">
        <v>39</v>
      </c>
      <c r="K36" t="s">
        <v>24</v>
      </c>
      <c r="L36">
        <v>24</v>
      </c>
      <c r="M36">
        <v>1</v>
      </c>
      <c r="N36" t="s">
        <v>47</v>
      </c>
      <c r="O36">
        <v>2</v>
      </c>
      <c r="P36">
        <v>1</v>
      </c>
      <c r="Q36">
        <v>4</v>
      </c>
      <c r="R36">
        <v>2293</v>
      </c>
      <c r="S36">
        <v>6</v>
      </c>
      <c r="T36">
        <v>2</v>
      </c>
      <c r="U36">
        <v>2</v>
      </c>
      <c r="V36">
        <v>0</v>
      </c>
      <c r="W36">
        <v>2</v>
      </c>
      <c r="X36">
        <v>0</v>
      </c>
      <c r="Y36">
        <f>IF(HR_data[[#This Row],[Attrition]]= "Yes",1,0)</f>
        <v>1</v>
      </c>
    </row>
    <row r="37" spans="1:25">
      <c r="A37">
        <v>36</v>
      </c>
      <c r="B37" t="s">
        <v>33</v>
      </c>
      <c r="C37" t="s">
        <v>25</v>
      </c>
      <c r="D37" t="s">
        <v>26</v>
      </c>
      <c r="E37" t="s">
        <v>36</v>
      </c>
      <c r="F37" t="s">
        <v>45</v>
      </c>
      <c r="G37">
        <v>1</v>
      </c>
      <c r="H37" t="s">
        <v>29</v>
      </c>
      <c r="I37" t="s">
        <v>38</v>
      </c>
      <c r="J37" t="s">
        <v>48</v>
      </c>
      <c r="K37" t="s">
        <v>33</v>
      </c>
      <c r="L37">
        <v>43</v>
      </c>
      <c r="M37">
        <v>2</v>
      </c>
      <c r="N37" t="s">
        <v>32</v>
      </c>
      <c r="O37">
        <v>4</v>
      </c>
      <c r="P37">
        <v>1</v>
      </c>
      <c r="Q37">
        <v>3</v>
      </c>
      <c r="R37">
        <v>2645</v>
      </c>
      <c r="S37">
        <v>6</v>
      </c>
      <c r="T37">
        <v>2</v>
      </c>
      <c r="U37">
        <v>5</v>
      </c>
      <c r="V37">
        <v>3</v>
      </c>
      <c r="W37">
        <v>1</v>
      </c>
      <c r="X37">
        <v>4</v>
      </c>
      <c r="Y37">
        <f>IF(HR_data[[#This Row],[Attrition]]= "Yes",1,0)</f>
        <v>0</v>
      </c>
    </row>
    <row r="38" spans="1:25">
      <c r="A38">
        <v>37</v>
      </c>
      <c r="B38" t="s">
        <v>24</v>
      </c>
      <c r="C38" t="s">
        <v>25</v>
      </c>
      <c r="D38" t="s">
        <v>35</v>
      </c>
      <c r="E38" t="s">
        <v>27</v>
      </c>
      <c r="F38" t="s">
        <v>56</v>
      </c>
      <c r="G38">
        <v>1</v>
      </c>
      <c r="H38" t="s">
        <v>37</v>
      </c>
      <c r="I38" t="s">
        <v>54</v>
      </c>
      <c r="J38" t="s">
        <v>39</v>
      </c>
      <c r="K38" t="s">
        <v>24</v>
      </c>
      <c r="L38">
        <v>50</v>
      </c>
      <c r="M38">
        <v>3</v>
      </c>
      <c r="N38" t="s">
        <v>32</v>
      </c>
      <c r="O38">
        <v>1</v>
      </c>
      <c r="P38">
        <v>1</v>
      </c>
      <c r="Q38">
        <v>3</v>
      </c>
      <c r="R38">
        <v>2683</v>
      </c>
      <c r="S38">
        <v>3</v>
      </c>
      <c r="T38">
        <v>3</v>
      </c>
      <c r="U38">
        <v>3</v>
      </c>
      <c r="V38">
        <v>2</v>
      </c>
      <c r="W38">
        <v>0</v>
      </c>
      <c r="X38">
        <v>2</v>
      </c>
      <c r="Y38">
        <f>IF(HR_data[[#This Row],[Attrition]]= "Yes",1,0)</f>
        <v>1</v>
      </c>
    </row>
    <row r="39" spans="1:25">
      <c r="A39">
        <v>38</v>
      </c>
      <c r="B39" t="s">
        <v>33</v>
      </c>
      <c r="C39" t="s">
        <v>25</v>
      </c>
      <c r="D39" t="s">
        <v>26</v>
      </c>
      <c r="E39" t="s">
        <v>27</v>
      </c>
      <c r="F39" t="s">
        <v>56</v>
      </c>
      <c r="G39">
        <v>1</v>
      </c>
      <c r="H39" t="s">
        <v>29</v>
      </c>
      <c r="I39" t="s">
        <v>54</v>
      </c>
      <c r="J39" t="s">
        <v>39</v>
      </c>
      <c r="K39" t="s">
        <v>33</v>
      </c>
      <c r="L39">
        <v>35</v>
      </c>
      <c r="M39">
        <v>2</v>
      </c>
      <c r="N39" t="s">
        <v>47</v>
      </c>
      <c r="O39">
        <v>4</v>
      </c>
      <c r="P39">
        <v>1</v>
      </c>
      <c r="Q39">
        <v>4</v>
      </c>
      <c r="R39">
        <v>2014</v>
      </c>
      <c r="S39">
        <v>2</v>
      </c>
      <c r="T39">
        <v>3</v>
      </c>
      <c r="U39">
        <v>2</v>
      </c>
      <c r="V39">
        <v>2</v>
      </c>
      <c r="W39">
        <v>2</v>
      </c>
      <c r="X39">
        <v>2</v>
      </c>
      <c r="Y39">
        <f>IF(HR_data[[#This Row],[Attrition]]= "Yes",1,0)</f>
        <v>0</v>
      </c>
    </row>
    <row r="40" spans="1:25">
      <c r="A40">
        <v>39</v>
      </c>
      <c r="B40" t="s">
        <v>33</v>
      </c>
      <c r="C40" t="s">
        <v>25</v>
      </c>
      <c r="D40" t="s">
        <v>26</v>
      </c>
      <c r="E40" t="s">
        <v>36</v>
      </c>
      <c r="F40" t="s">
        <v>28</v>
      </c>
      <c r="G40">
        <v>1</v>
      </c>
      <c r="H40" t="s">
        <v>29</v>
      </c>
      <c r="I40" t="s">
        <v>38</v>
      </c>
      <c r="J40" t="s">
        <v>39</v>
      </c>
      <c r="K40" t="s">
        <v>24</v>
      </c>
      <c r="L40">
        <v>36</v>
      </c>
      <c r="M40">
        <v>5</v>
      </c>
      <c r="N40" t="s">
        <v>44</v>
      </c>
      <c r="O40">
        <v>2</v>
      </c>
      <c r="P40">
        <v>1</v>
      </c>
      <c r="Q40">
        <v>1</v>
      </c>
      <c r="R40">
        <v>3419</v>
      </c>
      <c r="S40">
        <v>6</v>
      </c>
      <c r="T40">
        <v>4</v>
      </c>
      <c r="U40">
        <v>1</v>
      </c>
      <c r="V40">
        <v>1</v>
      </c>
      <c r="W40">
        <v>0</v>
      </c>
      <c r="X40">
        <v>0</v>
      </c>
      <c r="Y40">
        <f>IF(HR_data[[#This Row],[Attrition]]= "Yes",1,0)</f>
        <v>0</v>
      </c>
    </row>
    <row r="41" spans="1:25">
      <c r="A41">
        <v>40</v>
      </c>
      <c r="B41" t="s">
        <v>33</v>
      </c>
      <c r="C41" t="s">
        <v>34</v>
      </c>
      <c r="D41" t="s">
        <v>43</v>
      </c>
      <c r="E41" t="s">
        <v>27</v>
      </c>
      <c r="F41" t="s">
        <v>28</v>
      </c>
      <c r="G41">
        <v>1</v>
      </c>
      <c r="H41" t="s">
        <v>29</v>
      </c>
      <c r="I41" t="s">
        <v>30</v>
      </c>
      <c r="J41" t="s">
        <v>39</v>
      </c>
      <c r="K41" t="s">
        <v>33</v>
      </c>
      <c r="L41">
        <v>33</v>
      </c>
      <c r="M41">
        <v>1</v>
      </c>
      <c r="N41" t="s">
        <v>47</v>
      </c>
      <c r="O41">
        <v>3</v>
      </c>
      <c r="P41">
        <v>2</v>
      </c>
      <c r="Q41">
        <v>1</v>
      </c>
      <c r="R41">
        <v>5376</v>
      </c>
      <c r="S41">
        <v>10</v>
      </c>
      <c r="T41">
        <v>3</v>
      </c>
      <c r="U41">
        <v>5</v>
      </c>
      <c r="V41">
        <v>3</v>
      </c>
      <c r="W41">
        <v>1</v>
      </c>
      <c r="X41">
        <v>3</v>
      </c>
      <c r="Y41">
        <f>IF(HR_data[[#This Row],[Attrition]]= "Yes",1,0)</f>
        <v>0</v>
      </c>
    </row>
    <row r="42" spans="1:25">
      <c r="A42">
        <v>41</v>
      </c>
      <c r="B42" t="s">
        <v>33</v>
      </c>
      <c r="C42" t="s">
        <v>25</v>
      </c>
      <c r="D42" t="s">
        <v>26</v>
      </c>
      <c r="E42" t="s">
        <v>36</v>
      </c>
      <c r="F42" t="s">
        <v>41</v>
      </c>
      <c r="G42">
        <v>1</v>
      </c>
      <c r="H42" t="s">
        <v>37</v>
      </c>
      <c r="I42" t="s">
        <v>42</v>
      </c>
      <c r="J42" t="s">
        <v>48</v>
      </c>
      <c r="K42" t="s">
        <v>33</v>
      </c>
      <c r="L42">
        <v>35</v>
      </c>
      <c r="M42">
        <v>4</v>
      </c>
      <c r="N42" t="s">
        <v>32</v>
      </c>
      <c r="O42">
        <v>3</v>
      </c>
      <c r="P42">
        <v>1</v>
      </c>
      <c r="Q42">
        <v>4</v>
      </c>
      <c r="R42">
        <v>1951</v>
      </c>
      <c r="S42">
        <v>1</v>
      </c>
      <c r="T42">
        <v>3</v>
      </c>
      <c r="U42">
        <v>1</v>
      </c>
      <c r="V42">
        <v>0</v>
      </c>
      <c r="W42">
        <v>0</v>
      </c>
      <c r="X42">
        <v>0</v>
      </c>
      <c r="Y42">
        <f>IF(HR_data[[#This Row],[Attrition]]= "Yes",1,0)</f>
        <v>0</v>
      </c>
    </row>
    <row r="43" spans="1:25">
      <c r="A43">
        <v>42</v>
      </c>
      <c r="B43" t="s">
        <v>33</v>
      </c>
      <c r="C43" t="s">
        <v>25</v>
      </c>
      <c r="D43" t="s">
        <v>43</v>
      </c>
      <c r="E43" t="s">
        <v>36</v>
      </c>
      <c r="F43" t="s">
        <v>28</v>
      </c>
      <c r="G43">
        <v>1</v>
      </c>
      <c r="H43" t="s">
        <v>29</v>
      </c>
      <c r="I43" t="s">
        <v>42</v>
      </c>
      <c r="J43" t="s">
        <v>48</v>
      </c>
      <c r="K43" t="s">
        <v>33</v>
      </c>
      <c r="L43">
        <v>27</v>
      </c>
      <c r="M43">
        <v>2</v>
      </c>
      <c r="N43" t="s">
        <v>44</v>
      </c>
      <c r="O43">
        <v>4</v>
      </c>
      <c r="P43">
        <v>1</v>
      </c>
      <c r="Q43">
        <v>1</v>
      </c>
      <c r="R43">
        <v>2341</v>
      </c>
      <c r="S43">
        <v>1</v>
      </c>
      <c r="T43">
        <v>3</v>
      </c>
      <c r="U43">
        <v>1</v>
      </c>
      <c r="V43">
        <v>0</v>
      </c>
      <c r="W43">
        <v>0</v>
      </c>
      <c r="X43">
        <v>0</v>
      </c>
      <c r="Y43">
        <f>IF(HR_data[[#This Row],[Attrition]]= "Yes",1,0)</f>
        <v>0</v>
      </c>
    </row>
    <row r="44" spans="1:25">
      <c r="A44">
        <v>43</v>
      </c>
      <c r="B44" t="s">
        <v>24</v>
      </c>
      <c r="C44" t="s">
        <v>25</v>
      </c>
      <c r="D44" t="s">
        <v>43</v>
      </c>
      <c r="E44" t="s">
        <v>36</v>
      </c>
      <c r="F44" t="s">
        <v>28</v>
      </c>
      <c r="G44">
        <v>1</v>
      </c>
      <c r="H44" t="s">
        <v>37</v>
      </c>
      <c r="I44" t="s">
        <v>42</v>
      </c>
      <c r="J44" t="s">
        <v>31</v>
      </c>
      <c r="K44" t="s">
        <v>33</v>
      </c>
      <c r="L44">
        <v>26</v>
      </c>
      <c r="M44">
        <v>25</v>
      </c>
      <c r="N44" t="s">
        <v>47</v>
      </c>
      <c r="O44">
        <v>1</v>
      </c>
      <c r="P44">
        <v>1</v>
      </c>
      <c r="Q44">
        <v>3</v>
      </c>
      <c r="R44">
        <v>2293</v>
      </c>
      <c r="S44">
        <v>1</v>
      </c>
      <c r="T44">
        <v>2</v>
      </c>
      <c r="U44">
        <v>1</v>
      </c>
      <c r="V44">
        <v>0</v>
      </c>
      <c r="W44">
        <v>0</v>
      </c>
      <c r="X44">
        <v>1</v>
      </c>
      <c r="Y44">
        <f>IF(HR_data[[#This Row],[Attrition]]= "Yes",1,0)</f>
        <v>1</v>
      </c>
    </row>
    <row r="45" spans="1:25">
      <c r="A45">
        <v>44</v>
      </c>
      <c r="B45" t="s">
        <v>33</v>
      </c>
      <c r="C45" t="s">
        <v>34</v>
      </c>
      <c r="D45" t="s">
        <v>43</v>
      </c>
      <c r="E45" t="s">
        <v>27</v>
      </c>
      <c r="F45" t="s">
        <v>28</v>
      </c>
      <c r="G45">
        <v>1</v>
      </c>
      <c r="H45" t="s">
        <v>37</v>
      </c>
      <c r="I45" t="s">
        <v>30</v>
      </c>
      <c r="J45" t="s">
        <v>31</v>
      </c>
      <c r="K45" t="s">
        <v>33</v>
      </c>
      <c r="L45">
        <v>27</v>
      </c>
      <c r="M45">
        <v>8</v>
      </c>
      <c r="N45" t="s">
        <v>47</v>
      </c>
      <c r="O45">
        <v>4</v>
      </c>
      <c r="P45">
        <v>3</v>
      </c>
      <c r="Q45">
        <v>3</v>
      </c>
      <c r="R45">
        <v>8726</v>
      </c>
      <c r="S45">
        <v>9</v>
      </c>
      <c r="T45">
        <v>3</v>
      </c>
      <c r="U45">
        <v>9</v>
      </c>
      <c r="V45">
        <v>8</v>
      </c>
      <c r="W45">
        <v>1</v>
      </c>
      <c r="X45">
        <v>7</v>
      </c>
      <c r="Y45">
        <f>IF(HR_data[[#This Row],[Attrition]]= "Yes",1,0)</f>
        <v>0</v>
      </c>
    </row>
    <row r="46" spans="1:25">
      <c r="A46">
        <v>45</v>
      </c>
      <c r="B46" t="s">
        <v>33</v>
      </c>
      <c r="C46" t="s">
        <v>34</v>
      </c>
      <c r="D46" t="s">
        <v>43</v>
      </c>
      <c r="E46" t="s">
        <v>36</v>
      </c>
      <c r="F46" t="s">
        <v>45</v>
      </c>
      <c r="G46">
        <v>1</v>
      </c>
      <c r="H46" t="s">
        <v>29</v>
      </c>
      <c r="I46" t="s">
        <v>42</v>
      </c>
      <c r="J46" t="s">
        <v>31</v>
      </c>
      <c r="K46" t="s">
        <v>33</v>
      </c>
      <c r="L46">
        <v>30</v>
      </c>
      <c r="M46">
        <v>1</v>
      </c>
      <c r="N46" t="s">
        <v>32</v>
      </c>
      <c r="O46">
        <v>3</v>
      </c>
      <c r="P46">
        <v>2</v>
      </c>
      <c r="Q46">
        <v>4</v>
      </c>
      <c r="R46">
        <v>4011</v>
      </c>
      <c r="S46">
        <v>12</v>
      </c>
      <c r="T46">
        <v>3</v>
      </c>
      <c r="U46">
        <v>12</v>
      </c>
      <c r="V46">
        <v>8</v>
      </c>
      <c r="W46">
        <v>3</v>
      </c>
      <c r="X46">
        <v>7</v>
      </c>
      <c r="Y46">
        <f>IF(HR_data[[#This Row],[Attrition]]= "Yes",1,0)</f>
        <v>0</v>
      </c>
    </row>
    <row r="47" spans="1:25">
      <c r="A47">
        <v>46</v>
      </c>
      <c r="B47" t="s">
        <v>24</v>
      </c>
      <c r="C47" t="s">
        <v>25</v>
      </c>
      <c r="D47" t="s">
        <v>26</v>
      </c>
      <c r="E47" t="s">
        <v>36</v>
      </c>
      <c r="F47" t="s">
        <v>57</v>
      </c>
      <c r="G47">
        <v>1</v>
      </c>
      <c r="H47" t="s">
        <v>29</v>
      </c>
      <c r="I47" t="s">
        <v>55</v>
      </c>
      <c r="J47" t="s">
        <v>39</v>
      </c>
      <c r="K47" t="s">
        <v>33</v>
      </c>
      <c r="L47">
        <v>41</v>
      </c>
      <c r="M47">
        <v>12</v>
      </c>
      <c r="N47" t="s">
        <v>47</v>
      </c>
      <c r="O47">
        <v>2</v>
      </c>
      <c r="P47">
        <v>5</v>
      </c>
      <c r="Q47">
        <v>3</v>
      </c>
      <c r="R47">
        <v>19545</v>
      </c>
      <c r="S47">
        <v>23</v>
      </c>
      <c r="T47">
        <v>3</v>
      </c>
      <c r="U47">
        <v>22</v>
      </c>
      <c r="V47">
        <v>15</v>
      </c>
      <c r="W47">
        <v>15</v>
      </c>
      <c r="X47">
        <v>8</v>
      </c>
      <c r="Y47">
        <f>IF(HR_data[[#This Row],[Attrition]]= "Yes",1,0)</f>
        <v>1</v>
      </c>
    </row>
    <row r="48" spans="1:25">
      <c r="A48">
        <v>47</v>
      </c>
      <c r="B48" t="s">
        <v>33</v>
      </c>
      <c r="C48" t="s">
        <v>51</v>
      </c>
      <c r="D48" t="s">
        <v>43</v>
      </c>
      <c r="E48" t="s">
        <v>27</v>
      </c>
      <c r="F48" t="s">
        <v>56</v>
      </c>
      <c r="G48">
        <v>1</v>
      </c>
      <c r="H48" t="s">
        <v>37</v>
      </c>
      <c r="I48" t="s">
        <v>30</v>
      </c>
      <c r="J48" t="s">
        <v>31</v>
      </c>
      <c r="K48" t="s">
        <v>33</v>
      </c>
      <c r="L48">
        <v>34</v>
      </c>
      <c r="M48">
        <v>23</v>
      </c>
      <c r="N48" t="s">
        <v>44</v>
      </c>
      <c r="O48">
        <v>2</v>
      </c>
      <c r="P48">
        <v>2</v>
      </c>
      <c r="Q48">
        <v>3</v>
      </c>
      <c r="R48">
        <v>4568</v>
      </c>
      <c r="S48">
        <v>10</v>
      </c>
      <c r="T48">
        <v>3</v>
      </c>
      <c r="U48">
        <v>9</v>
      </c>
      <c r="V48">
        <v>5</v>
      </c>
      <c r="W48">
        <v>8</v>
      </c>
      <c r="X48">
        <v>7</v>
      </c>
      <c r="Y48">
        <f>IF(HR_data[[#This Row],[Attrition]]= "Yes",1,0)</f>
        <v>0</v>
      </c>
    </row>
    <row r="49" spans="1:25">
      <c r="A49">
        <v>48</v>
      </c>
      <c r="B49" t="s">
        <v>33</v>
      </c>
      <c r="C49" t="s">
        <v>25</v>
      </c>
      <c r="D49" t="s">
        <v>26</v>
      </c>
      <c r="E49" t="s">
        <v>36</v>
      </c>
      <c r="F49" t="s">
        <v>28</v>
      </c>
      <c r="G49">
        <v>1</v>
      </c>
      <c r="H49" t="s">
        <v>37</v>
      </c>
      <c r="I49" t="s">
        <v>38</v>
      </c>
      <c r="J49" t="s">
        <v>39</v>
      </c>
      <c r="K49" t="s">
        <v>33</v>
      </c>
      <c r="L49">
        <v>37</v>
      </c>
      <c r="M49">
        <v>19</v>
      </c>
      <c r="N49" t="s">
        <v>32</v>
      </c>
      <c r="O49">
        <v>2</v>
      </c>
      <c r="P49">
        <v>1</v>
      </c>
      <c r="Q49">
        <v>2</v>
      </c>
      <c r="R49">
        <v>3022</v>
      </c>
      <c r="S49">
        <v>8</v>
      </c>
      <c r="T49">
        <v>3</v>
      </c>
      <c r="U49">
        <v>1</v>
      </c>
      <c r="V49">
        <v>0</v>
      </c>
      <c r="W49">
        <v>0</v>
      </c>
      <c r="X49">
        <v>0</v>
      </c>
      <c r="Y49">
        <f>IF(HR_data[[#This Row],[Attrition]]= "Yes",1,0)</f>
        <v>0</v>
      </c>
    </row>
    <row r="50" spans="1:25">
      <c r="A50">
        <v>49</v>
      </c>
      <c r="B50" t="s">
        <v>33</v>
      </c>
      <c r="C50" t="s">
        <v>34</v>
      </c>
      <c r="D50" t="s">
        <v>35</v>
      </c>
      <c r="E50" t="s">
        <v>27</v>
      </c>
      <c r="F50" t="s">
        <v>56</v>
      </c>
      <c r="G50">
        <v>1</v>
      </c>
      <c r="H50" t="s">
        <v>37</v>
      </c>
      <c r="I50" t="s">
        <v>30</v>
      </c>
      <c r="J50" t="s">
        <v>31</v>
      </c>
      <c r="K50" t="s">
        <v>24</v>
      </c>
      <c r="L50">
        <v>46</v>
      </c>
      <c r="M50">
        <v>5</v>
      </c>
      <c r="N50" t="s">
        <v>44</v>
      </c>
      <c r="O50">
        <v>1</v>
      </c>
      <c r="P50">
        <v>2</v>
      </c>
      <c r="Q50">
        <v>4</v>
      </c>
      <c r="R50">
        <v>5772</v>
      </c>
      <c r="S50">
        <v>14</v>
      </c>
      <c r="T50">
        <v>3</v>
      </c>
      <c r="U50">
        <v>9</v>
      </c>
      <c r="V50">
        <v>6</v>
      </c>
      <c r="W50">
        <v>0</v>
      </c>
      <c r="X50">
        <v>8</v>
      </c>
      <c r="Y50">
        <f>IF(HR_data[[#This Row],[Attrition]]= "Yes",1,0)</f>
        <v>0</v>
      </c>
    </row>
    <row r="51" spans="1:25">
      <c r="A51">
        <v>50</v>
      </c>
      <c r="B51" t="s">
        <v>33</v>
      </c>
      <c r="C51" t="s">
        <v>25</v>
      </c>
      <c r="D51" t="s">
        <v>26</v>
      </c>
      <c r="E51" t="s">
        <v>36</v>
      </c>
      <c r="F51" t="s">
        <v>28</v>
      </c>
      <c r="G51">
        <v>1</v>
      </c>
      <c r="H51" t="s">
        <v>37</v>
      </c>
      <c r="I51" t="s">
        <v>42</v>
      </c>
      <c r="J51" t="s">
        <v>39</v>
      </c>
      <c r="K51" t="s">
        <v>33</v>
      </c>
      <c r="L51">
        <v>35</v>
      </c>
      <c r="M51">
        <v>8</v>
      </c>
      <c r="N51" t="s">
        <v>40</v>
      </c>
      <c r="O51">
        <v>4</v>
      </c>
      <c r="P51">
        <v>1</v>
      </c>
      <c r="Q51">
        <v>4</v>
      </c>
      <c r="R51">
        <v>2269</v>
      </c>
      <c r="S51">
        <v>1</v>
      </c>
      <c r="T51">
        <v>3</v>
      </c>
      <c r="U51">
        <v>1</v>
      </c>
      <c r="V51">
        <v>0</v>
      </c>
      <c r="W51">
        <v>0</v>
      </c>
      <c r="X51">
        <v>1</v>
      </c>
      <c r="Y51">
        <f>IF(HR_data[[#This Row],[Attrition]]= "Yes",1,0)</f>
        <v>0</v>
      </c>
    </row>
    <row r="52" spans="1:25">
      <c r="A52">
        <v>51</v>
      </c>
      <c r="B52" t="s">
        <v>24</v>
      </c>
      <c r="C52" t="s">
        <v>25</v>
      </c>
      <c r="D52" t="s">
        <v>35</v>
      </c>
      <c r="E52" t="s">
        <v>36</v>
      </c>
      <c r="F52" t="s">
        <v>28</v>
      </c>
      <c r="G52">
        <v>1</v>
      </c>
      <c r="H52" t="s">
        <v>37</v>
      </c>
      <c r="I52" t="s">
        <v>42</v>
      </c>
      <c r="J52" t="s">
        <v>31</v>
      </c>
      <c r="K52" t="s">
        <v>24</v>
      </c>
      <c r="L52">
        <v>48</v>
      </c>
      <c r="M52">
        <v>1</v>
      </c>
      <c r="N52" t="s">
        <v>32</v>
      </c>
      <c r="O52">
        <v>1</v>
      </c>
      <c r="P52">
        <v>3</v>
      </c>
      <c r="Q52">
        <v>3</v>
      </c>
      <c r="R52">
        <v>5381</v>
      </c>
      <c r="S52">
        <v>23</v>
      </c>
      <c r="T52">
        <v>3</v>
      </c>
      <c r="U52">
        <v>1</v>
      </c>
      <c r="V52">
        <v>0</v>
      </c>
      <c r="W52">
        <v>0</v>
      </c>
      <c r="X52">
        <v>0</v>
      </c>
      <c r="Y52">
        <f>IF(HR_data[[#This Row],[Attrition]]= "Yes",1,0)</f>
        <v>1</v>
      </c>
    </row>
    <row r="53" spans="1:25">
      <c r="A53">
        <v>52</v>
      </c>
      <c r="B53" t="s">
        <v>24</v>
      </c>
      <c r="C53" t="s">
        <v>25</v>
      </c>
      <c r="D53" t="s">
        <v>43</v>
      </c>
      <c r="E53" t="s">
        <v>36</v>
      </c>
      <c r="F53" t="s">
        <v>57</v>
      </c>
      <c r="G53">
        <v>1</v>
      </c>
      <c r="H53" t="s">
        <v>37</v>
      </c>
      <c r="I53" t="s">
        <v>42</v>
      </c>
      <c r="J53" t="s">
        <v>31</v>
      </c>
      <c r="K53" t="s">
        <v>24</v>
      </c>
      <c r="L53">
        <v>28</v>
      </c>
      <c r="M53">
        <v>5</v>
      </c>
      <c r="N53" t="s">
        <v>44</v>
      </c>
      <c r="O53">
        <v>3</v>
      </c>
      <c r="P53">
        <v>1</v>
      </c>
      <c r="Q53">
        <v>3</v>
      </c>
      <c r="R53">
        <v>3441</v>
      </c>
      <c r="S53">
        <v>2</v>
      </c>
      <c r="T53">
        <v>2</v>
      </c>
      <c r="U53">
        <v>2</v>
      </c>
      <c r="V53">
        <v>2</v>
      </c>
      <c r="W53">
        <v>2</v>
      </c>
      <c r="X53">
        <v>2</v>
      </c>
      <c r="Y53">
        <f>IF(HR_data[[#This Row],[Attrition]]= "Yes",1,0)</f>
        <v>1</v>
      </c>
    </row>
    <row r="54" spans="1:25">
      <c r="A54">
        <v>53</v>
      </c>
      <c r="B54" t="s">
        <v>33</v>
      </c>
      <c r="C54" t="s">
        <v>25</v>
      </c>
      <c r="D54" t="s">
        <v>26</v>
      </c>
      <c r="E54" t="s">
        <v>27</v>
      </c>
      <c r="F54" t="s">
        <v>56</v>
      </c>
      <c r="G54">
        <v>1</v>
      </c>
      <c r="H54" t="s">
        <v>29</v>
      </c>
      <c r="I54" t="s">
        <v>30</v>
      </c>
      <c r="J54" t="s">
        <v>48</v>
      </c>
      <c r="K54" t="s">
        <v>24</v>
      </c>
      <c r="L54">
        <v>44</v>
      </c>
      <c r="M54">
        <v>1</v>
      </c>
      <c r="N54" t="s">
        <v>58</v>
      </c>
      <c r="O54">
        <v>2</v>
      </c>
      <c r="P54">
        <v>2</v>
      </c>
      <c r="Q54">
        <v>1</v>
      </c>
      <c r="R54">
        <v>5454</v>
      </c>
      <c r="S54">
        <v>9</v>
      </c>
      <c r="T54">
        <v>2</v>
      </c>
      <c r="U54">
        <v>4</v>
      </c>
      <c r="V54">
        <v>3</v>
      </c>
      <c r="W54">
        <v>1</v>
      </c>
      <c r="X54">
        <v>3</v>
      </c>
      <c r="Y54">
        <f>IF(HR_data[[#This Row],[Attrition]]= "Yes",1,0)</f>
        <v>0</v>
      </c>
    </row>
    <row r="55" spans="1:25">
      <c r="A55">
        <v>54</v>
      </c>
      <c r="B55" t="s">
        <v>33</v>
      </c>
      <c r="C55" t="s">
        <v>51</v>
      </c>
      <c r="D55" t="s">
        <v>26</v>
      </c>
      <c r="E55" t="s">
        <v>36</v>
      </c>
      <c r="F55" t="s">
        <v>45</v>
      </c>
      <c r="G55">
        <v>1</v>
      </c>
      <c r="H55" t="s">
        <v>37</v>
      </c>
      <c r="I55" t="s">
        <v>50</v>
      </c>
      <c r="J55" t="s">
        <v>39</v>
      </c>
      <c r="K55" t="s">
        <v>24</v>
      </c>
      <c r="L55">
        <v>35</v>
      </c>
      <c r="M55">
        <v>11</v>
      </c>
      <c r="N55" t="s">
        <v>32</v>
      </c>
      <c r="O55">
        <v>3</v>
      </c>
      <c r="P55">
        <v>3</v>
      </c>
      <c r="Q55">
        <v>1</v>
      </c>
      <c r="R55">
        <v>9884</v>
      </c>
      <c r="S55">
        <v>10</v>
      </c>
      <c r="T55">
        <v>3</v>
      </c>
      <c r="U55">
        <v>4</v>
      </c>
      <c r="V55">
        <v>0</v>
      </c>
      <c r="W55">
        <v>2</v>
      </c>
      <c r="X55">
        <v>3</v>
      </c>
      <c r="Y55">
        <f>IF(HR_data[[#This Row],[Attrition]]= "Yes",1,0)</f>
        <v>0</v>
      </c>
    </row>
    <row r="56" spans="1:25">
      <c r="A56">
        <v>55</v>
      </c>
      <c r="B56" t="s">
        <v>33</v>
      </c>
      <c r="C56" t="s">
        <v>25</v>
      </c>
      <c r="D56" t="s">
        <v>43</v>
      </c>
      <c r="E56" t="s">
        <v>27</v>
      </c>
      <c r="F56" t="s">
        <v>56</v>
      </c>
      <c r="G56">
        <v>1</v>
      </c>
      <c r="H56" t="s">
        <v>29</v>
      </c>
      <c r="I56" t="s">
        <v>30</v>
      </c>
      <c r="J56" t="s">
        <v>39</v>
      </c>
      <c r="K56" t="s">
        <v>24</v>
      </c>
      <c r="L56">
        <v>26</v>
      </c>
      <c r="M56">
        <v>23</v>
      </c>
      <c r="N56" t="s">
        <v>47</v>
      </c>
      <c r="O56">
        <v>3</v>
      </c>
      <c r="P56">
        <v>2</v>
      </c>
      <c r="Q56">
        <v>4</v>
      </c>
      <c r="R56">
        <v>4157</v>
      </c>
      <c r="S56">
        <v>5</v>
      </c>
      <c r="T56">
        <v>2</v>
      </c>
      <c r="U56">
        <v>2</v>
      </c>
      <c r="V56">
        <v>2</v>
      </c>
      <c r="W56">
        <v>0</v>
      </c>
      <c r="X56">
        <v>0</v>
      </c>
      <c r="Y56">
        <f>IF(HR_data[[#This Row],[Attrition]]= "Yes",1,0)</f>
        <v>0</v>
      </c>
    </row>
    <row r="57" spans="1:25">
      <c r="A57">
        <v>56</v>
      </c>
      <c r="B57" t="s">
        <v>33</v>
      </c>
      <c r="C57" t="s">
        <v>34</v>
      </c>
      <c r="D57" t="s">
        <v>43</v>
      </c>
      <c r="E57" t="s">
        <v>36</v>
      </c>
      <c r="F57" t="s">
        <v>28</v>
      </c>
      <c r="G57">
        <v>1</v>
      </c>
      <c r="H57" t="s">
        <v>29</v>
      </c>
      <c r="I57" t="s">
        <v>55</v>
      </c>
      <c r="J57" t="s">
        <v>31</v>
      </c>
      <c r="K57" t="s">
        <v>24</v>
      </c>
      <c r="L57">
        <v>33</v>
      </c>
      <c r="M57">
        <v>1</v>
      </c>
      <c r="N57" t="s">
        <v>32</v>
      </c>
      <c r="O57">
        <v>1</v>
      </c>
      <c r="P57">
        <v>3</v>
      </c>
      <c r="Q57">
        <v>4</v>
      </c>
      <c r="R57">
        <v>13458</v>
      </c>
      <c r="S57">
        <v>15</v>
      </c>
      <c r="T57">
        <v>3</v>
      </c>
      <c r="U57">
        <v>15</v>
      </c>
      <c r="V57">
        <v>14</v>
      </c>
      <c r="W57">
        <v>8</v>
      </c>
      <c r="X57">
        <v>12</v>
      </c>
      <c r="Y57">
        <f>IF(HR_data[[#This Row],[Attrition]]= "Yes",1,0)</f>
        <v>0</v>
      </c>
    </row>
    <row r="58" spans="1:25">
      <c r="A58">
        <v>57</v>
      </c>
      <c r="B58" t="s">
        <v>33</v>
      </c>
      <c r="C58" t="s">
        <v>34</v>
      </c>
      <c r="D58" t="s">
        <v>26</v>
      </c>
      <c r="E58" t="s">
        <v>27</v>
      </c>
      <c r="F58" t="s">
        <v>28</v>
      </c>
      <c r="G58">
        <v>1</v>
      </c>
      <c r="H58" t="s">
        <v>37</v>
      </c>
      <c r="I58" t="s">
        <v>30</v>
      </c>
      <c r="J58" t="s">
        <v>39</v>
      </c>
      <c r="K58" t="s">
        <v>33</v>
      </c>
      <c r="L58">
        <v>35</v>
      </c>
      <c r="M58">
        <v>18</v>
      </c>
      <c r="N58" t="s">
        <v>58</v>
      </c>
      <c r="O58">
        <v>2</v>
      </c>
      <c r="P58">
        <v>3</v>
      </c>
      <c r="Q58">
        <v>1</v>
      </c>
      <c r="R58">
        <v>9069</v>
      </c>
      <c r="S58">
        <v>9</v>
      </c>
      <c r="T58">
        <v>2</v>
      </c>
      <c r="U58">
        <v>9</v>
      </c>
      <c r="V58">
        <v>8</v>
      </c>
      <c r="W58">
        <v>1</v>
      </c>
      <c r="X58">
        <v>8</v>
      </c>
      <c r="Y58">
        <f>IF(HR_data[[#This Row],[Attrition]]= "Yes",1,0)</f>
        <v>0</v>
      </c>
    </row>
    <row r="59" spans="1:25">
      <c r="A59">
        <v>58</v>
      </c>
      <c r="B59" t="s">
        <v>33</v>
      </c>
      <c r="C59" t="s">
        <v>25</v>
      </c>
      <c r="D59" t="s">
        <v>26</v>
      </c>
      <c r="E59" t="s">
        <v>36</v>
      </c>
      <c r="F59" t="s">
        <v>45</v>
      </c>
      <c r="G59">
        <v>1</v>
      </c>
      <c r="H59" t="s">
        <v>29</v>
      </c>
      <c r="I59" t="s">
        <v>42</v>
      </c>
      <c r="J59" t="s">
        <v>39</v>
      </c>
      <c r="K59" t="s">
        <v>24</v>
      </c>
      <c r="L59">
        <v>35</v>
      </c>
      <c r="M59">
        <v>23</v>
      </c>
      <c r="N59" t="s">
        <v>44</v>
      </c>
      <c r="O59">
        <v>3</v>
      </c>
      <c r="P59">
        <v>1</v>
      </c>
      <c r="Q59">
        <v>1</v>
      </c>
      <c r="R59">
        <v>4014</v>
      </c>
      <c r="S59">
        <v>4</v>
      </c>
      <c r="T59">
        <v>3</v>
      </c>
      <c r="U59">
        <v>2</v>
      </c>
      <c r="V59">
        <v>2</v>
      </c>
      <c r="W59">
        <v>2</v>
      </c>
      <c r="X59">
        <v>2</v>
      </c>
      <c r="Y59">
        <f>IF(HR_data[[#This Row],[Attrition]]= "Yes",1,0)</f>
        <v>0</v>
      </c>
    </row>
    <row r="60" spans="1:25">
      <c r="A60">
        <v>59</v>
      </c>
      <c r="B60" t="s">
        <v>33</v>
      </c>
      <c r="C60" t="s">
        <v>25</v>
      </c>
      <c r="D60" t="s">
        <v>43</v>
      </c>
      <c r="E60" t="s">
        <v>36</v>
      </c>
      <c r="F60" t="s">
        <v>28</v>
      </c>
      <c r="G60">
        <v>1</v>
      </c>
      <c r="H60" t="s">
        <v>37</v>
      </c>
      <c r="I60" t="s">
        <v>42</v>
      </c>
      <c r="J60" t="s">
        <v>48</v>
      </c>
      <c r="K60" t="s">
        <v>33</v>
      </c>
      <c r="L60">
        <v>31</v>
      </c>
      <c r="M60">
        <v>7</v>
      </c>
      <c r="N60" t="s">
        <v>44</v>
      </c>
      <c r="O60">
        <v>4</v>
      </c>
      <c r="P60">
        <v>2</v>
      </c>
      <c r="Q60">
        <v>4</v>
      </c>
      <c r="R60">
        <v>5915</v>
      </c>
      <c r="S60">
        <v>10</v>
      </c>
      <c r="T60">
        <v>2</v>
      </c>
      <c r="U60">
        <v>7</v>
      </c>
      <c r="V60">
        <v>7</v>
      </c>
      <c r="W60">
        <v>1</v>
      </c>
      <c r="X60">
        <v>7</v>
      </c>
      <c r="Y60">
        <f>IF(HR_data[[#This Row],[Attrition]]= "Yes",1,0)</f>
        <v>0</v>
      </c>
    </row>
    <row r="61" spans="1:25">
      <c r="A61">
        <v>60</v>
      </c>
      <c r="B61" t="s">
        <v>33</v>
      </c>
      <c r="C61" t="s">
        <v>25</v>
      </c>
      <c r="D61" t="s">
        <v>26</v>
      </c>
      <c r="E61" t="s">
        <v>36</v>
      </c>
      <c r="F61" t="s">
        <v>28</v>
      </c>
      <c r="G61">
        <v>1</v>
      </c>
      <c r="H61" t="s">
        <v>37</v>
      </c>
      <c r="I61" t="s">
        <v>49</v>
      </c>
      <c r="J61" t="s">
        <v>48</v>
      </c>
      <c r="K61" t="s">
        <v>33</v>
      </c>
      <c r="L61">
        <v>37</v>
      </c>
      <c r="M61">
        <v>1</v>
      </c>
      <c r="N61" t="s">
        <v>44</v>
      </c>
      <c r="O61">
        <v>1</v>
      </c>
      <c r="P61">
        <v>2</v>
      </c>
      <c r="Q61">
        <v>3</v>
      </c>
      <c r="R61">
        <v>5993</v>
      </c>
      <c r="S61">
        <v>7</v>
      </c>
      <c r="T61">
        <v>4</v>
      </c>
      <c r="U61">
        <v>7</v>
      </c>
      <c r="V61">
        <v>5</v>
      </c>
      <c r="W61">
        <v>0</v>
      </c>
      <c r="X61">
        <v>7</v>
      </c>
      <c r="Y61">
        <f>IF(HR_data[[#This Row],[Attrition]]= "Yes",1,0)</f>
        <v>0</v>
      </c>
    </row>
    <row r="62" spans="1:25">
      <c r="A62">
        <v>61</v>
      </c>
      <c r="B62" t="s">
        <v>33</v>
      </c>
      <c r="C62" t="s">
        <v>25</v>
      </c>
      <c r="D62" t="s">
        <v>43</v>
      </c>
      <c r="E62" t="s">
        <v>36</v>
      </c>
      <c r="F62" t="s">
        <v>45</v>
      </c>
      <c r="G62">
        <v>1</v>
      </c>
      <c r="H62" t="s">
        <v>37</v>
      </c>
      <c r="I62" t="s">
        <v>49</v>
      </c>
      <c r="J62" t="s">
        <v>39</v>
      </c>
      <c r="K62" t="s">
        <v>24</v>
      </c>
      <c r="L62">
        <v>32</v>
      </c>
      <c r="M62">
        <v>1</v>
      </c>
      <c r="N62" t="s">
        <v>47</v>
      </c>
      <c r="O62">
        <v>1</v>
      </c>
      <c r="P62">
        <v>2</v>
      </c>
      <c r="Q62">
        <v>4</v>
      </c>
      <c r="R62">
        <v>6162</v>
      </c>
      <c r="S62">
        <v>9</v>
      </c>
      <c r="T62">
        <v>3</v>
      </c>
      <c r="U62">
        <v>9</v>
      </c>
      <c r="V62">
        <v>8</v>
      </c>
      <c r="W62">
        <v>7</v>
      </c>
      <c r="X62">
        <v>8</v>
      </c>
      <c r="Y62">
        <f>IF(HR_data[[#This Row],[Attrition]]= "Yes",1,0)</f>
        <v>0</v>
      </c>
    </row>
    <row r="63" spans="1:25">
      <c r="A63">
        <v>62</v>
      </c>
      <c r="B63" t="s">
        <v>33</v>
      </c>
      <c r="C63" t="s">
        <v>34</v>
      </c>
      <c r="D63" t="s">
        <v>26</v>
      </c>
      <c r="E63" t="s">
        <v>36</v>
      </c>
      <c r="F63" t="s">
        <v>28</v>
      </c>
      <c r="G63">
        <v>1</v>
      </c>
      <c r="H63" t="s">
        <v>29</v>
      </c>
      <c r="I63" t="s">
        <v>42</v>
      </c>
      <c r="J63" t="s">
        <v>31</v>
      </c>
      <c r="K63" t="s">
        <v>33</v>
      </c>
      <c r="L63">
        <v>38</v>
      </c>
      <c r="M63">
        <v>29</v>
      </c>
      <c r="N63" t="s">
        <v>58</v>
      </c>
      <c r="O63">
        <v>4</v>
      </c>
      <c r="P63">
        <v>2</v>
      </c>
      <c r="Q63">
        <v>4</v>
      </c>
      <c r="R63">
        <v>2406</v>
      </c>
      <c r="S63">
        <v>10</v>
      </c>
      <c r="T63">
        <v>3</v>
      </c>
      <c r="U63">
        <v>10</v>
      </c>
      <c r="V63">
        <v>3</v>
      </c>
      <c r="W63">
        <v>9</v>
      </c>
      <c r="X63">
        <v>9</v>
      </c>
      <c r="Y63">
        <f>IF(HR_data[[#This Row],[Attrition]]= "Yes",1,0)</f>
        <v>0</v>
      </c>
    </row>
    <row r="64" spans="1:25">
      <c r="A64">
        <v>63</v>
      </c>
      <c r="B64" t="s">
        <v>33</v>
      </c>
      <c r="C64" t="s">
        <v>25</v>
      </c>
      <c r="D64" t="s">
        <v>35</v>
      </c>
      <c r="E64" t="s">
        <v>36</v>
      </c>
      <c r="F64" t="s">
        <v>45</v>
      </c>
      <c r="G64">
        <v>1</v>
      </c>
      <c r="H64" t="s">
        <v>29</v>
      </c>
      <c r="I64" t="s">
        <v>55</v>
      </c>
      <c r="J64" t="s">
        <v>48</v>
      </c>
      <c r="K64" t="s">
        <v>24</v>
      </c>
      <c r="L64">
        <v>50</v>
      </c>
      <c r="M64">
        <v>7</v>
      </c>
      <c r="N64" t="s">
        <v>32</v>
      </c>
      <c r="O64">
        <v>2</v>
      </c>
      <c r="P64">
        <v>5</v>
      </c>
      <c r="Q64">
        <v>3</v>
      </c>
      <c r="R64">
        <v>18740</v>
      </c>
      <c r="S64">
        <v>29</v>
      </c>
      <c r="T64">
        <v>2</v>
      </c>
      <c r="U64">
        <v>27</v>
      </c>
      <c r="V64">
        <v>3</v>
      </c>
      <c r="W64">
        <v>13</v>
      </c>
      <c r="X64">
        <v>8</v>
      </c>
      <c r="Y64">
        <f>IF(HR_data[[#This Row],[Attrition]]= "Yes",1,0)</f>
        <v>0</v>
      </c>
    </row>
    <row r="65" spans="1:25">
      <c r="A65">
        <v>64</v>
      </c>
      <c r="B65" t="s">
        <v>33</v>
      </c>
      <c r="C65" t="s">
        <v>25</v>
      </c>
      <c r="D65" t="s">
        <v>46</v>
      </c>
      <c r="E65" t="s">
        <v>27</v>
      </c>
      <c r="F65" t="s">
        <v>28</v>
      </c>
      <c r="G65">
        <v>1</v>
      </c>
      <c r="H65" t="s">
        <v>29</v>
      </c>
      <c r="I65" t="s">
        <v>30</v>
      </c>
      <c r="J65" t="s">
        <v>31</v>
      </c>
      <c r="K65" t="s">
        <v>33</v>
      </c>
      <c r="L65">
        <v>59</v>
      </c>
      <c r="M65">
        <v>25</v>
      </c>
      <c r="N65" t="s">
        <v>47</v>
      </c>
      <c r="O65">
        <v>1</v>
      </c>
      <c r="P65">
        <v>3</v>
      </c>
      <c r="Q65">
        <v>1</v>
      </c>
      <c r="R65">
        <v>7637</v>
      </c>
      <c r="S65">
        <v>28</v>
      </c>
      <c r="T65">
        <v>2</v>
      </c>
      <c r="U65">
        <v>21</v>
      </c>
      <c r="V65">
        <v>16</v>
      </c>
      <c r="W65">
        <v>7</v>
      </c>
      <c r="X65">
        <v>9</v>
      </c>
      <c r="Y65">
        <f>IF(HR_data[[#This Row],[Attrition]]= "Yes",1,0)</f>
        <v>0</v>
      </c>
    </row>
    <row r="66" spans="1:25">
      <c r="A66">
        <v>65</v>
      </c>
      <c r="B66" t="s">
        <v>33</v>
      </c>
      <c r="C66" t="s">
        <v>25</v>
      </c>
      <c r="D66" t="s">
        <v>26</v>
      </c>
      <c r="E66" t="s">
        <v>36</v>
      </c>
      <c r="F66" t="s">
        <v>57</v>
      </c>
      <c r="G66">
        <v>1</v>
      </c>
      <c r="H66" t="s">
        <v>29</v>
      </c>
      <c r="I66" t="s">
        <v>50</v>
      </c>
      <c r="J66" t="s">
        <v>48</v>
      </c>
      <c r="K66" t="s">
        <v>33</v>
      </c>
      <c r="L66">
        <v>36</v>
      </c>
      <c r="M66">
        <v>8</v>
      </c>
      <c r="N66" t="s">
        <v>47</v>
      </c>
      <c r="O66">
        <v>3</v>
      </c>
      <c r="P66">
        <v>3</v>
      </c>
      <c r="Q66">
        <v>3</v>
      </c>
      <c r="R66">
        <v>10096</v>
      </c>
      <c r="S66">
        <v>17</v>
      </c>
      <c r="T66">
        <v>3</v>
      </c>
      <c r="U66">
        <v>17</v>
      </c>
      <c r="V66">
        <v>14</v>
      </c>
      <c r="W66">
        <v>12</v>
      </c>
      <c r="X66">
        <v>8</v>
      </c>
      <c r="Y66">
        <f>IF(HR_data[[#This Row],[Attrition]]= "Yes",1,0)</f>
        <v>0</v>
      </c>
    </row>
    <row r="67" spans="1:25">
      <c r="A67">
        <v>66</v>
      </c>
      <c r="B67" t="s">
        <v>33</v>
      </c>
      <c r="C67" t="s">
        <v>25</v>
      </c>
      <c r="D67" t="s">
        <v>46</v>
      </c>
      <c r="E67" t="s">
        <v>36</v>
      </c>
      <c r="F67" t="s">
        <v>45</v>
      </c>
      <c r="G67">
        <v>1</v>
      </c>
      <c r="H67" t="s">
        <v>29</v>
      </c>
      <c r="I67" t="s">
        <v>53</v>
      </c>
      <c r="J67" t="s">
        <v>48</v>
      </c>
      <c r="K67" t="s">
        <v>24</v>
      </c>
      <c r="L67">
        <v>55</v>
      </c>
      <c r="M67">
        <v>8</v>
      </c>
      <c r="N67" t="s">
        <v>47</v>
      </c>
      <c r="O67">
        <v>4</v>
      </c>
      <c r="P67">
        <v>4</v>
      </c>
      <c r="Q67">
        <v>3</v>
      </c>
      <c r="R67">
        <v>14756</v>
      </c>
      <c r="S67">
        <v>21</v>
      </c>
      <c r="T67">
        <v>3</v>
      </c>
      <c r="U67">
        <v>5</v>
      </c>
      <c r="V67">
        <v>0</v>
      </c>
      <c r="W67">
        <v>0</v>
      </c>
      <c r="X67">
        <v>2</v>
      </c>
      <c r="Y67">
        <f>IF(HR_data[[#This Row],[Attrition]]= "Yes",1,0)</f>
        <v>0</v>
      </c>
    </row>
    <row r="68" spans="1:25">
      <c r="A68">
        <v>67</v>
      </c>
      <c r="B68" t="s">
        <v>33</v>
      </c>
      <c r="C68" t="s">
        <v>34</v>
      </c>
      <c r="D68" t="s">
        <v>26</v>
      </c>
      <c r="E68" t="s">
        <v>36</v>
      </c>
      <c r="F68" t="s">
        <v>28</v>
      </c>
      <c r="G68">
        <v>1</v>
      </c>
      <c r="H68" t="s">
        <v>37</v>
      </c>
      <c r="I68" t="s">
        <v>49</v>
      </c>
      <c r="J68" t="s">
        <v>31</v>
      </c>
      <c r="K68" t="s">
        <v>33</v>
      </c>
      <c r="L68">
        <v>36</v>
      </c>
      <c r="M68">
        <v>11</v>
      </c>
      <c r="N68" t="s">
        <v>47</v>
      </c>
      <c r="O68">
        <v>2</v>
      </c>
      <c r="P68">
        <v>2</v>
      </c>
      <c r="Q68">
        <v>2</v>
      </c>
      <c r="R68">
        <v>6499</v>
      </c>
      <c r="S68">
        <v>6</v>
      </c>
      <c r="T68">
        <v>3</v>
      </c>
      <c r="U68">
        <v>6</v>
      </c>
      <c r="V68">
        <v>5</v>
      </c>
      <c r="W68">
        <v>0</v>
      </c>
      <c r="X68">
        <v>3</v>
      </c>
      <c r="Y68">
        <f>IF(HR_data[[#This Row],[Attrition]]= "Yes",1,0)</f>
        <v>0</v>
      </c>
    </row>
    <row r="69" spans="1:25">
      <c r="A69">
        <v>68</v>
      </c>
      <c r="B69" t="s">
        <v>33</v>
      </c>
      <c r="C69" t="s">
        <v>25</v>
      </c>
      <c r="D69" t="s">
        <v>35</v>
      </c>
      <c r="E69" t="s">
        <v>36</v>
      </c>
      <c r="F69" t="s">
        <v>28</v>
      </c>
      <c r="G69">
        <v>1</v>
      </c>
      <c r="H69" t="s">
        <v>37</v>
      </c>
      <c r="I69" t="s">
        <v>38</v>
      </c>
      <c r="J69" t="s">
        <v>48</v>
      </c>
      <c r="K69" t="s">
        <v>33</v>
      </c>
      <c r="L69">
        <v>45</v>
      </c>
      <c r="M69">
        <v>7</v>
      </c>
      <c r="N69" t="s">
        <v>47</v>
      </c>
      <c r="O69">
        <v>2</v>
      </c>
      <c r="P69">
        <v>3</v>
      </c>
      <c r="Q69">
        <v>1</v>
      </c>
      <c r="R69">
        <v>9724</v>
      </c>
      <c r="S69">
        <v>25</v>
      </c>
      <c r="T69">
        <v>3</v>
      </c>
      <c r="U69">
        <v>1</v>
      </c>
      <c r="V69">
        <v>0</v>
      </c>
      <c r="W69">
        <v>0</v>
      </c>
      <c r="X69">
        <v>0</v>
      </c>
      <c r="Y69">
        <f>IF(HR_data[[#This Row],[Attrition]]= "Yes",1,0)</f>
        <v>0</v>
      </c>
    </row>
    <row r="70" spans="1:25">
      <c r="A70">
        <v>69</v>
      </c>
      <c r="B70" t="s">
        <v>33</v>
      </c>
      <c r="C70" t="s">
        <v>34</v>
      </c>
      <c r="D70" t="s">
        <v>26</v>
      </c>
      <c r="E70" t="s">
        <v>36</v>
      </c>
      <c r="F70" t="s">
        <v>45</v>
      </c>
      <c r="G70">
        <v>1</v>
      </c>
      <c r="H70" t="s">
        <v>37</v>
      </c>
      <c r="I70" t="s">
        <v>38</v>
      </c>
      <c r="J70" t="s">
        <v>39</v>
      </c>
      <c r="K70" t="s">
        <v>33</v>
      </c>
      <c r="L70">
        <v>35</v>
      </c>
      <c r="M70">
        <v>1</v>
      </c>
      <c r="N70" t="s">
        <v>47</v>
      </c>
      <c r="O70">
        <v>2</v>
      </c>
      <c r="P70">
        <v>1</v>
      </c>
      <c r="Q70">
        <v>1</v>
      </c>
      <c r="R70">
        <v>2194</v>
      </c>
      <c r="S70">
        <v>5</v>
      </c>
      <c r="T70">
        <v>2</v>
      </c>
      <c r="U70">
        <v>3</v>
      </c>
      <c r="V70">
        <v>2</v>
      </c>
      <c r="W70">
        <v>1</v>
      </c>
      <c r="X70">
        <v>2</v>
      </c>
      <c r="Y70">
        <f>IF(HR_data[[#This Row],[Attrition]]= "Yes",1,0)</f>
        <v>0</v>
      </c>
    </row>
    <row r="71" spans="1:25">
      <c r="A71">
        <v>70</v>
      </c>
      <c r="B71" t="s">
        <v>24</v>
      </c>
      <c r="C71" t="s">
        <v>25</v>
      </c>
      <c r="D71" t="s">
        <v>26</v>
      </c>
      <c r="E71" t="s">
        <v>36</v>
      </c>
      <c r="F71" t="s">
        <v>45</v>
      </c>
      <c r="G71">
        <v>1</v>
      </c>
      <c r="H71" t="s">
        <v>37</v>
      </c>
      <c r="I71" t="s">
        <v>38</v>
      </c>
      <c r="J71" t="s">
        <v>39</v>
      </c>
      <c r="K71" t="s">
        <v>24</v>
      </c>
      <c r="L71">
        <v>36</v>
      </c>
      <c r="M71">
        <v>9</v>
      </c>
      <c r="N71" t="s">
        <v>47</v>
      </c>
      <c r="O71">
        <v>4</v>
      </c>
      <c r="P71">
        <v>1</v>
      </c>
      <c r="Q71">
        <v>3</v>
      </c>
      <c r="R71">
        <v>3388</v>
      </c>
      <c r="S71">
        <v>2</v>
      </c>
      <c r="T71">
        <v>2</v>
      </c>
      <c r="U71">
        <v>1</v>
      </c>
      <c r="V71">
        <v>0</v>
      </c>
      <c r="W71">
        <v>0</v>
      </c>
      <c r="X71">
        <v>0</v>
      </c>
      <c r="Y71">
        <f>IF(HR_data[[#This Row],[Attrition]]= "Yes",1,0)</f>
        <v>1</v>
      </c>
    </row>
    <row r="72" spans="1:25">
      <c r="A72">
        <v>71</v>
      </c>
      <c r="B72" t="s">
        <v>33</v>
      </c>
      <c r="C72" t="s">
        <v>34</v>
      </c>
      <c r="D72" t="s">
        <v>46</v>
      </c>
      <c r="E72" t="s">
        <v>27</v>
      </c>
      <c r="F72" t="s">
        <v>28</v>
      </c>
      <c r="G72">
        <v>1</v>
      </c>
      <c r="H72" t="s">
        <v>29</v>
      </c>
      <c r="I72" t="s">
        <v>30</v>
      </c>
      <c r="J72" t="s">
        <v>31</v>
      </c>
      <c r="K72" t="s">
        <v>33</v>
      </c>
      <c r="L72">
        <v>59</v>
      </c>
      <c r="M72">
        <v>1</v>
      </c>
      <c r="N72" t="s">
        <v>40</v>
      </c>
      <c r="O72">
        <v>1</v>
      </c>
      <c r="P72">
        <v>2</v>
      </c>
      <c r="Q72">
        <v>3</v>
      </c>
      <c r="R72">
        <v>5473</v>
      </c>
      <c r="S72">
        <v>20</v>
      </c>
      <c r="T72">
        <v>2</v>
      </c>
      <c r="U72">
        <v>4</v>
      </c>
      <c r="V72">
        <v>3</v>
      </c>
      <c r="W72">
        <v>1</v>
      </c>
      <c r="X72">
        <v>3</v>
      </c>
      <c r="Y72">
        <f>IF(HR_data[[#This Row],[Attrition]]= "Yes",1,0)</f>
        <v>0</v>
      </c>
    </row>
    <row r="73" spans="1:25">
      <c r="A73">
        <v>72</v>
      </c>
      <c r="B73" t="s">
        <v>33</v>
      </c>
      <c r="C73" t="s">
        <v>25</v>
      </c>
      <c r="D73" t="s">
        <v>43</v>
      </c>
      <c r="E73" t="s">
        <v>36</v>
      </c>
      <c r="F73" t="s">
        <v>28</v>
      </c>
      <c r="G73">
        <v>1</v>
      </c>
      <c r="H73" t="s">
        <v>37</v>
      </c>
      <c r="I73" t="s">
        <v>38</v>
      </c>
      <c r="J73" t="s">
        <v>39</v>
      </c>
      <c r="K73" t="s">
        <v>33</v>
      </c>
      <c r="L73">
        <v>29</v>
      </c>
      <c r="M73">
        <v>2</v>
      </c>
      <c r="N73" t="s">
        <v>47</v>
      </c>
      <c r="O73">
        <v>3</v>
      </c>
      <c r="P73">
        <v>1</v>
      </c>
      <c r="Q73">
        <v>2</v>
      </c>
      <c r="R73">
        <v>2703</v>
      </c>
      <c r="S73">
        <v>6</v>
      </c>
      <c r="T73">
        <v>3</v>
      </c>
      <c r="U73">
        <v>5</v>
      </c>
      <c r="V73">
        <v>4</v>
      </c>
      <c r="W73">
        <v>0</v>
      </c>
      <c r="X73">
        <v>4</v>
      </c>
      <c r="Y73">
        <f>IF(HR_data[[#This Row],[Attrition]]= "Yes",1,0)</f>
        <v>0</v>
      </c>
    </row>
    <row r="74" spans="1:25">
      <c r="A74">
        <v>73</v>
      </c>
      <c r="B74" t="s">
        <v>33</v>
      </c>
      <c r="C74" t="s">
        <v>25</v>
      </c>
      <c r="D74" t="s">
        <v>43</v>
      </c>
      <c r="E74" t="s">
        <v>36</v>
      </c>
      <c r="F74" t="s">
        <v>45</v>
      </c>
      <c r="G74">
        <v>1</v>
      </c>
      <c r="H74" t="s">
        <v>37</v>
      </c>
      <c r="I74" t="s">
        <v>38</v>
      </c>
      <c r="J74" t="s">
        <v>31</v>
      </c>
      <c r="K74" t="s">
        <v>33</v>
      </c>
      <c r="L74">
        <v>31</v>
      </c>
      <c r="M74">
        <v>1</v>
      </c>
      <c r="N74" t="s">
        <v>44</v>
      </c>
      <c r="O74">
        <v>3</v>
      </c>
      <c r="P74">
        <v>1</v>
      </c>
      <c r="Q74">
        <v>2</v>
      </c>
      <c r="R74">
        <v>2501</v>
      </c>
      <c r="S74">
        <v>1</v>
      </c>
      <c r="T74">
        <v>3</v>
      </c>
      <c r="U74">
        <v>1</v>
      </c>
      <c r="V74">
        <v>1</v>
      </c>
      <c r="W74">
        <v>1</v>
      </c>
      <c r="X74">
        <v>0</v>
      </c>
      <c r="Y74">
        <f>IF(HR_data[[#This Row],[Attrition]]= "Yes",1,0)</f>
        <v>0</v>
      </c>
    </row>
    <row r="75" spans="1:25">
      <c r="A75">
        <v>74</v>
      </c>
      <c r="B75" t="s">
        <v>33</v>
      </c>
      <c r="C75" t="s">
        <v>25</v>
      </c>
      <c r="D75" t="s">
        <v>43</v>
      </c>
      <c r="E75" t="s">
        <v>36</v>
      </c>
      <c r="F75" t="s">
        <v>28</v>
      </c>
      <c r="G75">
        <v>1</v>
      </c>
      <c r="H75" t="s">
        <v>37</v>
      </c>
      <c r="I75" t="s">
        <v>38</v>
      </c>
      <c r="J75" t="s">
        <v>39</v>
      </c>
      <c r="K75" t="s">
        <v>33</v>
      </c>
      <c r="L75">
        <v>32</v>
      </c>
      <c r="M75">
        <v>1</v>
      </c>
      <c r="N75" t="s">
        <v>47</v>
      </c>
      <c r="O75">
        <v>2</v>
      </c>
      <c r="P75">
        <v>2</v>
      </c>
      <c r="Q75">
        <v>2</v>
      </c>
      <c r="R75">
        <v>6220</v>
      </c>
      <c r="S75">
        <v>10</v>
      </c>
      <c r="T75">
        <v>3</v>
      </c>
      <c r="U75">
        <v>10</v>
      </c>
      <c r="V75">
        <v>4</v>
      </c>
      <c r="W75">
        <v>0</v>
      </c>
      <c r="X75">
        <v>9</v>
      </c>
      <c r="Y75">
        <f>IF(HR_data[[#This Row],[Attrition]]= "Yes",1,0)</f>
        <v>0</v>
      </c>
    </row>
    <row r="76" spans="1:25">
      <c r="A76">
        <v>75</v>
      </c>
      <c r="B76" t="s">
        <v>33</v>
      </c>
      <c r="C76" t="s">
        <v>25</v>
      </c>
      <c r="D76" t="s">
        <v>26</v>
      </c>
      <c r="E76" t="s">
        <v>36</v>
      </c>
      <c r="F76" t="s">
        <v>28</v>
      </c>
      <c r="G76">
        <v>1</v>
      </c>
      <c r="H76" t="s">
        <v>29</v>
      </c>
      <c r="I76" t="s">
        <v>42</v>
      </c>
      <c r="J76" t="s">
        <v>39</v>
      </c>
      <c r="K76" t="s">
        <v>33</v>
      </c>
      <c r="L76">
        <v>36</v>
      </c>
      <c r="M76">
        <v>6</v>
      </c>
      <c r="N76" t="s">
        <v>47</v>
      </c>
      <c r="O76">
        <v>2</v>
      </c>
      <c r="P76">
        <v>1</v>
      </c>
      <c r="Q76">
        <v>4</v>
      </c>
      <c r="R76">
        <v>3038</v>
      </c>
      <c r="S76">
        <v>5</v>
      </c>
      <c r="T76">
        <v>3</v>
      </c>
      <c r="U76">
        <v>1</v>
      </c>
      <c r="V76">
        <v>0</v>
      </c>
      <c r="W76">
        <v>0</v>
      </c>
      <c r="X76">
        <v>0</v>
      </c>
      <c r="Y76">
        <f>IF(HR_data[[#This Row],[Attrition]]= "Yes",1,0)</f>
        <v>0</v>
      </c>
    </row>
    <row r="77" spans="1:25">
      <c r="A77">
        <v>76</v>
      </c>
      <c r="B77" t="s">
        <v>33</v>
      </c>
      <c r="C77" t="s">
        <v>25</v>
      </c>
      <c r="D77" t="s">
        <v>43</v>
      </c>
      <c r="E77" t="s">
        <v>36</v>
      </c>
      <c r="F77" t="s">
        <v>28</v>
      </c>
      <c r="G77">
        <v>1</v>
      </c>
      <c r="H77" t="s">
        <v>29</v>
      </c>
      <c r="I77" t="s">
        <v>49</v>
      </c>
      <c r="J77" t="s">
        <v>31</v>
      </c>
      <c r="K77" t="s">
        <v>33</v>
      </c>
      <c r="L77">
        <v>31</v>
      </c>
      <c r="M77">
        <v>8</v>
      </c>
      <c r="N77" t="s">
        <v>44</v>
      </c>
      <c r="O77">
        <v>3</v>
      </c>
      <c r="P77">
        <v>2</v>
      </c>
      <c r="Q77">
        <v>4</v>
      </c>
      <c r="R77">
        <v>4424</v>
      </c>
      <c r="S77">
        <v>11</v>
      </c>
      <c r="T77">
        <v>3</v>
      </c>
      <c r="U77">
        <v>11</v>
      </c>
      <c r="V77">
        <v>7</v>
      </c>
      <c r="W77">
        <v>1</v>
      </c>
      <c r="X77">
        <v>8</v>
      </c>
      <c r="Y77">
        <f>IF(HR_data[[#This Row],[Attrition]]= "Yes",1,0)</f>
        <v>0</v>
      </c>
    </row>
    <row r="78" spans="1:25">
      <c r="A78">
        <v>77</v>
      </c>
      <c r="B78" t="s">
        <v>33</v>
      </c>
      <c r="C78" t="s">
        <v>25</v>
      </c>
      <c r="D78" t="s">
        <v>26</v>
      </c>
      <c r="E78" t="s">
        <v>27</v>
      </c>
      <c r="F78" t="s">
        <v>56</v>
      </c>
      <c r="G78">
        <v>1</v>
      </c>
      <c r="H78" t="s">
        <v>37</v>
      </c>
      <c r="I78" t="s">
        <v>30</v>
      </c>
      <c r="J78" t="s">
        <v>31</v>
      </c>
      <c r="K78" t="s">
        <v>33</v>
      </c>
      <c r="L78">
        <v>35</v>
      </c>
      <c r="M78">
        <v>1</v>
      </c>
      <c r="N78" t="s">
        <v>44</v>
      </c>
      <c r="O78">
        <v>3</v>
      </c>
      <c r="P78">
        <v>2</v>
      </c>
      <c r="Q78">
        <v>1</v>
      </c>
      <c r="R78">
        <v>4312</v>
      </c>
      <c r="S78">
        <v>16</v>
      </c>
      <c r="T78">
        <v>3</v>
      </c>
      <c r="U78">
        <v>15</v>
      </c>
      <c r="V78">
        <v>13</v>
      </c>
      <c r="W78">
        <v>2</v>
      </c>
      <c r="X78">
        <v>8</v>
      </c>
      <c r="Y78">
        <f>IF(HR_data[[#This Row],[Attrition]]= "Yes",1,0)</f>
        <v>0</v>
      </c>
    </row>
    <row r="79" spans="1:25">
      <c r="A79">
        <v>78</v>
      </c>
      <c r="B79" t="s">
        <v>33</v>
      </c>
      <c r="C79" t="s">
        <v>25</v>
      </c>
      <c r="D79" t="s">
        <v>35</v>
      </c>
      <c r="E79" t="s">
        <v>36</v>
      </c>
      <c r="F79" t="s">
        <v>41</v>
      </c>
      <c r="G79">
        <v>1</v>
      </c>
      <c r="H79" t="s">
        <v>37</v>
      </c>
      <c r="I79" t="s">
        <v>55</v>
      </c>
      <c r="J79" t="s">
        <v>39</v>
      </c>
      <c r="K79" t="s">
        <v>24</v>
      </c>
      <c r="L79">
        <v>45</v>
      </c>
      <c r="M79">
        <v>6</v>
      </c>
      <c r="N79" t="s">
        <v>44</v>
      </c>
      <c r="O79">
        <v>4</v>
      </c>
      <c r="P79">
        <v>3</v>
      </c>
      <c r="Q79">
        <v>1</v>
      </c>
      <c r="R79">
        <v>13245</v>
      </c>
      <c r="S79">
        <v>17</v>
      </c>
      <c r="T79">
        <v>4</v>
      </c>
      <c r="U79">
        <v>0</v>
      </c>
      <c r="V79">
        <v>0</v>
      </c>
      <c r="W79">
        <v>0</v>
      </c>
      <c r="X79">
        <v>0</v>
      </c>
      <c r="Y79">
        <f>IF(HR_data[[#This Row],[Attrition]]= "Yes",1,0)</f>
        <v>0</v>
      </c>
    </row>
    <row r="80" spans="1:25">
      <c r="A80">
        <v>79</v>
      </c>
      <c r="B80" t="s">
        <v>33</v>
      </c>
      <c r="C80" t="s">
        <v>25</v>
      </c>
      <c r="D80" t="s">
        <v>26</v>
      </c>
      <c r="E80" t="s">
        <v>36</v>
      </c>
      <c r="F80" t="s">
        <v>45</v>
      </c>
      <c r="G80">
        <v>1</v>
      </c>
      <c r="H80" t="s">
        <v>37</v>
      </c>
      <c r="I80" t="s">
        <v>55</v>
      </c>
      <c r="J80" t="s">
        <v>31</v>
      </c>
      <c r="K80" t="s">
        <v>33</v>
      </c>
      <c r="L80">
        <v>37</v>
      </c>
      <c r="M80">
        <v>7</v>
      </c>
      <c r="N80" t="s">
        <v>44</v>
      </c>
      <c r="O80">
        <v>1</v>
      </c>
      <c r="P80">
        <v>3</v>
      </c>
      <c r="Q80">
        <v>3</v>
      </c>
      <c r="R80">
        <v>13664</v>
      </c>
      <c r="S80">
        <v>16</v>
      </c>
      <c r="T80">
        <v>4</v>
      </c>
      <c r="U80">
        <v>5</v>
      </c>
      <c r="V80">
        <v>2</v>
      </c>
      <c r="W80">
        <v>0</v>
      </c>
      <c r="X80">
        <v>2</v>
      </c>
      <c r="Y80">
        <f>IF(HR_data[[#This Row],[Attrition]]= "Yes",1,0)</f>
        <v>0</v>
      </c>
    </row>
    <row r="81" spans="1:25">
      <c r="A81">
        <v>80</v>
      </c>
      <c r="B81" t="s">
        <v>33</v>
      </c>
      <c r="C81" t="s">
        <v>25</v>
      </c>
      <c r="D81" t="s">
        <v>35</v>
      </c>
      <c r="E81" t="s">
        <v>59</v>
      </c>
      <c r="F81" t="s">
        <v>45</v>
      </c>
      <c r="G81">
        <v>1</v>
      </c>
      <c r="H81" t="s">
        <v>37</v>
      </c>
      <c r="I81" t="s">
        <v>60</v>
      </c>
      <c r="J81" t="s">
        <v>48</v>
      </c>
      <c r="K81" t="s">
        <v>24</v>
      </c>
      <c r="L81">
        <v>46</v>
      </c>
      <c r="M81">
        <v>5</v>
      </c>
      <c r="N81" t="s">
        <v>32</v>
      </c>
      <c r="O81">
        <v>2</v>
      </c>
      <c r="P81">
        <v>2</v>
      </c>
      <c r="Q81">
        <v>2</v>
      </c>
      <c r="R81">
        <v>5021</v>
      </c>
      <c r="S81">
        <v>16</v>
      </c>
      <c r="T81">
        <v>3</v>
      </c>
      <c r="U81">
        <v>4</v>
      </c>
      <c r="V81">
        <v>2</v>
      </c>
      <c r="W81">
        <v>0</v>
      </c>
      <c r="X81">
        <v>2</v>
      </c>
      <c r="Y81">
        <f>IF(HR_data[[#This Row],[Attrition]]= "Yes",1,0)</f>
        <v>0</v>
      </c>
    </row>
    <row r="82" spans="1:25">
      <c r="A82">
        <v>81</v>
      </c>
      <c r="B82" t="s">
        <v>33</v>
      </c>
      <c r="C82" t="s">
        <v>25</v>
      </c>
      <c r="D82" t="s">
        <v>43</v>
      </c>
      <c r="E82" t="s">
        <v>36</v>
      </c>
      <c r="F82" t="s">
        <v>28</v>
      </c>
      <c r="G82">
        <v>1</v>
      </c>
      <c r="H82" t="s">
        <v>37</v>
      </c>
      <c r="I82" t="s">
        <v>42</v>
      </c>
      <c r="J82" t="s">
        <v>39</v>
      </c>
      <c r="K82" t="s">
        <v>24</v>
      </c>
      <c r="L82">
        <v>30</v>
      </c>
      <c r="M82">
        <v>1</v>
      </c>
      <c r="N82" t="s">
        <v>40</v>
      </c>
      <c r="O82">
        <v>4</v>
      </c>
      <c r="P82">
        <v>2</v>
      </c>
      <c r="Q82">
        <v>4</v>
      </c>
      <c r="R82">
        <v>5126</v>
      </c>
      <c r="S82">
        <v>10</v>
      </c>
      <c r="T82">
        <v>2</v>
      </c>
      <c r="U82">
        <v>10</v>
      </c>
      <c r="V82">
        <v>8</v>
      </c>
      <c r="W82">
        <v>3</v>
      </c>
      <c r="X82">
        <v>0</v>
      </c>
      <c r="Y82">
        <f>IF(HR_data[[#This Row],[Attrition]]= "Yes",1,0)</f>
        <v>0</v>
      </c>
    </row>
    <row r="83" spans="1:25">
      <c r="A83">
        <v>82</v>
      </c>
      <c r="B83" t="s">
        <v>33</v>
      </c>
      <c r="C83" t="s">
        <v>25</v>
      </c>
      <c r="D83" t="s">
        <v>26</v>
      </c>
      <c r="E83" t="s">
        <v>36</v>
      </c>
      <c r="F83" t="s">
        <v>45</v>
      </c>
      <c r="G83">
        <v>1</v>
      </c>
      <c r="H83" t="s">
        <v>37</v>
      </c>
      <c r="I83" t="s">
        <v>38</v>
      </c>
      <c r="J83" t="s">
        <v>31</v>
      </c>
      <c r="K83" t="s">
        <v>33</v>
      </c>
      <c r="L83">
        <v>35</v>
      </c>
      <c r="M83">
        <v>1</v>
      </c>
      <c r="N83" t="s">
        <v>47</v>
      </c>
      <c r="O83">
        <v>2</v>
      </c>
      <c r="P83">
        <v>1</v>
      </c>
      <c r="Q83">
        <v>3</v>
      </c>
      <c r="R83">
        <v>2859</v>
      </c>
      <c r="S83">
        <v>6</v>
      </c>
      <c r="T83">
        <v>3</v>
      </c>
      <c r="U83">
        <v>6</v>
      </c>
      <c r="V83">
        <v>4</v>
      </c>
      <c r="W83">
        <v>0</v>
      </c>
      <c r="X83">
        <v>4</v>
      </c>
      <c r="Y83">
        <f>IF(HR_data[[#This Row],[Attrition]]= "Yes",1,0)</f>
        <v>0</v>
      </c>
    </row>
    <row r="84" spans="1:25">
      <c r="A84">
        <v>83</v>
      </c>
      <c r="B84" t="s">
        <v>33</v>
      </c>
      <c r="C84" t="s">
        <v>25</v>
      </c>
      <c r="D84" t="s">
        <v>46</v>
      </c>
      <c r="E84" t="s">
        <v>27</v>
      </c>
      <c r="F84" t="s">
        <v>28</v>
      </c>
      <c r="G84">
        <v>1</v>
      </c>
      <c r="H84" t="s">
        <v>37</v>
      </c>
      <c r="I84" t="s">
        <v>30</v>
      </c>
      <c r="J84" t="s">
        <v>39</v>
      </c>
      <c r="K84" t="s">
        <v>33</v>
      </c>
      <c r="L84">
        <v>55</v>
      </c>
      <c r="M84">
        <v>1</v>
      </c>
      <c r="N84" t="s">
        <v>32</v>
      </c>
      <c r="O84">
        <v>1</v>
      </c>
      <c r="P84">
        <v>3</v>
      </c>
      <c r="Q84">
        <v>4</v>
      </c>
      <c r="R84">
        <v>10239</v>
      </c>
      <c r="S84">
        <v>24</v>
      </c>
      <c r="T84">
        <v>3</v>
      </c>
      <c r="U84">
        <v>1</v>
      </c>
      <c r="V84">
        <v>0</v>
      </c>
      <c r="W84">
        <v>1</v>
      </c>
      <c r="X84">
        <v>0</v>
      </c>
      <c r="Y84">
        <f>IF(HR_data[[#This Row],[Attrition]]= "Yes",1,0)</f>
        <v>0</v>
      </c>
    </row>
    <row r="85" spans="1:25">
      <c r="A85">
        <v>84</v>
      </c>
      <c r="B85" t="s">
        <v>33</v>
      </c>
      <c r="C85" t="s">
        <v>51</v>
      </c>
      <c r="D85" t="s">
        <v>26</v>
      </c>
      <c r="E85" t="s">
        <v>36</v>
      </c>
      <c r="F85" t="s">
        <v>45</v>
      </c>
      <c r="G85">
        <v>1</v>
      </c>
      <c r="H85" t="s">
        <v>29</v>
      </c>
      <c r="I85" t="s">
        <v>38</v>
      </c>
      <c r="J85" t="s">
        <v>48</v>
      </c>
      <c r="K85" t="s">
        <v>24</v>
      </c>
      <c r="L85">
        <v>38</v>
      </c>
      <c r="M85">
        <v>6</v>
      </c>
      <c r="N85" t="s">
        <v>47</v>
      </c>
      <c r="O85">
        <v>2</v>
      </c>
      <c r="P85">
        <v>2</v>
      </c>
      <c r="Q85">
        <v>4</v>
      </c>
      <c r="R85">
        <v>5329</v>
      </c>
      <c r="S85">
        <v>17</v>
      </c>
      <c r="T85">
        <v>3</v>
      </c>
      <c r="U85">
        <v>13</v>
      </c>
      <c r="V85">
        <v>11</v>
      </c>
      <c r="W85">
        <v>1</v>
      </c>
      <c r="X85">
        <v>9</v>
      </c>
      <c r="Y85">
        <f>IF(HR_data[[#This Row],[Attrition]]= "Yes",1,0)</f>
        <v>0</v>
      </c>
    </row>
    <row r="86" spans="1:25">
      <c r="A86">
        <v>85</v>
      </c>
      <c r="B86" t="s">
        <v>33</v>
      </c>
      <c r="C86" t="s">
        <v>25</v>
      </c>
      <c r="D86" t="s">
        <v>43</v>
      </c>
      <c r="E86" t="s">
        <v>36</v>
      </c>
      <c r="F86" t="s">
        <v>45</v>
      </c>
      <c r="G86">
        <v>1</v>
      </c>
      <c r="H86" t="s">
        <v>37</v>
      </c>
      <c r="I86" t="s">
        <v>49</v>
      </c>
      <c r="J86" t="s">
        <v>39</v>
      </c>
      <c r="K86" t="s">
        <v>33</v>
      </c>
      <c r="L86">
        <v>34</v>
      </c>
      <c r="M86">
        <v>1</v>
      </c>
      <c r="N86" t="s">
        <v>32</v>
      </c>
      <c r="O86">
        <v>1</v>
      </c>
      <c r="P86">
        <v>2</v>
      </c>
      <c r="Q86">
        <v>2</v>
      </c>
      <c r="R86">
        <v>4325</v>
      </c>
      <c r="S86">
        <v>5</v>
      </c>
      <c r="T86">
        <v>3</v>
      </c>
      <c r="U86">
        <v>5</v>
      </c>
      <c r="V86">
        <v>2</v>
      </c>
      <c r="W86">
        <v>1</v>
      </c>
      <c r="X86">
        <v>3</v>
      </c>
      <c r="Y86">
        <f>IF(HR_data[[#This Row],[Attrition]]= "Yes",1,0)</f>
        <v>0</v>
      </c>
    </row>
    <row r="87" spans="1:25">
      <c r="A87">
        <v>86</v>
      </c>
      <c r="B87" t="s">
        <v>33</v>
      </c>
      <c r="C87" t="s">
        <v>25</v>
      </c>
      <c r="D87" t="s">
        <v>46</v>
      </c>
      <c r="E87" t="s">
        <v>36</v>
      </c>
      <c r="F87" t="s">
        <v>28</v>
      </c>
      <c r="G87">
        <v>1</v>
      </c>
      <c r="H87" t="s">
        <v>37</v>
      </c>
      <c r="I87" t="s">
        <v>49</v>
      </c>
      <c r="J87" t="s">
        <v>31</v>
      </c>
      <c r="K87" t="s">
        <v>33</v>
      </c>
      <c r="L87">
        <v>56</v>
      </c>
      <c r="M87">
        <v>7</v>
      </c>
      <c r="N87" t="s">
        <v>47</v>
      </c>
      <c r="O87">
        <v>4</v>
      </c>
      <c r="P87">
        <v>3</v>
      </c>
      <c r="Q87">
        <v>4</v>
      </c>
      <c r="R87">
        <v>7260</v>
      </c>
      <c r="S87">
        <v>37</v>
      </c>
      <c r="T87">
        <v>2</v>
      </c>
      <c r="U87">
        <v>6</v>
      </c>
      <c r="V87">
        <v>4</v>
      </c>
      <c r="W87">
        <v>0</v>
      </c>
      <c r="X87">
        <v>2</v>
      </c>
      <c r="Y87">
        <f>IF(HR_data[[#This Row],[Attrition]]= "Yes",1,0)</f>
        <v>0</v>
      </c>
    </row>
    <row r="88" spans="1:25">
      <c r="A88">
        <v>87</v>
      </c>
      <c r="B88" t="s">
        <v>33</v>
      </c>
      <c r="C88" t="s">
        <v>25</v>
      </c>
      <c r="D88" t="s">
        <v>52</v>
      </c>
      <c r="E88" t="s">
        <v>27</v>
      </c>
      <c r="F88" t="s">
        <v>57</v>
      </c>
      <c r="G88">
        <v>1</v>
      </c>
      <c r="H88" t="s">
        <v>37</v>
      </c>
      <c r="I88" t="s">
        <v>54</v>
      </c>
      <c r="J88" t="s">
        <v>48</v>
      </c>
      <c r="K88" t="s">
        <v>33</v>
      </c>
      <c r="L88">
        <v>23</v>
      </c>
      <c r="M88">
        <v>2</v>
      </c>
      <c r="N88" t="s">
        <v>40</v>
      </c>
      <c r="O88">
        <v>3</v>
      </c>
      <c r="P88">
        <v>1</v>
      </c>
      <c r="Q88">
        <v>1</v>
      </c>
      <c r="R88">
        <v>2322</v>
      </c>
      <c r="S88">
        <v>3</v>
      </c>
      <c r="T88">
        <v>3</v>
      </c>
      <c r="U88">
        <v>0</v>
      </c>
      <c r="V88">
        <v>0</v>
      </c>
      <c r="W88">
        <v>0</v>
      </c>
      <c r="X88">
        <v>0</v>
      </c>
      <c r="Y88">
        <f>IF(HR_data[[#This Row],[Attrition]]= "Yes",1,0)</f>
        <v>0</v>
      </c>
    </row>
    <row r="89" spans="1:25">
      <c r="A89">
        <v>88</v>
      </c>
      <c r="B89" t="s">
        <v>33</v>
      </c>
      <c r="C89" t="s">
        <v>25</v>
      </c>
      <c r="D89" t="s">
        <v>35</v>
      </c>
      <c r="E89" t="s">
        <v>36</v>
      </c>
      <c r="F89" t="s">
        <v>28</v>
      </c>
      <c r="G89">
        <v>1</v>
      </c>
      <c r="H89" t="s">
        <v>37</v>
      </c>
      <c r="I89" t="s">
        <v>42</v>
      </c>
      <c r="J89" t="s">
        <v>39</v>
      </c>
      <c r="K89" t="s">
        <v>33</v>
      </c>
      <c r="L89">
        <v>51</v>
      </c>
      <c r="M89">
        <v>9</v>
      </c>
      <c r="N89" t="s">
        <v>44</v>
      </c>
      <c r="O89">
        <v>4</v>
      </c>
      <c r="P89">
        <v>1</v>
      </c>
      <c r="Q89">
        <v>4</v>
      </c>
      <c r="R89">
        <v>2075</v>
      </c>
      <c r="S89">
        <v>10</v>
      </c>
      <c r="T89">
        <v>3</v>
      </c>
      <c r="U89">
        <v>4</v>
      </c>
      <c r="V89">
        <v>2</v>
      </c>
      <c r="W89">
        <v>0</v>
      </c>
      <c r="X89">
        <v>3</v>
      </c>
      <c r="Y89">
        <f>IF(HR_data[[#This Row],[Attrition]]= "Yes",1,0)</f>
        <v>0</v>
      </c>
    </row>
    <row r="90" spans="1:25">
      <c r="A90">
        <v>89</v>
      </c>
      <c r="B90" t="s">
        <v>33</v>
      </c>
      <c r="C90" t="s">
        <v>25</v>
      </c>
      <c r="D90" t="s">
        <v>43</v>
      </c>
      <c r="E90" t="s">
        <v>36</v>
      </c>
      <c r="F90" t="s">
        <v>28</v>
      </c>
      <c r="G90">
        <v>1</v>
      </c>
      <c r="H90" t="s">
        <v>37</v>
      </c>
      <c r="I90" t="s">
        <v>50</v>
      </c>
      <c r="J90" t="s">
        <v>39</v>
      </c>
      <c r="K90" t="s">
        <v>33</v>
      </c>
      <c r="L90">
        <v>30</v>
      </c>
      <c r="M90">
        <v>2</v>
      </c>
      <c r="N90" t="s">
        <v>47</v>
      </c>
      <c r="O90">
        <v>3</v>
      </c>
      <c r="P90">
        <v>2</v>
      </c>
      <c r="Q90">
        <v>4</v>
      </c>
      <c r="R90">
        <v>4152</v>
      </c>
      <c r="S90">
        <v>11</v>
      </c>
      <c r="T90">
        <v>3</v>
      </c>
      <c r="U90">
        <v>11</v>
      </c>
      <c r="V90">
        <v>10</v>
      </c>
      <c r="W90">
        <v>10</v>
      </c>
      <c r="X90">
        <v>8</v>
      </c>
      <c r="Y90">
        <f>IF(HR_data[[#This Row],[Attrition]]= "Yes",1,0)</f>
        <v>0</v>
      </c>
    </row>
    <row r="91" spans="1:25">
      <c r="A91">
        <v>90</v>
      </c>
      <c r="B91" t="s">
        <v>24</v>
      </c>
      <c r="C91" t="s">
        <v>25</v>
      </c>
      <c r="D91" t="s">
        <v>35</v>
      </c>
      <c r="E91" t="s">
        <v>27</v>
      </c>
      <c r="F91" t="s">
        <v>45</v>
      </c>
      <c r="G91">
        <v>1</v>
      </c>
      <c r="H91" t="s">
        <v>37</v>
      </c>
      <c r="I91" t="s">
        <v>30</v>
      </c>
      <c r="J91" t="s">
        <v>31</v>
      </c>
      <c r="K91" t="s">
        <v>33</v>
      </c>
      <c r="L91">
        <v>46</v>
      </c>
      <c r="M91">
        <v>9</v>
      </c>
      <c r="N91" t="s">
        <v>32</v>
      </c>
      <c r="O91">
        <v>3</v>
      </c>
      <c r="P91">
        <v>3</v>
      </c>
      <c r="Q91">
        <v>4</v>
      </c>
      <c r="R91">
        <v>9619</v>
      </c>
      <c r="S91">
        <v>9</v>
      </c>
      <c r="T91">
        <v>3</v>
      </c>
      <c r="U91">
        <v>9</v>
      </c>
      <c r="V91">
        <v>8</v>
      </c>
      <c r="W91">
        <v>4</v>
      </c>
      <c r="X91">
        <v>7</v>
      </c>
      <c r="Y91">
        <f>IF(HR_data[[#This Row],[Attrition]]= "Yes",1,0)</f>
        <v>1</v>
      </c>
    </row>
    <row r="92" spans="1:25">
      <c r="A92">
        <v>91</v>
      </c>
      <c r="B92" t="s">
        <v>33</v>
      </c>
      <c r="C92" t="s">
        <v>34</v>
      </c>
      <c r="D92" t="s">
        <v>26</v>
      </c>
      <c r="E92" t="s">
        <v>36</v>
      </c>
      <c r="F92" t="s">
        <v>28</v>
      </c>
      <c r="G92">
        <v>1</v>
      </c>
      <c r="H92" t="s">
        <v>37</v>
      </c>
      <c r="I92" t="s">
        <v>50</v>
      </c>
      <c r="J92" t="s">
        <v>39</v>
      </c>
      <c r="K92" t="s">
        <v>33</v>
      </c>
      <c r="L92">
        <v>40</v>
      </c>
      <c r="M92">
        <v>1</v>
      </c>
      <c r="N92" t="s">
        <v>44</v>
      </c>
      <c r="O92">
        <v>3</v>
      </c>
      <c r="P92">
        <v>4</v>
      </c>
      <c r="Q92">
        <v>2</v>
      </c>
      <c r="R92">
        <v>13503</v>
      </c>
      <c r="S92">
        <v>22</v>
      </c>
      <c r="T92">
        <v>2</v>
      </c>
      <c r="U92">
        <v>22</v>
      </c>
      <c r="V92">
        <v>3</v>
      </c>
      <c r="W92">
        <v>11</v>
      </c>
      <c r="X92">
        <v>11</v>
      </c>
      <c r="Y92">
        <f>IF(HR_data[[#This Row],[Attrition]]= "Yes",1,0)</f>
        <v>0</v>
      </c>
    </row>
    <row r="93" spans="1:25">
      <c r="A93">
        <v>92</v>
      </c>
      <c r="B93" t="s">
        <v>33</v>
      </c>
      <c r="C93" t="s">
        <v>25</v>
      </c>
      <c r="D93" t="s">
        <v>35</v>
      </c>
      <c r="E93" t="s">
        <v>27</v>
      </c>
      <c r="F93" t="s">
        <v>56</v>
      </c>
      <c r="G93">
        <v>1</v>
      </c>
      <c r="H93" t="s">
        <v>37</v>
      </c>
      <c r="I93" t="s">
        <v>30</v>
      </c>
      <c r="J93" t="s">
        <v>31</v>
      </c>
      <c r="K93" t="s">
        <v>24</v>
      </c>
      <c r="L93">
        <v>51</v>
      </c>
      <c r="M93">
        <v>21</v>
      </c>
      <c r="N93" t="s">
        <v>44</v>
      </c>
      <c r="O93">
        <v>3</v>
      </c>
      <c r="P93">
        <v>2</v>
      </c>
      <c r="Q93">
        <v>4</v>
      </c>
      <c r="R93">
        <v>5441</v>
      </c>
      <c r="S93">
        <v>11</v>
      </c>
      <c r="T93">
        <v>1</v>
      </c>
      <c r="U93">
        <v>10</v>
      </c>
      <c r="V93">
        <v>7</v>
      </c>
      <c r="W93">
        <v>1</v>
      </c>
      <c r="X93">
        <v>0</v>
      </c>
      <c r="Y93">
        <f>IF(HR_data[[#This Row],[Attrition]]= "Yes",1,0)</f>
        <v>0</v>
      </c>
    </row>
    <row r="94" spans="1:25">
      <c r="A94">
        <v>93</v>
      </c>
      <c r="B94" t="s">
        <v>33</v>
      </c>
      <c r="C94" t="s">
        <v>25</v>
      </c>
      <c r="D94" t="s">
        <v>43</v>
      </c>
      <c r="E94" t="s">
        <v>27</v>
      </c>
      <c r="F94" t="s">
        <v>45</v>
      </c>
      <c r="G94">
        <v>1</v>
      </c>
      <c r="H94" t="s">
        <v>29</v>
      </c>
      <c r="I94" t="s">
        <v>30</v>
      </c>
      <c r="J94" t="s">
        <v>48</v>
      </c>
      <c r="K94" t="s">
        <v>24</v>
      </c>
      <c r="L94">
        <v>30</v>
      </c>
      <c r="M94">
        <v>4</v>
      </c>
      <c r="N94" t="s">
        <v>32</v>
      </c>
      <c r="O94">
        <v>3</v>
      </c>
      <c r="P94">
        <v>2</v>
      </c>
      <c r="Q94">
        <v>2</v>
      </c>
      <c r="R94">
        <v>5209</v>
      </c>
      <c r="S94">
        <v>11</v>
      </c>
      <c r="T94">
        <v>2</v>
      </c>
      <c r="U94">
        <v>11</v>
      </c>
      <c r="V94">
        <v>8</v>
      </c>
      <c r="W94">
        <v>2</v>
      </c>
      <c r="X94">
        <v>7</v>
      </c>
      <c r="Y94">
        <f>IF(HR_data[[#This Row],[Attrition]]= "Yes",1,0)</f>
        <v>0</v>
      </c>
    </row>
    <row r="95" spans="1:25">
      <c r="A95">
        <v>94</v>
      </c>
      <c r="B95" t="s">
        <v>33</v>
      </c>
      <c r="C95" t="s">
        <v>34</v>
      </c>
      <c r="D95" t="s">
        <v>35</v>
      </c>
      <c r="E95" t="s">
        <v>36</v>
      </c>
      <c r="F95" t="s">
        <v>45</v>
      </c>
      <c r="G95">
        <v>1</v>
      </c>
      <c r="H95" t="s">
        <v>37</v>
      </c>
      <c r="I95" t="s">
        <v>50</v>
      </c>
      <c r="J95" t="s">
        <v>39</v>
      </c>
      <c r="K95" t="s">
        <v>24</v>
      </c>
      <c r="L95">
        <v>46</v>
      </c>
      <c r="M95">
        <v>1</v>
      </c>
      <c r="N95" t="s">
        <v>47</v>
      </c>
      <c r="O95">
        <v>3</v>
      </c>
      <c r="P95">
        <v>3</v>
      </c>
      <c r="Q95">
        <v>1</v>
      </c>
      <c r="R95">
        <v>10673</v>
      </c>
      <c r="S95">
        <v>21</v>
      </c>
      <c r="T95">
        <v>2</v>
      </c>
      <c r="U95">
        <v>10</v>
      </c>
      <c r="V95">
        <v>9</v>
      </c>
      <c r="W95">
        <v>9</v>
      </c>
      <c r="X95">
        <v>5</v>
      </c>
      <c r="Y95">
        <f>IF(HR_data[[#This Row],[Attrition]]= "Yes",1,0)</f>
        <v>0</v>
      </c>
    </row>
    <row r="96" spans="1:25">
      <c r="A96">
        <v>95</v>
      </c>
      <c r="B96" t="s">
        <v>33</v>
      </c>
      <c r="C96" t="s">
        <v>25</v>
      </c>
      <c r="D96" t="s">
        <v>43</v>
      </c>
      <c r="E96" t="s">
        <v>27</v>
      </c>
      <c r="F96" t="s">
        <v>45</v>
      </c>
      <c r="G96">
        <v>1</v>
      </c>
      <c r="H96" t="s">
        <v>37</v>
      </c>
      <c r="I96" t="s">
        <v>30</v>
      </c>
      <c r="J96" t="s">
        <v>31</v>
      </c>
      <c r="K96" t="s">
        <v>33</v>
      </c>
      <c r="L96">
        <v>32</v>
      </c>
      <c r="M96">
        <v>6</v>
      </c>
      <c r="N96" t="s">
        <v>44</v>
      </c>
      <c r="O96">
        <v>2</v>
      </c>
      <c r="P96">
        <v>2</v>
      </c>
      <c r="Q96">
        <v>3</v>
      </c>
      <c r="R96">
        <v>5010</v>
      </c>
      <c r="S96">
        <v>12</v>
      </c>
      <c r="T96">
        <v>3</v>
      </c>
      <c r="U96">
        <v>11</v>
      </c>
      <c r="V96">
        <v>8</v>
      </c>
      <c r="W96">
        <v>5</v>
      </c>
      <c r="X96">
        <v>7</v>
      </c>
      <c r="Y96">
        <f>IF(HR_data[[#This Row],[Attrition]]= "Yes",1,0)</f>
        <v>0</v>
      </c>
    </row>
    <row r="97" spans="1:25">
      <c r="A97">
        <v>96</v>
      </c>
      <c r="B97" t="s">
        <v>33</v>
      </c>
      <c r="C97" t="s">
        <v>25</v>
      </c>
      <c r="D97" t="s">
        <v>35</v>
      </c>
      <c r="E97" t="s">
        <v>36</v>
      </c>
      <c r="F97" t="s">
        <v>57</v>
      </c>
      <c r="G97">
        <v>1</v>
      </c>
      <c r="H97" t="s">
        <v>29</v>
      </c>
      <c r="I97" t="s">
        <v>55</v>
      </c>
      <c r="J97" t="s">
        <v>39</v>
      </c>
      <c r="K97" t="s">
        <v>33</v>
      </c>
      <c r="L97">
        <v>54</v>
      </c>
      <c r="M97">
        <v>2</v>
      </c>
      <c r="N97" t="s">
        <v>44</v>
      </c>
      <c r="O97">
        <v>1</v>
      </c>
      <c r="P97">
        <v>3</v>
      </c>
      <c r="Q97">
        <v>3</v>
      </c>
      <c r="R97">
        <v>13549</v>
      </c>
      <c r="S97">
        <v>16</v>
      </c>
      <c r="T97">
        <v>1</v>
      </c>
      <c r="U97">
        <v>4</v>
      </c>
      <c r="V97">
        <v>3</v>
      </c>
      <c r="W97">
        <v>0</v>
      </c>
      <c r="X97">
        <v>3</v>
      </c>
      <c r="Y97">
        <f>IF(HR_data[[#This Row],[Attrition]]= "Yes",1,0)</f>
        <v>0</v>
      </c>
    </row>
    <row r="98" spans="1:25">
      <c r="A98">
        <v>97</v>
      </c>
      <c r="B98" t="s">
        <v>33</v>
      </c>
      <c r="C98" t="s">
        <v>25</v>
      </c>
      <c r="D98" t="s">
        <v>52</v>
      </c>
      <c r="E98" t="s">
        <v>27</v>
      </c>
      <c r="F98" t="s">
        <v>41</v>
      </c>
      <c r="G98">
        <v>1</v>
      </c>
      <c r="H98" t="s">
        <v>29</v>
      </c>
      <c r="I98" t="s">
        <v>30</v>
      </c>
      <c r="J98" t="s">
        <v>39</v>
      </c>
      <c r="K98" t="s">
        <v>33</v>
      </c>
      <c r="L98">
        <v>24</v>
      </c>
      <c r="M98">
        <v>3</v>
      </c>
      <c r="N98" t="s">
        <v>32</v>
      </c>
      <c r="O98">
        <v>1</v>
      </c>
      <c r="P98">
        <v>2</v>
      </c>
      <c r="Q98">
        <v>3</v>
      </c>
      <c r="R98">
        <v>4999</v>
      </c>
      <c r="S98">
        <v>4</v>
      </c>
      <c r="T98">
        <v>2</v>
      </c>
      <c r="U98">
        <v>3</v>
      </c>
      <c r="V98">
        <v>2</v>
      </c>
      <c r="W98">
        <v>0</v>
      </c>
      <c r="X98">
        <v>2</v>
      </c>
      <c r="Y98">
        <f>IF(HR_data[[#This Row],[Attrition]]= "Yes",1,0)</f>
        <v>0</v>
      </c>
    </row>
    <row r="99" spans="1:25">
      <c r="A99">
        <v>98</v>
      </c>
      <c r="B99" t="s">
        <v>33</v>
      </c>
      <c r="C99" t="s">
        <v>51</v>
      </c>
      <c r="D99" t="s">
        <v>43</v>
      </c>
      <c r="E99" t="s">
        <v>27</v>
      </c>
      <c r="F99" t="s">
        <v>45</v>
      </c>
      <c r="G99">
        <v>1</v>
      </c>
      <c r="H99" t="s">
        <v>37</v>
      </c>
      <c r="I99" t="s">
        <v>30</v>
      </c>
      <c r="J99" t="s">
        <v>39</v>
      </c>
      <c r="K99" t="s">
        <v>33</v>
      </c>
      <c r="L99">
        <v>28</v>
      </c>
      <c r="M99">
        <v>4</v>
      </c>
      <c r="N99" t="s">
        <v>47</v>
      </c>
      <c r="O99">
        <v>2</v>
      </c>
      <c r="P99">
        <v>2</v>
      </c>
      <c r="Q99">
        <v>3</v>
      </c>
      <c r="R99">
        <v>4221</v>
      </c>
      <c r="S99">
        <v>5</v>
      </c>
      <c r="T99">
        <v>4</v>
      </c>
      <c r="U99">
        <v>5</v>
      </c>
      <c r="V99">
        <v>4</v>
      </c>
      <c r="W99">
        <v>0</v>
      </c>
      <c r="X99">
        <v>4</v>
      </c>
      <c r="Y99">
        <f>IF(HR_data[[#This Row],[Attrition]]= "Yes",1,0)</f>
        <v>0</v>
      </c>
    </row>
    <row r="100" spans="1:25">
      <c r="A100">
        <v>99</v>
      </c>
      <c r="B100" t="s">
        <v>33</v>
      </c>
      <c r="C100" t="s">
        <v>25</v>
      </c>
      <c r="D100" t="s">
        <v>46</v>
      </c>
      <c r="E100" t="s">
        <v>27</v>
      </c>
      <c r="F100" t="s">
        <v>45</v>
      </c>
      <c r="G100">
        <v>1</v>
      </c>
      <c r="H100" t="s">
        <v>37</v>
      </c>
      <c r="I100" t="s">
        <v>30</v>
      </c>
      <c r="J100" t="s">
        <v>31</v>
      </c>
      <c r="K100" t="s">
        <v>33</v>
      </c>
      <c r="L100">
        <v>58</v>
      </c>
      <c r="M100">
        <v>10</v>
      </c>
      <c r="N100" t="s">
        <v>44</v>
      </c>
      <c r="O100">
        <v>4</v>
      </c>
      <c r="P100">
        <v>4</v>
      </c>
      <c r="Q100">
        <v>3</v>
      </c>
      <c r="R100">
        <v>13872</v>
      </c>
      <c r="S100">
        <v>38</v>
      </c>
      <c r="T100">
        <v>2</v>
      </c>
      <c r="U100">
        <v>37</v>
      </c>
      <c r="V100">
        <v>10</v>
      </c>
      <c r="W100">
        <v>1</v>
      </c>
      <c r="X100">
        <v>8</v>
      </c>
      <c r="Y100">
        <f>IF(HR_data[[#This Row],[Attrition]]= "Yes",1,0)</f>
        <v>0</v>
      </c>
    </row>
    <row r="101" spans="1:25">
      <c r="A101">
        <v>100</v>
      </c>
      <c r="B101" t="s">
        <v>33</v>
      </c>
      <c r="C101" t="s">
        <v>51</v>
      </c>
      <c r="D101" t="s">
        <v>26</v>
      </c>
      <c r="E101" t="s">
        <v>36</v>
      </c>
      <c r="F101" t="s">
        <v>45</v>
      </c>
      <c r="G101">
        <v>1</v>
      </c>
      <c r="H101" t="s">
        <v>37</v>
      </c>
      <c r="I101" t="s">
        <v>42</v>
      </c>
      <c r="J101" t="s">
        <v>39</v>
      </c>
      <c r="K101" t="s">
        <v>33</v>
      </c>
      <c r="L101">
        <v>44</v>
      </c>
      <c r="M101">
        <v>23</v>
      </c>
      <c r="N101" t="s">
        <v>47</v>
      </c>
      <c r="O101">
        <v>2</v>
      </c>
      <c r="P101">
        <v>2</v>
      </c>
      <c r="Q101">
        <v>2</v>
      </c>
      <c r="R101">
        <v>2042</v>
      </c>
      <c r="S101">
        <v>17</v>
      </c>
      <c r="T101">
        <v>4</v>
      </c>
      <c r="U101">
        <v>3</v>
      </c>
      <c r="V101">
        <v>2</v>
      </c>
      <c r="W101">
        <v>1</v>
      </c>
      <c r="X101">
        <v>2</v>
      </c>
      <c r="Y101">
        <f>IF(HR_data[[#This Row],[Attrition]]= "Yes",1,0)</f>
        <v>0</v>
      </c>
    </row>
    <row r="102" spans="1:25">
      <c r="A102">
        <v>101</v>
      </c>
      <c r="B102" t="s">
        <v>24</v>
      </c>
      <c r="C102" t="s">
        <v>25</v>
      </c>
      <c r="D102" t="s">
        <v>26</v>
      </c>
      <c r="E102" t="s">
        <v>59</v>
      </c>
      <c r="F102" t="s">
        <v>60</v>
      </c>
      <c r="G102">
        <v>1</v>
      </c>
      <c r="H102" t="s">
        <v>37</v>
      </c>
      <c r="I102" t="s">
        <v>60</v>
      </c>
      <c r="J102" t="s">
        <v>48</v>
      </c>
      <c r="K102" t="s">
        <v>24</v>
      </c>
      <c r="L102">
        <v>37</v>
      </c>
      <c r="M102">
        <v>6</v>
      </c>
      <c r="N102" t="s">
        <v>44</v>
      </c>
      <c r="O102">
        <v>3</v>
      </c>
      <c r="P102">
        <v>1</v>
      </c>
      <c r="Q102">
        <v>1</v>
      </c>
      <c r="R102">
        <v>2073</v>
      </c>
      <c r="S102">
        <v>7</v>
      </c>
      <c r="T102">
        <v>3</v>
      </c>
      <c r="U102">
        <v>3</v>
      </c>
      <c r="V102">
        <v>2</v>
      </c>
      <c r="W102">
        <v>0</v>
      </c>
      <c r="X102">
        <v>2</v>
      </c>
      <c r="Y102">
        <f>IF(HR_data[[#This Row],[Attrition]]= "Yes",1,0)</f>
        <v>1</v>
      </c>
    </row>
    <row r="103" spans="1:25">
      <c r="A103">
        <v>102</v>
      </c>
      <c r="B103" t="s">
        <v>33</v>
      </c>
      <c r="C103" t="s">
        <v>25</v>
      </c>
      <c r="D103" t="s">
        <v>43</v>
      </c>
      <c r="E103" t="s">
        <v>36</v>
      </c>
      <c r="F103" t="s">
        <v>28</v>
      </c>
      <c r="G103">
        <v>1</v>
      </c>
      <c r="H103" t="s">
        <v>37</v>
      </c>
      <c r="I103" t="s">
        <v>38</v>
      </c>
      <c r="J103" t="s">
        <v>31</v>
      </c>
      <c r="K103" t="s">
        <v>33</v>
      </c>
      <c r="L103">
        <v>32</v>
      </c>
      <c r="M103">
        <v>1</v>
      </c>
      <c r="N103" t="s">
        <v>40</v>
      </c>
      <c r="O103">
        <v>4</v>
      </c>
      <c r="P103">
        <v>1</v>
      </c>
      <c r="Q103">
        <v>1</v>
      </c>
      <c r="R103">
        <v>2956</v>
      </c>
      <c r="S103">
        <v>1</v>
      </c>
      <c r="T103">
        <v>3</v>
      </c>
      <c r="U103">
        <v>1</v>
      </c>
      <c r="V103">
        <v>0</v>
      </c>
      <c r="W103">
        <v>0</v>
      </c>
      <c r="X103">
        <v>0</v>
      </c>
      <c r="Y103">
        <f>IF(HR_data[[#This Row],[Attrition]]= "Yes",1,0)</f>
        <v>0</v>
      </c>
    </row>
    <row r="104" spans="1:25">
      <c r="A104">
        <v>103</v>
      </c>
      <c r="B104" t="s">
        <v>24</v>
      </c>
      <c r="C104" t="s">
        <v>34</v>
      </c>
      <c r="D104" t="s">
        <v>52</v>
      </c>
      <c r="E104" t="s">
        <v>36</v>
      </c>
      <c r="F104" t="s">
        <v>28</v>
      </c>
      <c r="G104">
        <v>1</v>
      </c>
      <c r="H104" t="s">
        <v>29</v>
      </c>
      <c r="I104" t="s">
        <v>42</v>
      </c>
      <c r="J104" t="s">
        <v>31</v>
      </c>
      <c r="K104" t="s">
        <v>24</v>
      </c>
      <c r="L104">
        <v>20</v>
      </c>
      <c r="M104">
        <v>6</v>
      </c>
      <c r="N104" t="s">
        <v>47</v>
      </c>
      <c r="O104">
        <v>4</v>
      </c>
      <c r="P104">
        <v>1</v>
      </c>
      <c r="Q104">
        <v>4</v>
      </c>
      <c r="R104">
        <v>2926</v>
      </c>
      <c r="S104">
        <v>1</v>
      </c>
      <c r="T104">
        <v>3</v>
      </c>
      <c r="U104">
        <v>1</v>
      </c>
      <c r="V104">
        <v>0</v>
      </c>
      <c r="W104">
        <v>1</v>
      </c>
      <c r="X104">
        <v>0</v>
      </c>
      <c r="Y104">
        <f>IF(HR_data[[#This Row],[Attrition]]= "Yes",1,0)</f>
        <v>1</v>
      </c>
    </row>
    <row r="105" spans="1:25">
      <c r="A105">
        <v>104</v>
      </c>
      <c r="B105" t="s">
        <v>33</v>
      </c>
      <c r="C105" t="s">
        <v>25</v>
      </c>
      <c r="D105" t="s">
        <v>43</v>
      </c>
      <c r="E105" t="s">
        <v>36</v>
      </c>
      <c r="F105" t="s">
        <v>41</v>
      </c>
      <c r="G105">
        <v>1</v>
      </c>
      <c r="H105" t="s">
        <v>29</v>
      </c>
      <c r="I105" t="s">
        <v>38</v>
      </c>
      <c r="J105" t="s">
        <v>31</v>
      </c>
      <c r="K105" t="s">
        <v>33</v>
      </c>
      <c r="L105">
        <v>34</v>
      </c>
      <c r="M105">
        <v>6</v>
      </c>
      <c r="N105" t="s">
        <v>44</v>
      </c>
      <c r="O105">
        <v>1</v>
      </c>
      <c r="P105">
        <v>2</v>
      </c>
      <c r="Q105">
        <v>3</v>
      </c>
      <c r="R105">
        <v>4809</v>
      </c>
      <c r="S105">
        <v>16</v>
      </c>
      <c r="T105">
        <v>3</v>
      </c>
      <c r="U105">
        <v>16</v>
      </c>
      <c r="V105">
        <v>13</v>
      </c>
      <c r="W105">
        <v>2</v>
      </c>
      <c r="X105">
        <v>10</v>
      </c>
      <c r="Y105">
        <f>IF(HR_data[[#This Row],[Attrition]]= "Yes",1,0)</f>
        <v>0</v>
      </c>
    </row>
    <row r="106" spans="1:25">
      <c r="A106">
        <v>105</v>
      </c>
      <c r="B106" t="s">
        <v>33</v>
      </c>
      <c r="C106" t="s">
        <v>51</v>
      </c>
      <c r="D106" t="s">
        <v>26</v>
      </c>
      <c r="E106" t="s">
        <v>36</v>
      </c>
      <c r="F106" t="s">
        <v>28</v>
      </c>
      <c r="G106">
        <v>1</v>
      </c>
      <c r="H106" t="s">
        <v>37</v>
      </c>
      <c r="I106" t="s">
        <v>50</v>
      </c>
      <c r="J106" t="s">
        <v>48</v>
      </c>
      <c r="K106" t="s">
        <v>33</v>
      </c>
      <c r="L106">
        <v>37</v>
      </c>
      <c r="M106">
        <v>2</v>
      </c>
      <c r="N106" t="s">
        <v>32</v>
      </c>
      <c r="O106">
        <v>3</v>
      </c>
      <c r="P106">
        <v>2</v>
      </c>
      <c r="Q106">
        <v>4</v>
      </c>
      <c r="R106">
        <v>5163</v>
      </c>
      <c r="S106">
        <v>17</v>
      </c>
      <c r="T106">
        <v>4</v>
      </c>
      <c r="U106">
        <v>1</v>
      </c>
      <c r="V106">
        <v>0</v>
      </c>
      <c r="W106">
        <v>0</v>
      </c>
      <c r="X106">
        <v>0</v>
      </c>
      <c r="Y106">
        <f>IF(HR_data[[#This Row],[Attrition]]= "Yes",1,0)</f>
        <v>0</v>
      </c>
    </row>
    <row r="107" spans="1:25">
      <c r="A107">
        <v>106</v>
      </c>
      <c r="B107" t="s">
        <v>33</v>
      </c>
      <c r="C107" t="s">
        <v>51</v>
      </c>
      <c r="D107" t="s">
        <v>46</v>
      </c>
      <c r="E107" t="s">
        <v>59</v>
      </c>
      <c r="F107" t="s">
        <v>60</v>
      </c>
      <c r="G107">
        <v>1</v>
      </c>
      <c r="H107" t="s">
        <v>29</v>
      </c>
      <c r="I107" t="s">
        <v>53</v>
      </c>
      <c r="J107" t="s">
        <v>39</v>
      </c>
      <c r="K107" t="s">
        <v>33</v>
      </c>
      <c r="L107">
        <v>59</v>
      </c>
      <c r="M107">
        <v>2</v>
      </c>
      <c r="N107" t="s">
        <v>44</v>
      </c>
      <c r="O107">
        <v>3</v>
      </c>
      <c r="P107">
        <v>5</v>
      </c>
      <c r="Q107">
        <v>4</v>
      </c>
      <c r="R107">
        <v>18844</v>
      </c>
      <c r="S107">
        <v>30</v>
      </c>
      <c r="T107">
        <v>3</v>
      </c>
      <c r="U107">
        <v>3</v>
      </c>
      <c r="V107">
        <v>2</v>
      </c>
      <c r="W107">
        <v>2</v>
      </c>
      <c r="X107">
        <v>2</v>
      </c>
      <c r="Y107">
        <f>IF(HR_data[[#This Row],[Attrition]]= "Yes",1,0)</f>
        <v>0</v>
      </c>
    </row>
    <row r="108" spans="1:25">
      <c r="A108">
        <v>107</v>
      </c>
      <c r="B108" t="s">
        <v>33</v>
      </c>
      <c r="C108" t="s">
        <v>34</v>
      </c>
      <c r="D108" t="s">
        <v>35</v>
      </c>
      <c r="E108" t="s">
        <v>36</v>
      </c>
      <c r="F108" t="s">
        <v>28</v>
      </c>
      <c r="G108">
        <v>1</v>
      </c>
      <c r="H108" t="s">
        <v>29</v>
      </c>
      <c r="I108" t="s">
        <v>55</v>
      </c>
      <c r="J108" t="s">
        <v>39</v>
      </c>
      <c r="K108" t="s">
        <v>24</v>
      </c>
      <c r="L108">
        <v>50</v>
      </c>
      <c r="M108">
        <v>1</v>
      </c>
      <c r="N108" t="s">
        <v>47</v>
      </c>
      <c r="O108">
        <v>1</v>
      </c>
      <c r="P108">
        <v>5</v>
      </c>
      <c r="Q108">
        <v>2</v>
      </c>
      <c r="R108">
        <v>18172</v>
      </c>
      <c r="S108">
        <v>28</v>
      </c>
      <c r="T108">
        <v>2</v>
      </c>
      <c r="U108">
        <v>8</v>
      </c>
      <c r="V108">
        <v>3</v>
      </c>
      <c r="W108">
        <v>0</v>
      </c>
      <c r="X108">
        <v>7</v>
      </c>
      <c r="Y108">
        <f>IF(HR_data[[#This Row],[Attrition]]= "Yes",1,0)</f>
        <v>0</v>
      </c>
    </row>
    <row r="109" spans="1:25">
      <c r="A109">
        <v>108</v>
      </c>
      <c r="B109" t="s">
        <v>24</v>
      </c>
      <c r="C109" t="s">
        <v>25</v>
      </c>
      <c r="D109" t="s">
        <v>43</v>
      </c>
      <c r="E109" t="s">
        <v>27</v>
      </c>
      <c r="F109" t="s">
        <v>56</v>
      </c>
      <c r="G109">
        <v>1</v>
      </c>
      <c r="H109" t="s">
        <v>37</v>
      </c>
      <c r="I109" t="s">
        <v>30</v>
      </c>
      <c r="J109" t="s">
        <v>31</v>
      </c>
      <c r="K109" t="s">
        <v>24</v>
      </c>
      <c r="L109">
        <v>25</v>
      </c>
      <c r="M109">
        <v>5</v>
      </c>
      <c r="N109" t="s">
        <v>47</v>
      </c>
      <c r="O109">
        <v>3</v>
      </c>
      <c r="P109">
        <v>2</v>
      </c>
      <c r="Q109">
        <v>3</v>
      </c>
      <c r="R109">
        <v>5744</v>
      </c>
      <c r="S109">
        <v>6</v>
      </c>
      <c r="T109">
        <v>3</v>
      </c>
      <c r="U109">
        <v>6</v>
      </c>
      <c r="V109">
        <v>4</v>
      </c>
      <c r="W109">
        <v>0</v>
      </c>
      <c r="X109">
        <v>3</v>
      </c>
      <c r="Y109">
        <f>IF(HR_data[[#This Row],[Attrition]]= "Yes",1,0)</f>
        <v>1</v>
      </c>
    </row>
    <row r="110" spans="1:25">
      <c r="A110">
        <v>109</v>
      </c>
      <c r="B110" t="s">
        <v>33</v>
      </c>
      <c r="C110" t="s">
        <v>25</v>
      </c>
      <c r="D110" t="s">
        <v>43</v>
      </c>
      <c r="E110" t="s">
        <v>36</v>
      </c>
      <c r="F110" t="s">
        <v>45</v>
      </c>
      <c r="G110">
        <v>1</v>
      </c>
      <c r="H110" t="s">
        <v>37</v>
      </c>
      <c r="I110" t="s">
        <v>38</v>
      </c>
      <c r="J110" t="s">
        <v>39</v>
      </c>
      <c r="K110" t="s">
        <v>33</v>
      </c>
      <c r="L110">
        <v>25</v>
      </c>
      <c r="M110">
        <v>7</v>
      </c>
      <c r="N110" t="s">
        <v>40</v>
      </c>
      <c r="O110">
        <v>4</v>
      </c>
      <c r="P110">
        <v>1</v>
      </c>
      <c r="Q110">
        <v>4</v>
      </c>
      <c r="R110">
        <v>2889</v>
      </c>
      <c r="S110">
        <v>2</v>
      </c>
      <c r="T110">
        <v>3</v>
      </c>
      <c r="U110">
        <v>2</v>
      </c>
      <c r="V110">
        <v>2</v>
      </c>
      <c r="W110">
        <v>2</v>
      </c>
      <c r="X110">
        <v>1</v>
      </c>
      <c r="Y110">
        <f>IF(HR_data[[#This Row],[Attrition]]= "Yes",1,0)</f>
        <v>0</v>
      </c>
    </row>
    <row r="111" spans="1:25">
      <c r="A111">
        <v>110</v>
      </c>
      <c r="B111" t="s">
        <v>33</v>
      </c>
      <c r="C111" t="s">
        <v>25</v>
      </c>
      <c r="D111" t="s">
        <v>52</v>
      </c>
      <c r="E111" t="s">
        <v>36</v>
      </c>
      <c r="F111" t="s">
        <v>45</v>
      </c>
      <c r="G111">
        <v>1</v>
      </c>
      <c r="H111" t="s">
        <v>29</v>
      </c>
      <c r="I111" t="s">
        <v>42</v>
      </c>
      <c r="J111" t="s">
        <v>31</v>
      </c>
      <c r="K111" t="s">
        <v>33</v>
      </c>
      <c r="L111">
        <v>22</v>
      </c>
      <c r="M111">
        <v>15</v>
      </c>
      <c r="N111" t="s">
        <v>47</v>
      </c>
      <c r="O111">
        <v>2</v>
      </c>
      <c r="P111">
        <v>1</v>
      </c>
      <c r="Q111">
        <v>4</v>
      </c>
      <c r="R111">
        <v>2871</v>
      </c>
      <c r="S111">
        <v>1</v>
      </c>
      <c r="T111">
        <v>3</v>
      </c>
      <c r="U111">
        <v>0</v>
      </c>
      <c r="V111">
        <v>0</v>
      </c>
      <c r="W111">
        <v>0</v>
      </c>
      <c r="X111">
        <v>0</v>
      </c>
      <c r="Y111">
        <f>IF(HR_data[[#This Row],[Attrition]]= "Yes",1,0)</f>
        <v>0</v>
      </c>
    </row>
    <row r="112" spans="1:25">
      <c r="A112">
        <v>111</v>
      </c>
      <c r="B112" t="s">
        <v>33</v>
      </c>
      <c r="C112" t="s">
        <v>34</v>
      </c>
      <c r="D112" t="s">
        <v>35</v>
      </c>
      <c r="E112" t="s">
        <v>36</v>
      </c>
      <c r="F112" t="s">
        <v>45</v>
      </c>
      <c r="G112">
        <v>1</v>
      </c>
      <c r="H112" t="s">
        <v>29</v>
      </c>
      <c r="I112" t="s">
        <v>50</v>
      </c>
      <c r="J112" t="s">
        <v>31</v>
      </c>
      <c r="K112" t="s">
        <v>33</v>
      </c>
      <c r="L112">
        <v>51</v>
      </c>
      <c r="M112">
        <v>1</v>
      </c>
      <c r="N112" t="s">
        <v>44</v>
      </c>
      <c r="O112">
        <v>1</v>
      </c>
      <c r="P112">
        <v>3</v>
      </c>
      <c r="Q112">
        <v>1</v>
      </c>
      <c r="R112">
        <v>7484</v>
      </c>
      <c r="S112">
        <v>23</v>
      </c>
      <c r="T112">
        <v>2</v>
      </c>
      <c r="U112">
        <v>13</v>
      </c>
      <c r="V112">
        <v>12</v>
      </c>
      <c r="W112">
        <v>12</v>
      </c>
      <c r="X112">
        <v>8</v>
      </c>
      <c r="Y112">
        <f>IF(HR_data[[#This Row],[Attrition]]= "Yes",1,0)</f>
        <v>0</v>
      </c>
    </row>
    <row r="113" spans="1:25">
      <c r="A113">
        <v>112</v>
      </c>
      <c r="B113" t="s">
        <v>24</v>
      </c>
      <c r="C113" t="s">
        <v>34</v>
      </c>
      <c r="D113" t="s">
        <v>43</v>
      </c>
      <c r="E113" t="s">
        <v>36</v>
      </c>
      <c r="F113" t="s">
        <v>28</v>
      </c>
      <c r="G113">
        <v>1</v>
      </c>
      <c r="H113" t="s">
        <v>37</v>
      </c>
      <c r="I113" t="s">
        <v>42</v>
      </c>
      <c r="J113" t="s">
        <v>31</v>
      </c>
      <c r="K113" t="s">
        <v>24</v>
      </c>
      <c r="L113">
        <v>34</v>
      </c>
      <c r="M113">
        <v>7</v>
      </c>
      <c r="N113" t="s">
        <v>47</v>
      </c>
      <c r="O113">
        <v>1</v>
      </c>
      <c r="P113">
        <v>2</v>
      </c>
      <c r="Q113">
        <v>3</v>
      </c>
      <c r="R113">
        <v>6074</v>
      </c>
      <c r="S113">
        <v>9</v>
      </c>
      <c r="T113">
        <v>3</v>
      </c>
      <c r="U113">
        <v>9</v>
      </c>
      <c r="V113">
        <v>7</v>
      </c>
      <c r="W113">
        <v>0</v>
      </c>
      <c r="X113">
        <v>6</v>
      </c>
      <c r="Y113">
        <f>IF(HR_data[[#This Row],[Attrition]]= "Yes",1,0)</f>
        <v>1</v>
      </c>
    </row>
    <row r="114" spans="1:25">
      <c r="A114">
        <v>113</v>
      </c>
      <c r="B114" t="s">
        <v>33</v>
      </c>
      <c r="C114" t="s">
        <v>51</v>
      </c>
      <c r="D114" t="s">
        <v>35</v>
      </c>
      <c r="E114" t="s">
        <v>59</v>
      </c>
      <c r="F114" t="s">
        <v>60</v>
      </c>
      <c r="G114">
        <v>1</v>
      </c>
      <c r="H114" t="s">
        <v>29</v>
      </c>
      <c r="I114" t="s">
        <v>53</v>
      </c>
      <c r="J114" t="s">
        <v>31</v>
      </c>
      <c r="K114" t="s">
        <v>24</v>
      </c>
      <c r="L114">
        <v>54</v>
      </c>
      <c r="M114">
        <v>26</v>
      </c>
      <c r="N114" t="s">
        <v>47</v>
      </c>
      <c r="O114">
        <v>4</v>
      </c>
      <c r="P114">
        <v>4</v>
      </c>
      <c r="Q114">
        <v>4</v>
      </c>
      <c r="R114">
        <v>17328</v>
      </c>
      <c r="S114">
        <v>23</v>
      </c>
      <c r="T114">
        <v>3</v>
      </c>
      <c r="U114">
        <v>5</v>
      </c>
      <c r="V114">
        <v>3</v>
      </c>
      <c r="W114">
        <v>4</v>
      </c>
      <c r="X114">
        <v>4</v>
      </c>
      <c r="Y114">
        <f>IF(HR_data[[#This Row],[Attrition]]= "Yes",1,0)</f>
        <v>0</v>
      </c>
    </row>
    <row r="115" spans="1:25">
      <c r="A115">
        <v>114</v>
      </c>
      <c r="B115" t="s">
        <v>33</v>
      </c>
      <c r="C115" t="s">
        <v>25</v>
      </c>
      <c r="D115" t="s">
        <v>52</v>
      </c>
      <c r="E115" t="s">
        <v>36</v>
      </c>
      <c r="F115" t="s">
        <v>28</v>
      </c>
      <c r="G115">
        <v>1</v>
      </c>
      <c r="H115" t="s">
        <v>37</v>
      </c>
      <c r="I115" t="s">
        <v>42</v>
      </c>
      <c r="J115" t="s">
        <v>39</v>
      </c>
      <c r="K115" t="s">
        <v>33</v>
      </c>
      <c r="L115">
        <v>24</v>
      </c>
      <c r="M115">
        <v>18</v>
      </c>
      <c r="N115" t="s">
        <v>40</v>
      </c>
      <c r="O115">
        <v>2</v>
      </c>
      <c r="P115">
        <v>1</v>
      </c>
      <c r="Q115">
        <v>3</v>
      </c>
      <c r="R115">
        <v>2774</v>
      </c>
      <c r="S115">
        <v>6</v>
      </c>
      <c r="T115">
        <v>3</v>
      </c>
      <c r="U115">
        <v>5</v>
      </c>
      <c r="V115">
        <v>3</v>
      </c>
      <c r="W115">
        <v>1</v>
      </c>
      <c r="X115">
        <v>2</v>
      </c>
      <c r="Y115">
        <f>IF(HR_data[[#This Row],[Attrition]]= "Yes",1,0)</f>
        <v>0</v>
      </c>
    </row>
    <row r="116" spans="1:25">
      <c r="A116">
        <v>115</v>
      </c>
      <c r="B116" t="s">
        <v>33</v>
      </c>
      <c r="C116" t="s">
        <v>25</v>
      </c>
      <c r="D116" t="s">
        <v>43</v>
      </c>
      <c r="E116" t="s">
        <v>36</v>
      </c>
      <c r="F116" t="s">
        <v>28</v>
      </c>
      <c r="G116">
        <v>1</v>
      </c>
      <c r="H116" t="s">
        <v>29</v>
      </c>
      <c r="I116" t="s">
        <v>38</v>
      </c>
      <c r="J116" t="s">
        <v>48</v>
      </c>
      <c r="K116" t="s">
        <v>33</v>
      </c>
      <c r="L116">
        <v>34</v>
      </c>
      <c r="M116">
        <v>6</v>
      </c>
      <c r="N116" t="s">
        <v>44</v>
      </c>
      <c r="O116">
        <v>3</v>
      </c>
      <c r="P116">
        <v>2</v>
      </c>
      <c r="Q116">
        <v>2</v>
      </c>
      <c r="R116">
        <v>4505</v>
      </c>
      <c r="S116">
        <v>12</v>
      </c>
      <c r="T116">
        <v>3</v>
      </c>
      <c r="U116">
        <v>1</v>
      </c>
      <c r="V116">
        <v>0</v>
      </c>
      <c r="W116">
        <v>0</v>
      </c>
      <c r="X116">
        <v>0</v>
      </c>
      <c r="Y116">
        <f>IF(HR_data[[#This Row],[Attrition]]= "Yes",1,0)</f>
        <v>0</v>
      </c>
    </row>
    <row r="117" spans="1:25">
      <c r="A117">
        <v>116</v>
      </c>
      <c r="B117" t="s">
        <v>33</v>
      </c>
      <c r="C117" t="s">
        <v>25</v>
      </c>
      <c r="D117" t="s">
        <v>26</v>
      </c>
      <c r="E117" t="s">
        <v>27</v>
      </c>
      <c r="F117" t="s">
        <v>28</v>
      </c>
      <c r="G117">
        <v>1</v>
      </c>
      <c r="H117" t="s">
        <v>37</v>
      </c>
      <c r="I117" t="s">
        <v>30</v>
      </c>
      <c r="J117" t="s">
        <v>31</v>
      </c>
      <c r="K117" t="s">
        <v>33</v>
      </c>
      <c r="L117">
        <v>37</v>
      </c>
      <c r="M117">
        <v>3</v>
      </c>
      <c r="N117" t="s">
        <v>47</v>
      </c>
      <c r="O117">
        <v>3</v>
      </c>
      <c r="P117">
        <v>3</v>
      </c>
      <c r="Q117">
        <v>4</v>
      </c>
      <c r="R117">
        <v>7428</v>
      </c>
      <c r="S117">
        <v>12</v>
      </c>
      <c r="T117">
        <v>3</v>
      </c>
      <c r="U117">
        <v>5</v>
      </c>
      <c r="V117">
        <v>3</v>
      </c>
      <c r="W117">
        <v>1</v>
      </c>
      <c r="X117">
        <v>3</v>
      </c>
      <c r="Y117">
        <f>IF(HR_data[[#This Row],[Attrition]]= "Yes",1,0)</f>
        <v>0</v>
      </c>
    </row>
    <row r="118" spans="1:25">
      <c r="A118">
        <v>117</v>
      </c>
      <c r="B118" t="s">
        <v>33</v>
      </c>
      <c r="C118" t="s">
        <v>25</v>
      </c>
      <c r="D118" t="s">
        <v>43</v>
      </c>
      <c r="E118" t="s">
        <v>36</v>
      </c>
      <c r="F118" t="s">
        <v>45</v>
      </c>
      <c r="G118">
        <v>1</v>
      </c>
      <c r="H118" t="s">
        <v>29</v>
      </c>
      <c r="I118" t="s">
        <v>53</v>
      </c>
      <c r="J118" t="s">
        <v>31</v>
      </c>
      <c r="K118" t="s">
        <v>33</v>
      </c>
      <c r="L118">
        <v>34</v>
      </c>
      <c r="M118">
        <v>5</v>
      </c>
      <c r="N118" t="s">
        <v>47</v>
      </c>
      <c r="O118">
        <v>3</v>
      </c>
      <c r="P118">
        <v>3</v>
      </c>
      <c r="Q118">
        <v>1</v>
      </c>
      <c r="R118">
        <v>11631</v>
      </c>
      <c r="S118">
        <v>14</v>
      </c>
      <c r="T118">
        <v>3</v>
      </c>
      <c r="U118">
        <v>11</v>
      </c>
      <c r="V118">
        <v>10</v>
      </c>
      <c r="W118">
        <v>5</v>
      </c>
      <c r="X118">
        <v>8</v>
      </c>
      <c r="Y118">
        <f>IF(HR_data[[#This Row],[Attrition]]= "Yes",1,0)</f>
        <v>0</v>
      </c>
    </row>
    <row r="119" spans="1:25">
      <c r="A119">
        <v>118</v>
      </c>
      <c r="B119" t="s">
        <v>33</v>
      </c>
      <c r="C119" t="s">
        <v>34</v>
      </c>
      <c r="D119" t="s">
        <v>26</v>
      </c>
      <c r="E119" t="s">
        <v>27</v>
      </c>
      <c r="F119" t="s">
        <v>57</v>
      </c>
      <c r="G119">
        <v>1</v>
      </c>
      <c r="H119" t="s">
        <v>29</v>
      </c>
      <c r="I119" t="s">
        <v>30</v>
      </c>
      <c r="J119" t="s">
        <v>39</v>
      </c>
      <c r="K119" t="s">
        <v>33</v>
      </c>
      <c r="L119">
        <v>36</v>
      </c>
      <c r="M119">
        <v>11</v>
      </c>
      <c r="N119" t="s">
        <v>32</v>
      </c>
      <c r="O119">
        <v>2</v>
      </c>
      <c r="P119">
        <v>3</v>
      </c>
      <c r="Q119">
        <v>4</v>
      </c>
      <c r="R119">
        <v>9738</v>
      </c>
      <c r="S119">
        <v>10</v>
      </c>
      <c r="T119">
        <v>3</v>
      </c>
      <c r="U119">
        <v>9</v>
      </c>
      <c r="V119">
        <v>7</v>
      </c>
      <c r="W119">
        <v>2</v>
      </c>
      <c r="X119">
        <v>8</v>
      </c>
      <c r="Y119">
        <f>IF(HR_data[[#This Row],[Attrition]]= "Yes",1,0)</f>
        <v>0</v>
      </c>
    </row>
    <row r="120" spans="1:25">
      <c r="A120">
        <v>119</v>
      </c>
      <c r="B120" t="s">
        <v>33</v>
      </c>
      <c r="C120" t="s">
        <v>25</v>
      </c>
      <c r="D120" t="s">
        <v>26</v>
      </c>
      <c r="E120" t="s">
        <v>36</v>
      </c>
      <c r="F120" t="s">
        <v>28</v>
      </c>
      <c r="G120">
        <v>1</v>
      </c>
      <c r="H120" t="s">
        <v>29</v>
      </c>
      <c r="I120" t="s">
        <v>42</v>
      </c>
      <c r="J120" t="s">
        <v>48</v>
      </c>
      <c r="K120" t="s">
        <v>33</v>
      </c>
      <c r="L120">
        <v>36</v>
      </c>
      <c r="M120">
        <v>3</v>
      </c>
      <c r="N120" t="s">
        <v>32</v>
      </c>
      <c r="O120">
        <v>1</v>
      </c>
      <c r="P120">
        <v>1</v>
      </c>
      <c r="Q120">
        <v>4</v>
      </c>
      <c r="R120">
        <v>2835</v>
      </c>
      <c r="S120">
        <v>7</v>
      </c>
      <c r="T120">
        <v>3</v>
      </c>
      <c r="U120">
        <v>1</v>
      </c>
      <c r="V120">
        <v>0</v>
      </c>
      <c r="W120">
        <v>0</v>
      </c>
      <c r="X120">
        <v>0</v>
      </c>
      <c r="Y120">
        <f>IF(HR_data[[#This Row],[Attrition]]= "Yes",1,0)</f>
        <v>0</v>
      </c>
    </row>
    <row r="121" spans="1:25">
      <c r="A121">
        <v>120</v>
      </c>
      <c r="B121" t="s">
        <v>33</v>
      </c>
      <c r="C121" t="s">
        <v>34</v>
      </c>
      <c r="D121" t="s">
        <v>26</v>
      </c>
      <c r="E121" t="s">
        <v>27</v>
      </c>
      <c r="F121" t="s">
        <v>28</v>
      </c>
      <c r="G121">
        <v>1</v>
      </c>
      <c r="H121" t="s">
        <v>37</v>
      </c>
      <c r="I121" t="s">
        <v>53</v>
      </c>
      <c r="J121" t="s">
        <v>39</v>
      </c>
      <c r="K121" t="s">
        <v>24</v>
      </c>
      <c r="L121">
        <v>43</v>
      </c>
      <c r="M121">
        <v>26</v>
      </c>
      <c r="N121" t="s">
        <v>32</v>
      </c>
      <c r="O121">
        <v>3</v>
      </c>
      <c r="P121">
        <v>4</v>
      </c>
      <c r="Q121">
        <v>4</v>
      </c>
      <c r="R121">
        <v>16959</v>
      </c>
      <c r="S121">
        <v>25</v>
      </c>
      <c r="T121">
        <v>4</v>
      </c>
      <c r="U121">
        <v>25</v>
      </c>
      <c r="V121">
        <v>12</v>
      </c>
      <c r="W121">
        <v>4</v>
      </c>
      <c r="X121">
        <v>12</v>
      </c>
      <c r="Y121">
        <f>IF(HR_data[[#This Row],[Attrition]]= "Yes",1,0)</f>
        <v>0</v>
      </c>
    </row>
    <row r="122" spans="1:25">
      <c r="A122">
        <v>121</v>
      </c>
      <c r="B122" t="s">
        <v>33</v>
      </c>
      <c r="C122" t="s">
        <v>34</v>
      </c>
      <c r="D122" t="s">
        <v>43</v>
      </c>
      <c r="E122" t="s">
        <v>36</v>
      </c>
      <c r="F122" t="s">
        <v>28</v>
      </c>
      <c r="G122">
        <v>1</v>
      </c>
      <c r="H122" t="s">
        <v>37</v>
      </c>
      <c r="I122" t="s">
        <v>38</v>
      </c>
      <c r="J122" t="s">
        <v>48</v>
      </c>
      <c r="K122" t="s">
        <v>33</v>
      </c>
      <c r="L122">
        <v>30</v>
      </c>
      <c r="M122">
        <v>23</v>
      </c>
      <c r="N122" t="s">
        <v>47</v>
      </c>
      <c r="O122">
        <v>1</v>
      </c>
      <c r="P122">
        <v>1</v>
      </c>
      <c r="Q122">
        <v>3</v>
      </c>
      <c r="R122">
        <v>2613</v>
      </c>
      <c r="S122">
        <v>10</v>
      </c>
      <c r="T122">
        <v>2</v>
      </c>
      <c r="U122">
        <v>10</v>
      </c>
      <c r="V122">
        <v>7</v>
      </c>
      <c r="W122">
        <v>0</v>
      </c>
      <c r="X122">
        <v>9</v>
      </c>
      <c r="Y122">
        <f>IF(HR_data[[#This Row],[Attrition]]= "Yes",1,0)</f>
        <v>0</v>
      </c>
    </row>
    <row r="123" spans="1:25">
      <c r="A123">
        <v>122</v>
      </c>
      <c r="B123" t="s">
        <v>33</v>
      </c>
      <c r="C123" t="s">
        <v>51</v>
      </c>
      <c r="D123" t="s">
        <v>43</v>
      </c>
      <c r="E123" t="s">
        <v>27</v>
      </c>
      <c r="F123" t="s">
        <v>56</v>
      </c>
      <c r="G123">
        <v>1</v>
      </c>
      <c r="H123" t="s">
        <v>37</v>
      </c>
      <c r="I123" t="s">
        <v>30</v>
      </c>
      <c r="J123" t="s">
        <v>39</v>
      </c>
      <c r="K123" t="s">
        <v>33</v>
      </c>
      <c r="L123">
        <v>33</v>
      </c>
      <c r="M123">
        <v>22</v>
      </c>
      <c r="N123" t="s">
        <v>32</v>
      </c>
      <c r="O123">
        <v>3</v>
      </c>
      <c r="P123">
        <v>2</v>
      </c>
      <c r="Q123">
        <v>2</v>
      </c>
      <c r="R123">
        <v>6146</v>
      </c>
      <c r="S123">
        <v>8</v>
      </c>
      <c r="T123">
        <v>4</v>
      </c>
      <c r="U123">
        <v>7</v>
      </c>
      <c r="V123">
        <v>7</v>
      </c>
      <c r="W123">
        <v>0</v>
      </c>
      <c r="X123">
        <v>7</v>
      </c>
      <c r="Y123">
        <f>IF(HR_data[[#This Row],[Attrition]]= "Yes",1,0)</f>
        <v>0</v>
      </c>
    </row>
    <row r="124" spans="1:25">
      <c r="A124">
        <v>123</v>
      </c>
      <c r="B124" t="s">
        <v>24</v>
      </c>
      <c r="C124" t="s">
        <v>25</v>
      </c>
      <c r="D124" t="s">
        <v>46</v>
      </c>
      <c r="E124" t="s">
        <v>36</v>
      </c>
      <c r="F124" t="s">
        <v>28</v>
      </c>
      <c r="G124">
        <v>1</v>
      </c>
      <c r="H124" t="s">
        <v>29</v>
      </c>
      <c r="I124" t="s">
        <v>38</v>
      </c>
      <c r="J124" t="s">
        <v>39</v>
      </c>
      <c r="K124" t="s">
        <v>24</v>
      </c>
      <c r="L124">
        <v>56</v>
      </c>
      <c r="M124">
        <v>14</v>
      </c>
      <c r="N124" t="s">
        <v>44</v>
      </c>
      <c r="O124">
        <v>2</v>
      </c>
      <c r="P124">
        <v>1</v>
      </c>
      <c r="Q124">
        <v>2</v>
      </c>
      <c r="R124">
        <v>4963</v>
      </c>
      <c r="S124">
        <v>7</v>
      </c>
      <c r="T124">
        <v>3</v>
      </c>
      <c r="U124">
        <v>5</v>
      </c>
      <c r="V124">
        <v>4</v>
      </c>
      <c r="W124">
        <v>4</v>
      </c>
      <c r="X124">
        <v>3</v>
      </c>
      <c r="Y124">
        <f>IF(HR_data[[#This Row],[Attrition]]= "Yes",1,0)</f>
        <v>1</v>
      </c>
    </row>
    <row r="125" spans="1:25">
      <c r="A125">
        <v>124</v>
      </c>
      <c r="B125" t="s">
        <v>33</v>
      </c>
      <c r="C125" t="s">
        <v>25</v>
      </c>
      <c r="D125" t="s">
        <v>35</v>
      </c>
      <c r="E125" t="s">
        <v>36</v>
      </c>
      <c r="F125" t="s">
        <v>28</v>
      </c>
      <c r="G125">
        <v>1</v>
      </c>
      <c r="H125" t="s">
        <v>37</v>
      </c>
      <c r="I125" t="s">
        <v>55</v>
      </c>
      <c r="J125" t="s">
        <v>31</v>
      </c>
      <c r="K125" t="s">
        <v>33</v>
      </c>
      <c r="L125">
        <v>51</v>
      </c>
      <c r="M125">
        <v>6</v>
      </c>
      <c r="N125" t="s">
        <v>47</v>
      </c>
      <c r="O125">
        <v>1</v>
      </c>
      <c r="P125">
        <v>5</v>
      </c>
      <c r="Q125">
        <v>3</v>
      </c>
      <c r="R125">
        <v>19537</v>
      </c>
      <c r="S125">
        <v>23</v>
      </c>
      <c r="T125">
        <v>3</v>
      </c>
      <c r="U125">
        <v>20</v>
      </c>
      <c r="V125">
        <v>18</v>
      </c>
      <c r="W125">
        <v>15</v>
      </c>
      <c r="X125">
        <v>15</v>
      </c>
      <c r="Y125">
        <f>IF(HR_data[[#This Row],[Attrition]]= "Yes",1,0)</f>
        <v>0</v>
      </c>
    </row>
    <row r="126" spans="1:25">
      <c r="A126">
        <v>125</v>
      </c>
      <c r="B126" t="s">
        <v>24</v>
      </c>
      <c r="C126" t="s">
        <v>25</v>
      </c>
      <c r="D126" t="s">
        <v>43</v>
      </c>
      <c r="E126" t="s">
        <v>27</v>
      </c>
      <c r="F126" t="s">
        <v>28</v>
      </c>
      <c r="G126">
        <v>1</v>
      </c>
      <c r="H126" t="s">
        <v>37</v>
      </c>
      <c r="I126" t="s">
        <v>30</v>
      </c>
      <c r="J126" t="s">
        <v>39</v>
      </c>
      <c r="K126" t="s">
        <v>24</v>
      </c>
      <c r="L126">
        <v>31</v>
      </c>
      <c r="M126">
        <v>6</v>
      </c>
      <c r="N126" t="s">
        <v>44</v>
      </c>
      <c r="O126">
        <v>2</v>
      </c>
      <c r="P126">
        <v>2</v>
      </c>
      <c r="Q126">
        <v>3</v>
      </c>
      <c r="R126">
        <v>6172</v>
      </c>
      <c r="S126">
        <v>12</v>
      </c>
      <c r="T126">
        <v>2</v>
      </c>
      <c r="U126">
        <v>7</v>
      </c>
      <c r="V126">
        <v>7</v>
      </c>
      <c r="W126">
        <v>7</v>
      </c>
      <c r="X126">
        <v>7</v>
      </c>
      <c r="Y126">
        <f>IF(HR_data[[#This Row],[Attrition]]= "Yes",1,0)</f>
        <v>1</v>
      </c>
    </row>
    <row r="127" spans="1:25">
      <c r="A127">
        <v>126</v>
      </c>
      <c r="B127" t="s">
        <v>33</v>
      </c>
      <c r="C127" t="s">
        <v>25</v>
      </c>
      <c r="D127" t="s">
        <v>43</v>
      </c>
      <c r="E127" t="s">
        <v>36</v>
      </c>
      <c r="F127" t="s">
        <v>41</v>
      </c>
      <c r="G127">
        <v>1</v>
      </c>
      <c r="H127" t="s">
        <v>29</v>
      </c>
      <c r="I127" t="s">
        <v>38</v>
      </c>
      <c r="J127" t="s">
        <v>39</v>
      </c>
      <c r="K127" t="s">
        <v>33</v>
      </c>
      <c r="L127">
        <v>26</v>
      </c>
      <c r="M127">
        <v>6</v>
      </c>
      <c r="N127" t="s">
        <v>47</v>
      </c>
      <c r="O127">
        <v>3</v>
      </c>
      <c r="P127">
        <v>1</v>
      </c>
      <c r="Q127">
        <v>2</v>
      </c>
      <c r="R127">
        <v>2368</v>
      </c>
      <c r="S127">
        <v>5</v>
      </c>
      <c r="T127">
        <v>2</v>
      </c>
      <c r="U127">
        <v>5</v>
      </c>
      <c r="V127">
        <v>4</v>
      </c>
      <c r="W127">
        <v>4</v>
      </c>
      <c r="X127">
        <v>3</v>
      </c>
      <c r="Y127">
        <f>IF(HR_data[[#This Row],[Attrition]]= "Yes",1,0)</f>
        <v>0</v>
      </c>
    </row>
    <row r="128" spans="1:25">
      <c r="A128">
        <v>127</v>
      </c>
      <c r="B128" t="s">
        <v>24</v>
      </c>
      <c r="C128" t="s">
        <v>25</v>
      </c>
      <c r="D128" t="s">
        <v>46</v>
      </c>
      <c r="E128" t="s">
        <v>36</v>
      </c>
      <c r="F128" t="s">
        <v>45</v>
      </c>
      <c r="G128">
        <v>1</v>
      </c>
      <c r="H128" t="s">
        <v>29</v>
      </c>
      <c r="I128" t="s">
        <v>50</v>
      </c>
      <c r="J128" t="s">
        <v>39</v>
      </c>
      <c r="K128" t="s">
        <v>33</v>
      </c>
      <c r="L128">
        <v>58</v>
      </c>
      <c r="M128">
        <v>23</v>
      </c>
      <c r="N128" t="s">
        <v>44</v>
      </c>
      <c r="O128">
        <v>4</v>
      </c>
      <c r="P128">
        <v>3</v>
      </c>
      <c r="Q128">
        <v>4</v>
      </c>
      <c r="R128">
        <v>10312</v>
      </c>
      <c r="S128">
        <v>40</v>
      </c>
      <c r="T128">
        <v>2</v>
      </c>
      <c r="U128">
        <v>40</v>
      </c>
      <c r="V128">
        <v>10</v>
      </c>
      <c r="W128">
        <v>15</v>
      </c>
      <c r="X128">
        <v>6</v>
      </c>
      <c r="Y128">
        <f>IF(HR_data[[#This Row],[Attrition]]= "Yes",1,0)</f>
        <v>1</v>
      </c>
    </row>
    <row r="129" spans="1:25">
      <c r="A129">
        <v>128</v>
      </c>
      <c r="B129" t="s">
        <v>24</v>
      </c>
      <c r="C129" t="s">
        <v>25</v>
      </c>
      <c r="D129" t="s">
        <v>52</v>
      </c>
      <c r="E129" t="s">
        <v>27</v>
      </c>
      <c r="F129" t="s">
        <v>56</v>
      </c>
      <c r="G129">
        <v>1</v>
      </c>
      <c r="H129" t="s">
        <v>37</v>
      </c>
      <c r="I129" t="s">
        <v>54</v>
      </c>
      <c r="J129" t="s">
        <v>31</v>
      </c>
      <c r="K129" t="s">
        <v>24</v>
      </c>
      <c r="L129">
        <v>19</v>
      </c>
      <c r="M129">
        <v>22</v>
      </c>
      <c r="N129" t="s">
        <v>40</v>
      </c>
      <c r="O129">
        <v>4</v>
      </c>
      <c r="P129">
        <v>1</v>
      </c>
      <c r="Q129">
        <v>3</v>
      </c>
      <c r="R129">
        <v>1675</v>
      </c>
      <c r="S129">
        <v>0</v>
      </c>
      <c r="T129">
        <v>2</v>
      </c>
      <c r="U129">
        <v>0</v>
      </c>
      <c r="V129">
        <v>0</v>
      </c>
      <c r="W129">
        <v>0</v>
      </c>
      <c r="X129">
        <v>0</v>
      </c>
      <c r="Y129">
        <f>IF(HR_data[[#This Row],[Attrition]]= "Yes",1,0)</f>
        <v>1</v>
      </c>
    </row>
    <row r="130" spans="1:25">
      <c r="A130">
        <v>129</v>
      </c>
      <c r="B130" t="s">
        <v>33</v>
      </c>
      <c r="C130" t="s">
        <v>25</v>
      </c>
      <c r="D130" t="s">
        <v>52</v>
      </c>
      <c r="E130" t="s">
        <v>36</v>
      </c>
      <c r="F130" t="s">
        <v>57</v>
      </c>
      <c r="G130">
        <v>1</v>
      </c>
      <c r="H130" t="s">
        <v>37</v>
      </c>
      <c r="I130" t="s">
        <v>42</v>
      </c>
      <c r="J130" t="s">
        <v>39</v>
      </c>
      <c r="K130" t="s">
        <v>33</v>
      </c>
      <c r="L130">
        <v>22</v>
      </c>
      <c r="M130">
        <v>2</v>
      </c>
      <c r="N130" t="s">
        <v>40</v>
      </c>
      <c r="O130">
        <v>3</v>
      </c>
      <c r="P130">
        <v>1</v>
      </c>
      <c r="Q130">
        <v>4</v>
      </c>
      <c r="R130">
        <v>2523</v>
      </c>
      <c r="S130">
        <v>3</v>
      </c>
      <c r="T130">
        <v>3</v>
      </c>
      <c r="U130">
        <v>2</v>
      </c>
      <c r="V130">
        <v>1</v>
      </c>
      <c r="W130">
        <v>2</v>
      </c>
      <c r="X130">
        <v>1</v>
      </c>
      <c r="Y130">
        <f>IF(HR_data[[#This Row],[Attrition]]= "Yes",1,0)</f>
        <v>0</v>
      </c>
    </row>
    <row r="131" spans="1:25">
      <c r="A131">
        <v>130</v>
      </c>
      <c r="B131" t="s">
        <v>33</v>
      </c>
      <c r="C131" t="s">
        <v>25</v>
      </c>
      <c r="D131" t="s">
        <v>35</v>
      </c>
      <c r="E131" t="s">
        <v>36</v>
      </c>
      <c r="F131" t="s">
        <v>45</v>
      </c>
      <c r="G131">
        <v>1</v>
      </c>
      <c r="H131" t="s">
        <v>29</v>
      </c>
      <c r="I131" t="s">
        <v>49</v>
      </c>
      <c r="J131" t="s">
        <v>39</v>
      </c>
      <c r="K131" t="s">
        <v>33</v>
      </c>
      <c r="L131">
        <v>49</v>
      </c>
      <c r="M131">
        <v>20</v>
      </c>
      <c r="N131" t="s">
        <v>44</v>
      </c>
      <c r="O131">
        <v>3</v>
      </c>
      <c r="P131">
        <v>2</v>
      </c>
      <c r="Q131">
        <v>1</v>
      </c>
      <c r="R131">
        <v>6567</v>
      </c>
      <c r="S131">
        <v>16</v>
      </c>
      <c r="T131">
        <v>2</v>
      </c>
      <c r="U131">
        <v>15</v>
      </c>
      <c r="V131">
        <v>11</v>
      </c>
      <c r="W131">
        <v>5</v>
      </c>
      <c r="X131">
        <v>11</v>
      </c>
      <c r="Y131">
        <f>IF(HR_data[[#This Row],[Attrition]]= "Yes",1,0)</f>
        <v>0</v>
      </c>
    </row>
    <row r="132" spans="1:25">
      <c r="A132">
        <v>131</v>
      </c>
      <c r="B132" t="s">
        <v>33</v>
      </c>
      <c r="C132" t="s">
        <v>34</v>
      </c>
      <c r="D132" t="s">
        <v>26</v>
      </c>
      <c r="E132" t="s">
        <v>36</v>
      </c>
      <c r="F132" t="s">
        <v>45</v>
      </c>
      <c r="G132">
        <v>1</v>
      </c>
      <c r="H132" t="s">
        <v>29</v>
      </c>
      <c r="I132" t="s">
        <v>38</v>
      </c>
      <c r="J132" t="s">
        <v>31</v>
      </c>
      <c r="K132" t="s">
        <v>33</v>
      </c>
      <c r="L132">
        <v>43</v>
      </c>
      <c r="M132">
        <v>28</v>
      </c>
      <c r="N132" t="s">
        <v>47</v>
      </c>
      <c r="O132">
        <v>2</v>
      </c>
      <c r="P132">
        <v>1</v>
      </c>
      <c r="Q132">
        <v>3</v>
      </c>
      <c r="R132">
        <v>4739</v>
      </c>
      <c r="S132">
        <v>18</v>
      </c>
      <c r="T132">
        <v>3</v>
      </c>
      <c r="U132">
        <v>3</v>
      </c>
      <c r="V132">
        <v>2</v>
      </c>
      <c r="W132">
        <v>1</v>
      </c>
      <c r="X132">
        <v>2</v>
      </c>
      <c r="Y132">
        <f>IF(HR_data[[#This Row],[Attrition]]= "Yes",1,0)</f>
        <v>0</v>
      </c>
    </row>
    <row r="133" spans="1:25">
      <c r="A133">
        <v>132</v>
      </c>
      <c r="B133" t="s">
        <v>33</v>
      </c>
      <c r="C133" t="s">
        <v>34</v>
      </c>
      <c r="D133" t="s">
        <v>35</v>
      </c>
      <c r="E133" t="s">
        <v>27</v>
      </c>
      <c r="F133" t="s">
        <v>56</v>
      </c>
      <c r="G133">
        <v>1</v>
      </c>
      <c r="H133" t="s">
        <v>29</v>
      </c>
      <c r="I133" t="s">
        <v>30</v>
      </c>
      <c r="J133" t="s">
        <v>31</v>
      </c>
      <c r="K133" t="s">
        <v>33</v>
      </c>
      <c r="L133">
        <v>50</v>
      </c>
      <c r="M133">
        <v>12</v>
      </c>
      <c r="N133" t="s">
        <v>47</v>
      </c>
      <c r="O133">
        <v>3</v>
      </c>
      <c r="P133">
        <v>3</v>
      </c>
      <c r="Q133">
        <v>4</v>
      </c>
      <c r="R133">
        <v>9208</v>
      </c>
      <c r="S133">
        <v>16</v>
      </c>
      <c r="T133">
        <v>3</v>
      </c>
      <c r="U133">
        <v>2</v>
      </c>
      <c r="V133">
        <v>2</v>
      </c>
      <c r="W133">
        <v>2</v>
      </c>
      <c r="X133">
        <v>1</v>
      </c>
      <c r="Y133">
        <f>IF(HR_data[[#This Row],[Attrition]]= "Yes",1,0)</f>
        <v>0</v>
      </c>
    </row>
    <row r="134" spans="1:25">
      <c r="A134">
        <v>133</v>
      </c>
      <c r="B134" t="s">
        <v>24</v>
      </c>
      <c r="C134" t="s">
        <v>25</v>
      </c>
      <c r="D134" t="s">
        <v>43</v>
      </c>
      <c r="E134" t="s">
        <v>27</v>
      </c>
      <c r="F134" t="s">
        <v>28</v>
      </c>
      <c r="G134">
        <v>1</v>
      </c>
      <c r="H134" t="s">
        <v>29</v>
      </c>
      <c r="I134" t="s">
        <v>30</v>
      </c>
      <c r="J134" t="s">
        <v>39</v>
      </c>
      <c r="K134" t="s">
        <v>24</v>
      </c>
      <c r="L134">
        <v>31</v>
      </c>
      <c r="M134">
        <v>20</v>
      </c>
      <c r="N134" t="s">
        <v>47</v>
      </c>
      <c r="O134">
        <v>2</v>
      </c>
      <c r="P134">
        <v>2</v>
      </c>
      <c r="Q134">
        <v>3</v>
      </c>
      <c r="R134">
        <v>4559</v>
      </c>
      <c r="S134">
        <v>4</v>
      </c>
      <c r="T134">
        <v>3</v>
      </c>
      <c r="U134">
        <v>2</v>
      </c>
      <c r="V134">
        <v>2</v>
      </c>
      <c r="W134">
        <v>2</v>
      </c>
      <c r="X134">
        <v>2</v>
      </c>
      <c r="Y134">
        <f>IF(HR_data[[#This Row],[Attrition]]= "Yes",1,0)</f>
        <v>1</v>
      </c>
    </row>
    <row r="135" spans="1:25">
      <c r="A135">
        <v>134</v>
      </c>
      <c r="B135" t="s">
        <v>33</v>
      </c>
      <c r="C135" t="s">
        <v>25</v>
      </c>
      <c r="D135" t="s">
        <v>26</v>
      </c>
      <c r="E135" t="s">
        <v>27</v>
      </c>
      <c r="F135" t="s">
        <v>28</v>
      </c>
      <c r="G135">
        <v>1</v>
      </c>
      <c r="H135" t="s">
        <v>37</v>
      </c>
      <c r="I135" t="s">
        <v>30</v>
      </c>
      <c r="J135" t="s">
        <v>48</v>
      </c>
      <c r="K135" t="s">
        <v>24</v>
      </c>
      <c r="L135">
        <v>41</v>
      </c>
      <c r="M135">
        <v>9</v>
      </c>
      <c r="N135" t="s">
        <v>40</v>
      </c>
      <c r="O135">
        <v>3</v>
      </c>
      <c r="P135">
        <v>3</v>
      </c>
      <c r="Q135">
        <v>3</v>
      </c>
      <c r="R135">
        <v>8189</v>
      </c>
      <c r="S135">
        <v>12</v>
      </c>
      <c r="T135">
        <v>3</v>
      </c>
      <c r="U135">
        <v>9</v>
      </c>
      <c r="V135">
        <v>7</v>
      </c>
      <c r="W135">
        <v>0</v>
      </c>
      <c r="X135">
        <v>7</v>
      </c>
      <c r="Y135">
        <f>IF(HR_data[[#This Row],[Attrition]]= "Yes",1,0)</f>
        <v>0</v>
      </c>
    </row>
    <row r="136" spans="1:25">
      <c r="A136">
        <v>135</v>
      </c>
      <c r="B136" t="s">
        <v>33</v>
      </c>
      <c r="C136" t="s">
        <v>25</v>
      </c>
      <c r="D136" t="s">
        <v>43</v>
      </c>
      <c r="E136" t="s">
        <v>59</v>
      </c>
      <c r="F136" t="s">
        <v>28</v>
      </c>
      <c r="G136">
        <v>1</v>
      </c>
      <c r="H136" t="s">
        <v>29</v>
      </c>
      <c r="I136" t="s">
        <v>60</v>
      </c>
      <c r="J136" t="s">
        <v>39</v>
      </c>
      <c r="K136" t="s">
        <v>33</v>
      </c>
      <c r="L136">
        <v>26</v>
      </c>
      <c r="M136">
        <v>25</v>
      </c>
      <c r="N136" t="s">
        <v>40</v>
      </c>
      <c r="O136">
        <v>3</v>
      </c>
      <c r="P136">
        <v>1</v>
      </c>
      <c r="Q136">
        <v>3</v>
      </c>
      <c r="R136">
        <v>2942</v>
      </c>
      <c r="S136">
        <v>8</v>
      </c>
      <c r="T136">
        <v>3</v>
      </c>
      <c r="U136">
        <v>8</v>
      </c>
      <c r="V136">
        <v>7</v>
      </c>
      <c r="W136">
        <v>5</v>
      </c>
      <c r="X136">
        <v>7</v>
      </c>
      <c r="Y136">
        <f>IF(HR_data[[#This Row],[Attrition]]= "Yes",1,0)</f>
        <v>0</v>
      </c>
    </row>
    <row r="137" spans="1:25">
      <c r="A137">
        <v>136</v>
      </c>
      <c r="B137" t="s">
        <v>33</v>
      </c>
      <c r="C137" t="s">
        <v>25</v>
      </c>
      <c r="D137" t="s">
        <v>26</v>
      </c>
      <c r="E137" t="s">
        <v>36</v>
      </c>
      <c r="F137" t="s">
        <v>45</v>
      </c>
      <c r="G137">
        <v>1</v>
      </c>
      <c r="H137" t="s">
        <v>37</v>
      </c>
      <c r="I137" t="s">
        <v>49</v>
      </c>
      <c r="J137" t="s">
        <v>48</v>
      </c>
      <c r="K137" t="s">
        <v>33</v>
      </c>
      <c r="L137">
        <v>36</v>
      </c>
      <c r="M137">
        <v>6</v>
      </c>
      <c r="N137" t="s">
        <v>32</v>
      </c>
      <c r="O137">
        <v>2</v>
      </c>
      <c r="P137">
        <v>2</v>
      </c>
      <c r="Q137">
        <v>2</v>
      </c>
      <c r="R137">
        <v>4941</v>
      </c>
      <c r="S137">
        <v>7</v>
      </c>
      <c r="T137">
        <v>3</v>
      </c>
      <c r="U137">
        <v>3</v>
      </c>
      <c r="V137">
        <v>2</v>
      </c>
      <c r="W137">
        <v>0</v>
      </c>
      <c r="X137">
        <v>1</v>
      </c>
      <c r="Y137">
        <f>IF(HR_data[[#This Row],[Attrition]]= "Yes",1,0)</f>
        <v>0</v>
      </c>
    </row>
    <row r="138" spans="1:25">
      <c r="A138">
        <v>137</v>
      </c>
      <c r="B138" t="s">
        <v>24</v>
      </c>
      <c r="C138" t="s">
        <v>34</v>
      </c>
      <c r="D138" t="s">
        <v>35</v>
      </c>
      <c r="E138" t="s">
        <v>36</v>
      </c>
      <c r="F138" t="s">
        <v>28</v>
      </c>
      <c r="G138">
        <v>1</v>
      </c>
      <c r="H138" t="s">
        <v>37</v>
      </c>
      <c r="I138" t="s">
        <v>49</v>
      </c>
      <c r="J138" t="s">
        <v>31</v>
      </c>
      <c r="K138" t="s">
        <v>33</v>
      </c>
      <c r="L138">
        <v>51</v>
      </c>
      <c r="M138">
        <v>8</v>
      </c>
      <c r="N138" t="s">
        <v>44</v>
      </c>
      <c r="O138">
        <v>1</v>
      </c>
      <c r="P138">
        <v>3</v>
      </c>
      <c r="Q138">
        <v>4</v>
      </c>
      <c r="R138">
        <v>10650</v>
      </c>
      <c r="S138">
        <v>18</v>
      </c>
      <c r="T138">
        <v>3</v>
      </c>
      <c r="U138">
        <v>4</v>
      </c>
      <c r="V138">
        <v>2</v>
      </c>
      <c r="W138">
        <v>0</v>
      </c>
      <c r="X138">
        <v>3</v>
      </c>
      <c r="Y138">
        <f>IF(HR_data[[#This Row],[Attrition]]= "Yes",1,0)</f>
        <v>1</v>
      </c>
    </row>
    <row r="139" spans="1:25">
      <c r="A139">
        <v>138</v>
      </c>
      <c r="B139" t="s">
        <v>33</v>
      </c>
      <c r="C139" t="s">
        <v>25</v>
      </c>
      <c r="D139" t="s">
        <v>26</v>
      </c>
      <c r="E139" t="s">
        <v>27</v>
      </c>
      <c r="F139" t="s">
        <v>28</v>
      </c>
      <c r="G139">
        <v>1</v>
      </c>
      <c r="H139" t="s">
        <v>29</v>
      </c>
      <c r="I139" t="s">
        <v>30</v>
      </c>
      <c r="J139" t="s">
        <v>39</v>
      </c>
      <c r="K139" t="s">
        <v>33</v>
      </c>
      <c r="L139">
        <v>39</v>
      </c>
      <c r="M139">
        <v>4</v>
      </c>
      <c r="N139" t="s">
        <v>44</v>
      </c>
      <c r="O139">
        <v>4</v>
      </c>
      <c r="P139">
        <v>2</v>
      </c>
      <c r="Q139">
        <v>3</v>
      </c>
      <c r="R139">
        <v>5902</v>
      </c>
      <c r="S139">
        <v>17</v>
      </c>
      <c r="T139">
        <v>4</v>
      </c>
      <c r="U139">
        <v>15</v>
      </c>
      <c r="V139">
        <v>11</v>
      </c>
      <c r="W139">
        <v>5</v>
      </c>
      <c r="X139">
        <v>9</v>
      </c>
      <c r="Y139">
        <f>IF(HR_data[[#This Row],[Attrition]]= "Yes",1,0)</f>
        <v>0</v>
      </c>
    </row>
    <row r="140" spans="1:25">
      <c r="A140">
        <v>139</v>
      </c>
      <c r="B140" t="s">
        <v>33</v>
      </c>
      <c r="C140" t="s">
        <v>25</v>
      </c>
      <c r="D140" t="s">
        <v>43</v>
      </c>
      <c r="E140" t="s">
        <v>27</v>
      </c>
      <c r="F140" t="s">
        <v>28</v>
      </c>
      <c r="G140">
        <v>1</v>
      </c>
      <c r="H140" t="s">
        <v>37</v>
      </c>
      <c r="I140" t="s">
        <v>30</v>
      </c>
      <c r="J140" t="s">
        <v>39</v>
      </c>
      <c r="K140" t="s">
        <v>33</v>
      </c>
      <c r="L140">
        <v>25</v>
      </c>
      <c r="M140">
        <v>28</v>
      </c>
      <c r="N140" t="s">
        <v>47</v>
      </c>
      <c r="O140">
        <v>1</v>
      </c>
      <c r="P140">
        <v>2</v>
      </c>
      <c r="Q140">
        <v>3</v>
      </c>
      <c r="R140">
        <v>8639</v>
      </c>
      <c r="S140">
        <v>6</v>
      </c>
      <c r="T140">
        <v>3</v>
      </c>
      <c r="U140">
        <v>2</v>
      </c>
      <c r="V140">
        <v>2</v>
      </c>
      <c r="W140">
        <v>2</v>
      </c>
      <c r="X140">
        <v>2</v>
      </c>
      <c r="Y140">
        <f>IF(HR_data[[#This Row],[Attrition]]= "Yes",1,0)</f>
        <v>0</v>
      </c>
    </row>
    <row r="141" spans="1:25">
      <c r="A141">
        <v>140</v>
      </c>
      <c r="B141" t="s">
        <v>33</v>
      </c>
      <c r="C141" t="s">
        <v>25</v>
      </c>
      <c r="D141" t="s">
        <v>43</v>
      </c>
      <c r="E141" t="s">
        <v>59</v>
      </c>
      <c r="F141" t="s">
        <v>60</v>
      </c>
      <c r="G141">
        <v>1</v>
      </c>
      <c r="H141" t="s">
        <v>37</v>
      </c>
      <c r="I141" t="s">
        <v>60</v>
      </c>
      <c r="J141" t="s">
        <v>39</v>
      </c>
      <c r="K141" t="s">
        <v>24</v>
      </c>
      <c r="L141">
        <v>30</v>
      </c>
      <c r="M141">
        <v>9</v>
      </c>
      <c r="N141" t="s">
        <v>47</v>
      </c>
      <c r="O141">
        <v>3</v>
      </c>
      <c r="P141">
        <v>2</v>
      </c>
      <c r="Q141">
        <v>4</v>
      </c>
      <c r="R141">
        <v>6347</v>
      </c>
      <c r="S141">
        <v>12</v>
      </c>
      <c r="T141">
        <v>1</v>
      </c>
      <c r="U141">
        <v>11</v>
      </c>
      <c r="V141">
        <v>9</v>
      </c>
      <c r="W141">
        <v>4</v>
      </c>
      <c r="X141">
        <v>7</v>
      </c>
      <c r="Y141">
        <f>IF(HR_data[[#This Row],[Attrition]]= "Yes",1,0)</f>
        <v>0</v>
      </c>
    </row>
    <row r="142" spans="1:25">
      <c r="A142">
        <v>141</v>
      </c>
      <c r="B142" t="s">
        <v>24</v>
      </c>
      <c r="C142" t="s">
        <v>25</v>
      </c>
      <c r="D142" t="s">
        <v>43</v>
      </c>
      <c r="E142" t="s">
        <v>36</v>
      </c>
      <c r="F142" t="s">
        <v>45</v>
      </c>
      <c r="G142">
        <v>1</v>
      </c>
      <c r="H142" t="s">
        <v>29</v>
      </c>
      <c r="I142" t="s">
        <v>42</v>
      </c>
      <c r="J142" t="s">
        <v>31</v>
      </c>
      <c r="K142" t="s">
        <v>33</v>
      </c>
      <c r="L142">
        <v>32</v>
      </c>
      <c r="M142">
        <v>9</v>
      </c>
      <c r="N142" t="s">
        <v>47</v>
      </c>
      <c r="O142">
        <v>1</v>
      </c>
      <c r="P142">
        <v>1</v>
      </c>
      <c r="Q142">
        <v>1</v>
      </c>
      <c r="R142">
        <v>4200</v>
      </c>
      <c r="S142">
        <v>10</v>
      </c>
      <c r="T142">
        <v>4</v>
      </c>
      <c r="U142">
        <v>5</v>
      </c>
      <c r="V142">
        <v>4</v>
      </c>
      <c r="W142">
        <v>0</v>
      </c>
      <c r="X142">
        <v>4</v>
      </c>
      <c r="Y142">
        <f>IF(HR_data[[#This Row],[Attrition]]= "Yes",1,0)</f>
        <v>1</v>
      </c>
    </row>
    <row r="143" spans="1:25">
      <c r="A143">
        <v>142</v>
      </c>
      <c r="B143" t="s">
        <v>33</v>
      </c>
      <c r="C143" t="s">
        <v>25</v>
      </c>
      <c r="D143" t="s">
        <v>35</v>
      </c>
      <c r="E143" t="s">
        <v>36</v>
      </c>
      <c r="F143" t="s">
        <v>45</v>
      </c>
      <c r="G143">
        <v>1</v>
      </c>
      <c r="H143" t="s">
        <v>37</v>
      </c>
      <c r="I143" t="s">
        <v>38</v>
      </c>
      <c r="J143" t="s">
        <v>31</v>
      </c>
      <c r="K143" t="s">
        <v>33</v>
      </c>
      <c r="L143">
        <v>45</v>
      </c>
      <c r="M143">
        <v>29</v>
      </c>
      <c r="N143" t="s">
        <v>47</v>
      </c>
      <c r="O143">
        <v>3</v>
      </c>
      <c r="P143">
        <v>1</v>
      </c>
      <c r="Q143">
        <v>4</v>
      </c>
      <c r="R143">
        <v>3452</v>
      </c>
      <c r="S143">
        <v>9</v>
      </c>
      <c r="T143">
        <v>2</v>
      </c>
      <c r="U143">
        <v>6</v>
      </c>
      <c r="V143">
        <v>5</v>
      </c>
      <c r="W143">
        <v>0</v>
      </c>
      <c r="X143">
        <v>3</v>
      </c>
      <c r="Y143">
        <f>IF(HR_data[[#This Row],[Attrition]]= "Yes",1,0)</f>
        <v>0</v>
      </c>
    </row>
    <row r="144" spans="1:25">
      <c r="A144">
        <v>143</v>
      </c>
      <c r="B144" t="s">
        <v>33</v>
      </c>
      <c r="C144" t="s">
        <v>25</v>
      </c>
      <c r="D144" t="s">
        <v>26</v>
      </c>
      <c r="E144" t="s">
        <v>36</v>
      </c>
      <c r="F144" t="s">
        <v>57</v>
      </c>
      <c r="G144">
        <v>1</v>
      </c>
      <c r="H144" t="s">
        <v>29</v>
      </c>
      <c r="I144" t="s">
        <v>38</v>
      </c>
      <c r="J144" t="s">
        <v>31</v>
      </c>
      <c r="K144" t="s">
        <v>24</v>
      </c>
      <c r="L144">
        <v>38</v>
      </c>
      <c r="M144">
        <v>3</v>
      </c>
      <c r="N144" t="s">
        <v>58</v>
      </c>
      <c r="O144">
        <v>4</v>
      </c>
      <c r="P144">
        <v>2</v>
      </c>
      <c r="Q144">
        <v>3</v>
      </c>
      <c r="R144">
        <v>4317</v>
      </c>
      <c r="S144">
        <v>19</v>
      </c>
      <c r="T144">
        <v>3</v>
      </c>
      <c r="U144">
        <v>3</v>
      </c>
      <c r="V144">
        <v>2</v>
      </c>
      <c r="W144">
        <v>2</v>
      </c>
      <c r="X144">
        <v>2</v>
      </c>
      <c r="Y144">
        <f>IF(HR_data[[#This Row],[Attrition]]= "Yes",1,0)</f>
        <v>0</v>
      </c>
    </row>
    <row r="145" spans="1:25">
      <c r="A145">
        <v>144</v>
      </c>
      <c r="B145" t="s">
        <v>33</v>
      </c>
      <c r="C145" t="s">
        <v>25</v>
      </c>
      <c r="D145" t="s">
        <v>43</v>
      </c>
      <c r="E145" t="s">
        <v>36</v>
      </c>
      <c r="F145" t="s">
        <v>28</v>
      </c>
      <c r="G145">
        <v>1</v>
      </c>
      <c r="H145" t="s">
        <v>29</v>
      </c>
      <c r="I145" t="s">
        <v>38</v>
      </c>
      <c r="J145" t="s">
        <v>31</v>
      </c>
      <c r="K145" t="s">
        <v>33</v>
      </c>
      <c r="L145">
        <v>30</v>
      </c>
      <c r="M145">
        <v>18</v>
      </c>
      <c r="N145" t="s">
        <v>47</v>
      </c>
      <c r="O145">
        <v>1</v>
      </c>
      <c r="P145">
        <v>1</v>
      </c>
      <c r="Q145">
        <v>3</v>
      </c>
      <c r="R145">
        <v>2632</v>
      </c>
      <c r="S145">
        <v>5</v>
      </c>
      <c r="T145">
        <v>2</v>
      </c>
      <c r="U145">
        <v>5</v>
      </c>
      <c r="V145">
        <v>4</v>
      </c>
      <c r="W145">
        <v>0</v>
      </c>
      <c r="X145">
        <v>4</v>
      </c>
      <c r="Y145">
        <f>IF(HR_data[[#This Row],[Attrition]]= "Yes",1,0)</f>
        <v>0</v>
      </c>
    </row>
    <row r="146" spans="1:25">
      <c r="A146">
        <v>145</v>
      </c>
      <c r="B146" t="s">
        <v>33</v>
      </c>
      <c r="C146" t="s">
        <v>34</v>
      </c>
      <c r="D146" t="s">
        <v>43</v>
      </c>
      <c r="E146" t="s">
        <v>27</v>
      </c>
      <c r="F146" t="s">
        <v>45</v>
      </c>
      <c r="G146">
        <v>1</v>
      </c>
      <c r="H146" t="s">
        <v>37</v>
      </c>
      <c r="I146" t="s">
        <v>30</v>
      </c>
      <c r="J146" t="s">
        <v>48</v>
      </c>
      <c r="K146" t="s">
        <v>33</v>
      </c>
      <c r="L146">
        <v>32</v>
      </c>
      <c r="M146">
        <v>9</v>
      </c>
      <c r="N146" t="s">
        <v>32</v>
      </c>
      <c r="O146">
        <v>4</v>
      </c>
      <c r="P146">
        <v>2</v>
      </c>
      <c r="Q146">
        <v>4</v>
      </c>
      <c r="R146">
        <v>4668</v>
      </c>
      <c r="S146">
        <v>9</v>
      </c>
      <c r="T146">
        <v>4</v>
      </c>
      <c r="U146">
        <v>8</v>
      </c>
      <c r="V146">
        <v>7</v>
      </c>
      <c r="W146">
        <v>0</v>
      </c>
      <c r="X146">
        <v>7</v>
      </c>
      <c r="Y146">
        <f>IF(HR_data[[#This Row],[Attrition]]= "Yes",1,0)</f>
        <v>0</v>
      </c>
    </row>
    <row r="147" spans="1:25">
      <c r="A147">
        <v>146</v>
      </c>
      <c r="B147" t="s">
        <v>33</v>
      </c>
      <c r="C147" t="s">
        <v>25</v>
      </c>
      <c r="D147" t="s">
        <v>43</v>
      </c>
      <c r="E147" t="s">
        <v>36</v>
      </c>
      <c r="F147" t="s">
        <v>57</v>
      </c>
      <c r="G147">
        <v>1</v>
      </c>
      <c r="H147" t="s">
        <v>29</v>
      </c>
      <c r="I147" t="s">
        <v>38</v>
      </c>
      <c r="J147" t="s">
        <v>48</v>
      </c>
      <c r="K147" t="s">
        <v>33</v>
      </c>
      <c r="L147">
        <v>30</v>
      </c>
      <c r="M147">
        <v>5</v>
      </c>
      <c r="N147" t="s">
        <v>47</v>
      </c>
      <c r="O147">
        <v>4</v>
      </c>
      <c r="P147">
        <v>1</v>
      </c>
      <c r="Q147">
        <v>1</v>
      </c>
      <c r="R147">
        <v>3204</v>
      </c>
      <c r="S147">
        <v>8</v>
      </c>
      <c r="T147">
        <v>3</v>
      </c>
      <c r="U147">
        <v>3</v>
      </c>
      <c r="V147">
        <v>2</v>
      </c>
      <c r="W147">
        <v>2</v>
      </c>
      <c r="X147">
        <v>2</v>
      </c>
      <c r="Y147">
        <f>IF(HR_data[[#This Row],[Attrition]]= "Yes",1,0)</f>
        <v>0</v>
      </c>
    </row>
    <row r="148" spans="1:25">
      <c r="A148">
        <v>147</v>
      </c>
      <c r="B148" t="s">
        <v>33</v>
      </c>
      <c r="C148" t="s">
        <v>25</v>
      </c>
      <c r="D148" t="s">
        <v>43</v>
      </c>
      <c r="E148" t="s">
        <v>36</v>
      </c>
      <c r="F148" t="s">
        <v>45</v>
      </c>
      <c r="G148">
        <v>1</v>
      </c>
      <c r="H148" t="s">
        <v>37</v>
      </c>
      <c r="I148" t="s">
        <v>42</v>
      </c>
      <c r="J148" t="s">
        <v>31</v>
      </c>
      <c r="K148" t="s">
        <v>33</v>
      </c>
      <c r="L148">
        <v>30</v>
      </c>
      <c r="M148">
        <v>2</v>
      </c>
      <c r="N148" t="s">
        <v>40</v>
      </c>
      <c r="O148">
        <v>2</v>
      </c>
      <c r="P148">
        <v>1</v>
      </c>
      <c r="Q148">
        <v>4</v>
      </c>
      <c r="R148">
        <v>2720</v>
      </c>
      <c r="S148">
        <v>6</v>
      </c>
      <c r="T148">
        <v>3</v>
      </c>
      <c r="U148">
        <v>5</v>
      </c>
      <c r="V148">
        <v>3</v>
      </c>
      <c r="W148">
        <v>1</v>
      </c>
      <c r="X148">
        <v>2</v>
      </c>
      <c r="Y148">
        <f>IF(HR_data[[#This Row],[Attrition]]= "Yes",1,0)</f>
        <v>0</v>
      </c>
    </row>
    <row r="149" spans="1:25">
      <c r="A149">
        <v>148</v>
      </c>
      <c r="B149" t="s">
        <v>33</v>
      </c>
      <c r="C149" t="s">
        <v>34</v>
      </c>
      <c r="D149" t="s">
        <v>26</v>
      </c>
      <c r="E149" t="s">
        <v>36</v>
      </c>
      <c r="F149" t="s">
        <v>28</v>
      </c>
      <c r="G149">
        <v>1</v>
      </c>
      <c r="H149" t="s">
        <v>37</v>
      </c>
      <c r="I149" t="s">
        <v>53</v>
      </c>
      <c r="J149" t="s">
        <v>48</v>
      </c>
      <c r="K149" t="s">
        <v>33</v>
      </c>
      <c r="L149">
        <v>41</v>
      </c>
      <c r="M149">
        <v>10</v>
      </c>
      <c r="N149" t="s">
        <v>47</v>
      </c>
      <c r="O149">
        <v>4</v>
      </c>
      <c r="P149">
        <v>4</v>
      </c>
      <c r="Q149">
        <v>1</v>
      </c>
      <c r="R149">
        <v>17181</v>
      </c>
      <c r="S149">
        <v>21</v>
      </c>
      <c r="T149">
        <v>2</v>
      </c>
      <c r="U149">
        <v>7</v>
      </c>
      <c r="V149">
        <v>6</v>
      </c>
      <c r="W149">
        <v>7</v>
      </c>
      <c r="X149">
        <v>7</v>
      </c>
      <c r="Y149">
        <f>IF(HR_data[[#This Row],[Attrition]]= "Yes",1,0)</f>
        <v>0</v>
      </c>
    </row>
    <row r="150" spans="1:25">
      <c r="A150">
        <v>149</v>
      </c>
      <c r="B150" t="s">
        <v>33</v>
      </c>
      <c r="C150" t="s">
        <v>25</v>
      </c>
      <c r="D150" t="s">
        <v>26</v>
      </c>
      <c r="E150" t="s">
        <v>36</v>
      </c>
      <c r="F150" t="s">
        <v>28</v>
      </c>
      <c r="G150">
        <v>1</v>
      </c>
      <c r="H150" t="s">
        <v>37</v>
      </c>
      <c r="I150" t="s">
        <v>42</v>
      </c>
      <c r="J150" t="s">
        <v>39</v>
      </c>
      <c r="K150" t="s">
        <v>33</v>
      </c>
      <c r="L150">
        <v>41</v>
      </c>
      <c r="M150">
        <v>9</v>
      </c>
      <c r="N150" t="s">
        <v>44</v>
      </c>
      <c r="O150">
        <v>3</v>
      </c>
      <c r="P150">
        <v>1</v>
      </c>
      <c r="Q150">
        <v>1</v>
      </c>
      <c r="R150">
        <v>2238</v>
      </c>
      <c r="S150">
        <v>7</v>
      </c>
      <c r="T150">
        <v>3</v>
      </c>
      <c r="U150">
        <v>5</v>
      </c>
      <c r="V150">
        <v>0</v>
      </c>
      <c r="W150">
        <v>1</v>
      </c>
      <c r="X150">
        <v>4</v>
      </c>
      <c r="Y150">
        <f>IF(HR_data[[#This Row],[Attrition]]= "Yes",1,0)</f>
        <v>0</v>
      </c>
    </row>
    <row r="151" spans="1:25">
      <c r="A151">
        <v>150</v>
      </c>
      <c r="B151" t="s">
        <v>33</v>
      </c>
      <c r="C151" t="s">
        <v>25</v>
      </c>
      <c r="D151" t="s">
        <v>52</v>
      </c>
      <c r="E151" t="s">
        <v>36</v>
      </c>
      <c r="F151" t="s">
        <v>45</v>
      </c>
      <c r="G151">
        <v>1</v>
      </c>
      <c r="H151" t="s">
        <v>29</v>
      </c>
      <c r="I151" t="s">
        <v>42</v>
      </c>
      <c r="J151" t="s">
        <v>31</v>
      </c>
      <c r="K151" t="s">
        <v>33</v>
      </c>
      <c r="L151">
        <v>19</v>
      </c>
      <c r="M151">
        <v>3</v>
      </c>
      <c r="N151" t="s">
        <v>40</v>
      </c>
      <c r="O151">
        <v>2</v>
      </c>
      <c r="P151">
        <v>1</v>
      </c>
      <c r="Q151">
        <v>2</v>
      </c>
      <c r="R151">
        <v>1483</v>
      </c>
      <c r="S151">
        <v>1</v>
      </c>
      <c r="T151">
        <v>3</v>
      </c>
      <c r="U151">
        <v>1</v>
      </c>
      <c r="V151">
        <v>0</v>
      </c>
      <c r="W151">
        <v>0</v>
      </c>
      <c r="X151">
        <v>0</v>
      </c>
      <c r="Y151">
        <f>IF(HR_data[[#This Row],[Attrition]]= "Yes",1,0)</f>
        <v>0</v>
      </c>
    </row>
    <row r="152" spans="1:25">
      <c r="A152">
        <v>151</v>
      </c>
      <c r="B152" t="s">
        <v>33</v>
      </c>
      <c r="C152" t="s">
        <v>34</v>
      </c>
      <c r="D152" t="s">
        <v>26</v>
      </c>
      <c r="E152" t="s">
        <v>36</v>
      </c>
      <c r="F152" t="s">
        <v>45</v>
      </c>
      <c r="G152">
        <v>1</v>
      </c>
      <c r="H152" t="s">
        <v>29</v>
      </c>
      <c r="I152" t="s">
        <v>38</v>
      </c>
      <c r="J152" t="s">
        <v>48</v>
      </c>
      <c r="K152" t="s">
        <v>33</v>
      </c>
      <c r="L152">
        <v>40</v>
      </c>
      <c r="M152">
        <v>26</v>
      </c>
      <c r="N152" t="s">
        <v>47</v>
      </c>
      <c r="O152">
        <v>2</v>
      </c>
      <c r="P152">
        <v>2</v>
      </c>
      <c r="Q152">
        <v>2</v>
      </c>
      <c r="R152">
        <v>5605</v>
      </c>
      <c r="S152">
        <v>20</v>
      </c>
      <c r="T152">
        <v>3</v>
      </c>
      <c r="U152">
        <v>20</v>
      </c>
      <c r="V152">
        <v>7</v>
      </c>
      <c r="W152">
        <v>2</v>
      </c>
      <c r="X152">
        <v>13</v>
      </c>
      <c r="Y152">
        <f>IF(HR_data[[#This Row],[Attrition]]= "Yes",1,0)</f>
        <v>0</v>
      </c>
    </row>
    <row r="153" spans="1:25">
      <c r="A153">
        <v>152</v>
      </c>
      <c r="B153" t="s">
        <v>33</v>
      </c>
      <c r="C153" t="s">
        <v>25</v>
      </c>
      <c r="D153" t="s">
        <v>26</v>
      </c>
      <c r="E153" t="s">
        <v>27</v>
      </c>
      <c r="F153" t="s">
        <v>56</v>
      </c>
      <c r="G153">
        <v>1</v>
      </c>
      <c r="H153" t="s">
        <v>37</v>
      </c>
      <c r="I153" t="s">
        <v>30</v>
      </c>
      <c r="J153" t="s">
        <v>39</v>
      </c>
      <c r="K153" t="s">
        <v>33</v>
      </c>
      <c r="L153">
        <v>35</v>
      </c>
      <c r="M153">
        <v>1</v>
      </c>
      <c r="N153" t="s">
        <v>58</v>
      </c>
      <c r="O153">
        <v>3</v>
      </c>
      <c r="P153">
        <v>3</v>
      </c>
      <c r="Q153">
        <v>2</v>
      </c>
      <c r="R153">
        <v>7295</v>
      </c>
      <c r="S153">
        <v>10</v>
      </c>
      <c r="T153">
        <v>3</v>
      </c>
      <c r="U153">
        <v>10</v>
      </c>
      <c r="V153">
        <v>8</v>
      </c>
      <c r="W153">
        <v>0</v>
      </c>
      <c r="X153">
        <v>6</v>
      </c>
      <c r="Y153">
        <f>IF(HR_data[[#This Row],[Attrition]]= "Yes",1,0)</f>
        <v>0</v>
      </c>
    </row>
    <row r="154" spans="1:25">
      <c r="A154">
        <v>153</v>
      </c>
      <c r="B154" t="s">
        <v>33</v>
      </c>
      <c r="C154" t="s">
        <v>25</v>
      </c>
      <c r="D154" t="s">
        <v>35</v>
      </c>
      <c r="E154" t="s">
        <v>27</v>
      </c>
      <c r="F154" t="s">
        <v>56</v>
      </c>
      <c r="G154">
        <v>1</v>
      </c>
      <c r="H154" t="s">
        <v>37</v>
      </c>
      <c r="I154" t="s">
        <v>54</v>
      </c>
      <c r="J154" t="s">
        <v>39</v>
      </c>
      <c r="K154" t="s">
        <v>24</v>
      </c>
      <c r="L154">
        <v>53</v>
      </c>
      <c r="M154">
        <v>6</v>
      </c>
      <c r="N154" t="s">
        <v>32</v>
      </c>
      <c r="O154">
        <v>2</v>
      </c>
      <c r="P154">
        <v>2</v>
      </c>
      <c r="Q154">
        <v>3</v>
      </c>
      <c r="R154">
        <v>2306</v>
      </c>
      <c r="S154">
        <v>13</v>
      </c>
      <c r="T154">
        <v>1</v>
      </c>
      <c r="U154">
        <v>7</v>
      </c>
      <c r="V154">
        <v>7</v>
      </c>
      <c r="W154">
        <v>4</v>
      </c>
      <c r="X154">
        <v>5</v>
      </c>
      <c r="Y154">
        <f>IF(HR_data[[#This Row],[Attrition]]= "Yes",1,0)</f>
        <v>0</v>
      </c>
    </row>
    <row r="155" spans="1:25">
      <c r="A155">
        <v>154</v>
      </c>
      <c r="B155" t="s">
        <v>33</v>
      </c>
      <c r="C155" t="s">
        <v>25</v>
      </c>
      <c r="D155" t="s">
        <v>35</v>
      </c>
      <c r="E155" t="s">
        <v>36</v>
      </c>
      <c r="F155" t="s">
        <v>28</v>
      </c>
      <c r="G155">
        <v>1</v>
      </c>
      <c r="H155" t="s">
        <v>37</v>
      </c>
      <c r="I155" t="s">
        <v>42</v>
      </c>
      <c r="J155" t="s">
        <v>48</v>
      </c>
      <c r="K155" t="s">
        <v>33</v>
      </c>
      <c r="L155">
        <v>45</v>
      </c>
      <c r="M155">
        <v>9</v>
      </c>
      <c r="N155" t="s">
        <v>47</v>
      </c>
      <c r="O155">
        <v>2</v>
      </c>
      <c r="P155">
        <v>2</v>
      </c>
      <c r="Q155">
        <v>2</v>
      </c>
      <c r="R155">
        <v>2348</v>
      </c>
      <c r="S155">
        <v>20</v>
      </c>
      <c r="T155">
        <v>1</v>
      </c>
      <c r="U155">
        <v>17</v>
      </c>
      <c r="V155">
        <v>9</v>
      </c>
      <c r="W155">
        <v>0</v>
      </c>
      <c r="X155">
        <v>15</v>
      </c>
      <c r="Y155">
        <f>IF(HR_data[[#This Row],[Attrition]]= "Yes",1,0)</f>
        <v>0</v>
      </c>
    </row>
    <row r="156" spans="1:25">
      <c r="A156">
        <v>155</v>
      </c>
      <c r="B156" t="s">
        <v>33</v>
      </c>
      <c r="C156" t="s">
        <v>34</v>
      </c>
      <c r="D156" t="s">
        <v>43</v>
      </c>
      <c r="E156" t="s">
        <v>27</v>
      </c>
      <c r="F156" t="s">
        <v>56</v>
      </c>
      <c r="G156">
        <v>1</v>
      </c>
      <c r="H156" t="s">
        <v>29</v>
      </c>
      <c r="I156" t="s">
        <v>30</v>
      </c>
      <c r="J156" t="s">
        <v>31</v>
      </c>
      <c r="K156" t="s">
        <v>33</v>
      </c>
      <c r="L156">
        <v>32</v>
      </c>
      <c r="M156">
        <v>8</v>
      </c>
      <c r="N156" t="s">
        <v>47</v>
      </c>
      <c r="O156">
        <v>2</v>
      </c>
      <c r="P156">
        <v>3</v>
      </c>
      <c r="Q156">
        <v>4</v>
      </c>
      <c r="R156">
        <v>8998</v>
      </c>
      <c r="S156">
        <v>9</v>
      </c>
      <c r="T156">
        <v>3</v>
      </c>
      <c r="U156">
        <v>9</v>
      </c>
      <c r="V156">
        <v>8</v>
      </c>
      <c r="W156">
        <v>3</v>
      </c>
      <c r="X156">
        <v>7</v>
      </c>
      <c r="Y156">
        <f>IF(HR_data[[#This Row],[Attrition]]= "Yes",1,0)</f>
        <v>0</v>
      </c>
    </row>
    <row r="157" spans="1:25">
      <c r="A157">
        <v>156</v>
      </c>
      <c r="B157" t="s">
        <v>33</v>
      </c>
      <c r="C157" t="s">
        <v>51</v>
      </c>
      <c r="D157" t="s">
        <v>43</v>
      </c>
      <c r="E157" t="s">
        <v>36</v>
      </c>
      <c r="F157" t="s">
        <v>57</v>
      </c>
      <c r="G157">
        <v>1</v>
      </c>
      <c r="H157" t="s">
        <v>37</v>
      </c>
      <c r="I157" t="s">
        <v>49</v>
      </c>
      <c r="J157" t="s">
        <v>39</v>
      </c>
      <c r="K157" t="s">
        <v>33</v>
      </c>
      <c r="L157">
        <v>29</v>
      </c>
      <c r="M157">
        <v>1</v>
      </c>
      <c r="N157" t="s">
        <v>40</v>
      </c>
      <c r="O157">
        <v>4</v>
      </c>
      <c r="P157">
        <v>2</v>
      </c>
      <c r="Q157">
        <v>3</v>
      </c>
      <c r="R157">
        <v>4319</v>
      </c>
      <c r="S157">
        <v>10</v>
      </c>
      <c r="T157">
        <v>3</v>
      </c>
      <c r="U157">
        <v>10</v>
      </c>
      <c r="V157">
        <v>7</v>
      </c>
      <c r="W157">
        <v>0</v>
      </c>
      <c r="X157">
        <v>9</v>
      </c>
      <c r="Y157">
        <f>IF(HR_data[[#This Row],[Attrition]]= "Yes",1,0)</f>
        <v>0</v>
      </c>
    </row>
    <row r="158" spans="1:25">
      <c r="A158">
        <v>157</v>
      </c>
      <c r="B158" t="s">
        <v>33</v>
      </c>
      <c r="C158" t="s">
        <v>25</v>
      </c>
      <c r="D158" t="s">
        <v>35</v>
      </c>
      <c r="E158" t="s">
        <v>36</v>
      </c>
      <c r="F158" t="s">
        <v>45</v>
      </c>
      <c r="G158">
        <v>1</v>
      </c>
      <c r="H158" t="s">
        <v>37</v>
      </c>
      <c r="I158" t="s">
        <v>49</v>
      </c>
      <c r="J158" t="s">
        <v>39</v>
      </c>
      <c r="K158" t="s">
        <v>33</v>
      </c>
      <c r="L158">
        <v>51</v>
      </c>
      <c r="M158">
        <v>7</v>
      </c>
      <c r="N158" t="s">
        <v>44</v>
      </c>
      <c r="O158">
        <v>2</v>
      </c>
      <c r="P158">
        <v>2</v>
      </c>
      <c r="Q158">
        <v>3</v>
      </c>
      <c r="R158">
        <v>6132</v>
      </c>
      <c r="S158">
        <v>10</v>
      </c>
      <c r="T158">
        <v>3</v>
      </c>
      <c r="U158">
        <v>1</v>
      </c>
      <c r="V158">
        <v>0</v>
      </c>
      <c r="W158">
        <v>0</v>
      </c>
      <c r="X158">
        <v>0</v>
      </c>
      <c r="Y158">
        <f>IF(HR_data[[#This Row],[Attrition]]= "Yes",1,0)</f>
        <v>0</v>
      </c>
    </row>
    <row r="159" spans="1:25">
      <c r="A159">
        <v>158</v>
      </c>
      <c r="B159" t="s">
        <v>33</v>
      </c>
      <c r="C159" t="s">
        <v>25</v>
      </c>
      <c r="D159" t="s">
        <v>46</v>
      </c>
      <c r="E159" t="s">
        <v>36</v>
      </c>
      <c r="F159" t="s">
        <v>45</v>
      </c>
      <c r="G159">
        <v>1</v>
      </c>
      <c r="H159" t="s">
        <v>29</v>
      </c>
      <c r="I159" t="s">
        <v>38</v>
      </c>
      <c r="J159" t="s">
        <v>39</v>
      </c>
      <c r="K159" t="s">
        <v>24</v>
      </c>
      <c r="L159">
        <v>58</v>
      </c>
      <c r="M159">
        <v>9</v>
      </c>
      <c r="N159" t="s">
        <v>47</v>
      </c>
      <c r="O159">
        <v>2</v>
      </c>
      <c r="P159">
        <v>1</v>
      </c>
      <c r="Q159">
        <v>2</v>
      </c>
      <c r="R159">
        <v>3346</v>
      </c>
      <c r="S159">
        <v>9</v>
      </c>
      <c r="T159">
        <v>2</v>
      </c>
      <c r="U159">
        <v>1</v>
      </c>
      <c r="V159">
        <v>0</v>
      </c>
      <c r="W159">
        <v>0</v>
      </c>
      <c r="X159">
        <v>0</v>
      </c>
      <c r="Y159">
        <f>IF(HR_data[[#This Row],[Attrition]]= "Yes",1,0)</f>
        <v>0</v>
      </c>
    </row>
    <row r="160" spans="1:25">
      <c r="A160">
        <v>159</v>
      </c>
      <c r="B160" t="s">
        <v>33</v>
      </c>
      <c r="C160" t="s">
        <v>25</v>
      </c>
      <c r="D160" t="s">
        <v>26</v>
      </c>
      <c r="E160" t="s">
        <v>27</v>
      </c>
      <c r="F160" t="s">
        <v>56</v>
      </c>
      <c r="G160">
        <v>1</v>
      </c>
      <c r="H160" t="s">
        <v>37</v>
      </c>
      <c r="I160" t="s">
        <v>30</v>
      </c>
      <c r="J160" t="s">
        <v>39</v>
      </c>
      <c r="K160" t="s">
        <v>33</v>
      </c>
      <c r="L160">
        <v>40</v>
      </c>
      <c r="M160">
        <v>4</v>
      </c>
      <c r="N160" t="s">
        <v>44</v>
      </c>
      <c r="O160">
        <v>3</v>
      </c>
      <c r="P160">
        <v>3</v>
      </c>
      <c r="Q160">
        <v>4</v>
      </c>
      <c r="R160">
        <v>10855</v>
      </c>
      <c r="S160">
        <v>15</v>
      </c>
      <c r="T160">
        <v>2</v>
      </c>
      <c r="U160">
        <v>12</v>
      </c>
      <c r="V160">
        <v>11</v>
      </c>
      <c r="W160">
        <v>2</v>
      </c>
      <c r="X160">
        <v>11</v>
      </c>
      <c r="Y160">
        <f>IF(HR_data[[#This Row],[Attrition]]= "Yes",1,0)</f>
        <v>0</v>
      </c>
    </row>
    <row r="161" spans="1:25">
      <c r="A161">
        <v>160</v>
      </c>
      <c r="B161" t="s">
        <v>33</v>
      </c>
      <c r="C161" t="s">
        <v>34</v>
      </c>
      <c r="D161" t="s">
        <v>43</v>
      </c>
      <c r="E161" t="s">
        <v>27</v>
      </c>
      <c r="F161" t="s">
        <v>56</v>
      </c>
      <c r="G161">
        <v>1</v>
      </c>
      <c r="H161" t="s">
        <v>29</v>
      </c>
      <c r="I161" t="s">
        <v>54</v>
      </c>
      <c r="J161" t="s">
        <v>39</v>
      </c>
      <c r="K161" t="s">
        <v>33</v>
      </c>
      <c r="L161">
        <v>34</v>
      </c>
      <c r="M161">
        <v>2</v>
      </c>
      <c r="N161" t="s">
        <v>44</v>
      </c>
      <c r="O161">
        <v>3</v>
      </c>
      <c r="P161">
        <v>1</v>
      </c>
      <c r="Q161">
        <v>3</v>
      </c>
      <c r="R161">
        <v>2231</v>
      </c>
      <c r="S161">
        <v>6</v>
      </c>
      <c r="T161">
        <v>3</v>
      </c>
      <c r="U161">
        <v>4</v>
      </c>
      <c r="V161">
        <v>3</v>
      </c>
      <c r="W161">
        <v>1</v>
      </c>
      <c r="X161">
        <v>2</v>
      </c>
      <c r="Y161">
        <f>IF(HR_data[[#This Row],[Attrition]]= "Yes",1,0)</f>
        <v>0</v>
      </c>
    </row>
    <row r="162" spans="1:25">
      <c r="A162">
        <v>161</v>
      </c>
      <c r="B162" t="s">
        <v>33</v>
      </c>
      <c r="C162" t="s">
        <v>25</v>
      </c>
      <c r="D162" t="s">
        <v>52</v>
      </c>
      <c r="E162" t="s">
        <v>36</v>
      </c>
      <c r="F162" t="s">
        <v>45</v>
      </c>
      <c r="G162">
        <v>1</v>
      </c>
      <c r="H162" t="s">
        <v>37</v>
      </c>
      <c r="I162" t="s">
        <v>38</v>
      </c>
      <c r="J162" t="s">
        <v>39</v>
      </c>
      <c r="K162" t="s">
        <v>33</v>
      </c>
      <c r="L162">
        <v>22</v>
      </c>
      <c r="M162">
        <v>19</v>
      </c>
      <c r="N162" t="s">
        <v>40</v>
      </c>
      <c r="O162">
        <v>3</v>
      </c>
      <c r="P162">
        <v>1</v>
      </c>
      <c r="Q162">
        <v>4</v>
      </c>
      <c r="R162">
        <v>2323</v>
      </c>
      <c r="S162">
        <v>2</v>
      </c>
      <c r="T162">
        <v>3</v>
      </c>
      <c r="U162">
        <v>2</v>
      </c>
      <c r="V162">
        <v>2</v>
      </c>
      <c r="W162">
        <v>2</v>
      </c>
      <c r="X162">
        <v>2</v>
      </c>
      <c r="Y162">
        <f>IF(HR_data[[#This Row],[Attrition]]= "Yes",1,0)</f>
        <v>0</v>
      </c>
    </row>
    <row r="163" spans="1:25">
      <c r="A163">
        <v>162</v>
      </c>
      <c r="B163" t="s">
        <v>33</v>
      </c>
      <c r="C163" t="s">
        <v>51</v>
      </c>
      <c r="D163" t="s">
        <v>43</v>
      </c>
      <c r="E163" t="s">
        <v>36</v>
      </c>
      <c r="F163" t="s">
        <v>45</v>
      </c>
      <c r="G163">
        <v>1</v>
      </c>
      <c r="H163" t="s">
        <v>37</v>
      </c>
      <c r="I163" t="s">
        <v>38</v>
      </c>
      <c r="J163" t="s">
        <v>48</v>
      </c>
      <c r="K163" t="s">
        <v>33</v>
      </c>
      <c r="L163">
        <v>27</v>
      </c>
      <c r="M163">
        <v>9</v>
      </c>
      <c r="N163" t="s">
        <v>47</v>
      </c>
      <c r="O163">
        <v>4</v>
      </c>
      <c r="P163">
        <v>1</v>
      </c>
      <c r="Q163">
        <v>2</v>
      </c>
      <c r="R163">
        <v>2024</v>
      </c>
      <c r="S163">
        <v>6</v>
      </c>
      <c r="T163">
        <v>1</v>
      </c>
      <c r="U163">
        <v>2</v>
      </c>
      <c r="V163">
        <v>2</v>
      </c>
      <c r="W163">
        <v>2</v>
      </c>
      <c r="X163">
        <v>2</v>
      </c>
      <c r="Y163">
        <f>IF(HR_data[[#This Row],[Attrition]]= "Yes",1,0)</f>
        <v>0</v>
      </c>
    </row>
    <row r="164" spans="1:25">
      <c r="A164">
        <v>163</v>
      </c>
      <c r="B164" t="s">
        <v>33</v>
      </c>
      <c r="C164" t="s">
        <v>25</v>
      </c>
      <c r="D164" t="s">
        <v>43</v>
      </c>
      <c r="E164" t="s">
        <v>36</v>
      </c>
      <c r="F164" t="s">
        <v>45</v>
      </c>
      <c r="G164">
        <v>1</v>
      </c>
      <c r="H164" t="s">
        <v>37</v>
      </c>
      <c r="I164" t="s">
        <v>38</v>
      </c>
      <c r="J164" t="s">
        <v>39</v>
      </c>
      <c r="K164" t="s">
        <v>33</v>
      </c>
      <c r="L164">
        <v>28</v>
      </c>
      <c r="M164">
        <v>21</v>
      </c>
      <c r="N164" t="s">
        <v>47</v>
      </c>
      <c r="O164">
        <v>3</v>
      </c>
      <c r="P164">
        <v>1</v>
      </c>
      <c r="Q164">
        <v>4</v>
      </c>
      <c r="R164">
        <v>2713</v>
      </c>
      <c r="S164">
        <v>5</v>
      </c>
      <c r="T164">
        <v>1</v>
      </c>
      <c r="U164">
        <v>5</v>
      </c>
      <c r="V164">
        <v>2</v>
      </c>
      <c r="W164">
        <v>0</v>
      </c>
      <c r="X164">
        <v>2</v>
      </c>
      <c r="Y164">
        <f>IF(HR_data[[#This Row],[Attrition]]= "Yes",1,0)</f>
        <v>0</v>
      </c>
    </row>
    <row r="165" spans="1:25">
      <c r="A165">
        <v>164</v>
      </c>
      <c r="B165" t="s">
        <v>33</v>
      </c>
      <c r="C165" t="s">
        <v>25</v>
      </c>
      <c r="D165" t="s">
        <v>46</v>
      </c>
      <c r="E165" t="s">
        <v>36</v>
      </c>
      <c r="F165" t="s">
        <v>28</v>
      </c>
      <c r="G165">
        <v>1</v>
      </c>
      <c r="H165" t="s">
        <v>37</v>
      </c>
      <c r="I165" t="s">
        <v>50</v>
      </c>
      <c r="J165" t="s">
        <v>48</v>
      </c>
      <c r="K165" t="s">
        <v>24</v>
      </c>
      <c r="L165">
        <v>57</v>
      </c>
      <c r="M165">
        <v>24</v>
      </c>
      <c r="N165" t="s">
        <v>32</v>
      </c>
      <c r="O165">
        <v>3</v>
      </c>
      <c r="P165">
        <v>3</v>
      </c>
      <c r="Q165">
        <v>4</v>
      </c>
      <c r="R165">
        <v>9439</v>
      </c>
      <c r="S165">
        <v>12</v>
      </c>
      <c r="T165">
        <v>1</v>
      </c>
      <c r="U165">
        <v>5</v>
      </c>
      <c r="V165">
        <v>3</v>
      </c>
      <c r="W165">
        <v>1</v>
      </c>
      <c r="X165">
        <v>4</v>
      </c>
      <c r="Y165">
        <f>IF(HR_data[[#This Row],[Attrition]]= "Yes",1,0)</f>
        <v>0</v>
      </c>
    </row>
    <row r="166" spans="1:25">
      <c r="A166">
        <v>165</v>
      </c>
      <c r="B166" t="s">
        <v>33</v>
      </c>
      <c r="C166" t="s">
        <v>51</v>
      </c>
      <c r="D166" t="s">
        <v>43</v>
      </c>
      <c r="E166" t="s">
        <v>36</v>
      </c>
      <c r="F166" t="s">
        <v>45</v>
      </c>
      <c r="G166">
        <v>1</v>
      </c>
      <c r="H166" t="s">
        <v>37</v>
      </c>
      <c r="I166" t="s">
        <v>38</v>
      </c>
      <c r="J166" t="s">
        <v>48</v>
      </c>
      <c r="K166" t="s">
        <v>24</v>
      </c>
      <c r="L166">
        <v>27</v>
      </c>
      <c r="M166">
        <v>3</v>
      </c>
      <c r="N166" t="s">
        <v>47</v>
      </c>
      <c r="O166">
        <v>3</v>
      </c>
      <c r="P166">
        <v>1</v>
      </c>
      <c r="Q166">
        <v>3</v>
      </c>
      <c r="R166">
        <v>2566</v>
      </c>
      <c r="S166">
        <v>1</v>
      </c>
      <c r="T166">
        <v>2</v>
      </c>
      <c r="U166">
        <v>1</v>
      </c>
      <c r="V166">
        <v>1</v>
      </c>
      <c r="W166">
        <v>0</v>
      </c>
      <c r="X166">
        <v>1</v>
      </c>
      <c r="Y166">
        <f>IF(HR_data[[#This Row],[Attrition]]= "Yes",1,0)</f>
        <v>0</v>
      </c>
    </row>
    <row r="167" spans="1:25">
      <c r="A167">
        <v>166</v>
      </c>
      <c r="B167" t="s">
        <v>33</v>
      </c>
      <c r="C167" t="s">
        <v>25</v>
      </c>
      <c r="D167" t="s">
        <v>35</v>
      </c>
      <c r="E167" t="s">
        <v>36</v>
      </c>
      <c r="F167" t="s">
        <v>28</v>
      </c>
      <c r="G167">
        <v>1</v>
      </c>
      <c r="H167" t="s">
        <v>29</v>
      </c>
      <c r="I167" t="s">
        <v>53</v>
      </c>
      <c r="J167" t="s">
        <v>31</v>
      </c>
      <c r="K167" t="s">
        <v>33</v>
      </c>
      <c r="L167">
        <v>50</v>
      </c>
      <c r="M167">
        <v>11</v>
      </c>
      <c r="N167" t="s">
        <v>47</v>
      </c>
      <c r="O167">
        <v>3</v>
      </c>
      <c r="P167">
        <v>5</v>
      </c>
      <c r="Q167">
        <v>2</v>
      </c>
      <c r="R167">
        <v>19926</v>
      </c>
      <c r="S167">
        <v>21</v>
      </c>
      <c r="T167">
        <v>3</v>
      </c>
      <c r="U167">
        <v>5</v>
      </c>
      <c r="V167">
        <v>4</v>
      </c>
      <c r="W167">
        <v>4</v>
      </c>
      <c r="X167">
        <v>4</v>
      </c>
      <c r="Y167">
        <f>IF(HR_data[[#This Row],[Attrition]]= "Yes",1,0)</f>
        <v>0</v>
      </c>
    </row>
    <row r="168" spans="1:25">
      <c r="A168">
        <v>167</v>
      </c>
      <c r="B168" t="s">
        <v>33</v>
      </c>
      <c r="C168" t="s">
        <v>25</v>
      </c>
      <c r="D168" t="s">
        <v>26</v>
      </c>
      <c r="E168" t="s">
        <v>36</v>
      </c>
      <c r="F168" t="s">
        <v>28</v>
      </c>
      <c r="G168">
        <v>1</v>
      </c>
      <c r="H168" t="s">
        <v>37</v>
      </c>
      <c r="I168" t="s">
        <v>38</v>
      </c>
      <c r="J168" t="s">
        <v>48</v>
      </c>
      <c r="K168" t="s">
        <v>33</v>
      </c>
      <c r="L168">
        <v>41</v>
      </c>
      <c r="M168">
        <v>14</v>
      </c>
      <c r="N168" t="s">
        <v>47</v>
      </c>
      <c r="O168">
        <v>1</v>
      </c>
      <c r="P168">
        <v>1</v>
      </c>
      <c r="Q168">
        <v>3</v>
      </c>
      <c r="R168">
        <v>2451</v>
      </c>
      <c r="S168">
        <v>13</v>
      </c>
      <c r="T168">
        <v>3</v>
      </c>
      <c r="U168">
        <v>9</v>
      </c>
      <c r="V168">
        <v>8</v>
      </c>
      <c r="W168">
        <v>1</v>
      </c>
      <c r="X168">
        <v>8</v>
      </c>
      <c r="Y168">
        <f>IF(HR_data[[#This Row],[Attrition]]= "Yes",1,0)</f>
        <v>0</v>
      </c>
    </row>
    <row r="169" spans="1:25">
      <c r="A169">
        <v>168</v>
      </c>
      <c r="B169" t="s">
        <v>33</v>
      </c>
      <c r="C169" t="s">
        <v>25</v>
      </c>
      <c r="D169" t="s">
        <v>43</v>
      </c>
      <c r="E169" t="s">
        <v>27</v>
      </c>
      <c r="F169" t="s">
        <v>28</v>
      </c>
      <c r="G169">
        <v>1</v>
      </c>
      <c r="H169" t="s">
        <v>29</v>
      </c>
      <c r="I169" t="s">
        <v>30</v>
      </c>
      <c r="J169" t="s">
        <v>39</v>
      </c>
      <c r="K169" t="s">
        <v>33</v>
      </c>
      <c r="L169">
        <v>30</v>
      </c>
      <c r="M169">
        <v>5</v>
      </c>
      <c r="N169" t="s">
        <v>47</v>
      </c>
      <c r="O169">
        <v>2</v>
      </c>
      <c r="P169">
        <v>3</v>
      </c>
      <c r="Q169">
        <v>4</v>
      </c>
      <c r="R169">
        <v>9419</v>
      </c>
      <c r="S169">
        <v>12</v>
      </c>
      <c r="T169">
        <v>3</v>
      </c>
      <c r="U169">
        <v>10</v>
      </c>
      <c r="V169">
        <v>9</v>
      </c>
      <c r="W169">
        <v>7</v>
      </c>
      <c r="X169">
        <v>4</v>
      </c>
      <c r="Y169">
        <f>IF(HR_data[[#This Row],[Attrition]]= "Yes",1,0)</f>
        <v>0</v>
      </c>
    </row>
    <row r="170" spans="1:25">
      <c r="A170">
        <v>169</v>
      </c>
      <c r="B170" t="s">
        <v>33</v>
      </c>
      <c r="C170" t="s">
        <v>25</v>
      </c>
      <c r="D170" t="s">
        <v>26</v>
      </c>
      <c r="E170" t="s">
        <v>27</v>
      </c>
      <c r="F170" t="s">
        <v>28</v>
      </c>
      <c r="G170">
        <v>1</v>
      </c>
      <c r="H170" t="s">
        <v>29</v>
      </c>
      <c r="I170" t="s">
        <v>30</v>
      </c>
      <c r="J170" t="s">
        <v>31</v>
      </c>
      <c r="K170" t="s">
        <v>33</v>
      </c>
      <c r="L170">
        <v>38</v>
      </c>
      <c r="M170">
        <v>1</v>
      </c>
      <c r="N170" t="s">
        <v>44</v>
      </c>
      <c r="O170">
        <v>1</v>
      </c>
      <c r="P170">
        <v>2</v>
      </c>
      <c r="Q170">
        <v>4</v>
      </c>
      <c r="R170">
        <v>8686</v>
      </c>
      <c r="S170">
        <v>12</v>
      </c>
      <c r="T170">
        <v>4</v>
      </c>
      <c r="U170">
        <v>8</v>
      </c>
      <c r="V170">
        <v>3</v>
      </c>
      <c r="W170">
        <v>0</v>
      </c>
      <c r="X170">
        <v>7</v>
      </c>
      <c r="Y170">
        <f>IF(HR_data[[#This Row],[Attrition]]= "Yes",1,0)</f>
        <v>0</v>
      </c>
    </row>
    <row r="171" spans="1:25">
      <c r="A171">
        <v>170</v>
      </c>
      <c r="B171" t="s">
        <v>33</v>
      </c>
      <c r="C171" t="s">
        <v>25</v>
      </c>
      <c r="D171" t="s">
        <v>43</v>
      </c>
      <c r="E171" t="s">
        <v>36</v>
      </c>
      <c r="F171" t="s">
        <v>28</v>
      </c>
      <c r="G171">
        <v>1</v>
      </c>
      <c r="H171" t="s">
        <v>37</v>
      </c>
      <c r="I171" t="s">
        <v>38</v>
      </c>
      <c r="J171" t="s">
        <v>31</v>
      </c>
      <c r="K171" t="s">
        <v>33</v>
      </c>
      <c r="L171">
        <v>32</v>
      </c>
      <c r="M171">
        <v>6</v>
      </c>
      <c r="N171" t="s">
        <v>58</v>
      </c>
      <c r="O171">
        <v>3</v>
      </c>
      <c r="P171">
        <v>1</v>
      </c>
      <c r="Q171">
        <v>3</v>
      </c>
      <c r="R171">
        <v>3038</v>
      </c>
      <c r="S171">
        <v>8</v>
      </c>
      <c r="T171">
        <v>3</v>
      </c>
      <c r="U171">
        <v>5</v>
      </c>
      <c r="V171">
        <v>4</v>
      </c>
      <c r="W171">
        <v>1</v>
      </c>
      <c r="X171">
        <v>4</v>
      </c>
      <c r="Y171">
        <f>IF(HR_data[[#This Row],[Attrition]]= "Yes",1,0)</f>
        <v>0</v>
      </c>
    </row>
    <row r="172" spans="1:25">
      <c r="A172">
        <v>171</v>
      </c>
      <c r="B172" t="s">
        <v>33</v>
      </c>
      <c r="C172" t="s">
        <v>25</v>
      </c>
      <c r="D172" t="s">
        <v>43</v>
      </c>
      <c r="E172" t="s">
        <v>36</v>
      </c>
      <c r="F172" t="s">
        <v>57</v>
      </c>
      <c r="G172">
        <v>1</v>
      </c>
      <c r="H172" t="s">
        <v>37</v>
      </c>
      <c r="I172" t="s">
        <v>38</v>
      </c>
      <c r="J172" t="s">
        <v>39</v>
      </c>
      <c r="K172" t="s">
        <v>24</v>
      </c>
      <c r="L172">
        <v>27</v>
      </c>
      <c r="M172">
        <v>17</v>
      </c>
      <c r="N172" t="s">
        <v>47</v>
      </c>
      <c r="O172">
        <v>3</v>
      </c>
      <c r="P172">
        <v>1</v>
      </c>
      <c r="Q172">
        <v>2</v>
      </c>
      <c r="R172">
        <v>3058</v>
      </c>
      <c r="S172">
        <v>6</v>
      </c>
      <c r="T172">
        <v>2</v>
      </c>
      <c r="U172">
        <v>5</v>
      </c>
      <c r="V172">
        <v>2</v>
      </c>
      <c r="W172">
        <v>1</v>
      </c>
      <c r="X172">
        <v>1</v>
      </c>
      <c r="Y172">
        <f>IF(HR_data[[#This Row],[Attrition]]= "Yes",1,0)</f>
        <v>0</v>
      </c>
    </row>
    <row r="173" spans="1:25">
      <c r="A173">
        <v>172</v>
      </c>
      <c r="B173" t="s">
        <v>24</v>
      </c>
      <c r="C173" t="s">
        <v>34</v>
      </c>
      <c r="D173" t="s">
        <v>52</v>
      </c>
      <c r="E173" t="s">
        <v>27</v>
      </c>
      <c r="F173" t="s">
        <v>57</v>
      </c>
      <c r="G173">
        <v>1</v>
      </c>
      <c r="H173" t="s">
        <v>29</v>
      </c>
      <c r="I173" t="s">
        <v>54</v>
      </c>
      <c r="J173" t="s">
        <v>31</v>
      </c>
      <c r="K173" t="s">
        <v>33</v>
      </c>
      <c r="L173">
        <v>19</v>
      </c>
      <c r="M173">
        <v>1</v>
      </c>
      <c r="N173" t="s">
        <v>40</v>
      </c>
      <c r="O173">
        <v>3</v>
      </c>
      <c r="P173">
        <v>1</v>
      </c>
      <c r="Q173">
        <v>1</v>
      </c>
      <c r="R173">
        <v>2325</v>
      </c>
      <c r="S173">
        <v>1</v>
      </c>
      <c r="T173">
        <v>4</v>
      </c>
      <c r="U173">
        <v>0</v>
      </c>
      <c r="V173">
        <v>0</v>
      </c>
      <c r="W173">
        <v>0</v>
      </c>
      <c r="X173">
        <v>0</v>
      </c>
      <c r="Y173">
        <f>IF(HR_data[[#This Row],[Attrition]]= "Yes",1,0)</f>
        <v>1</v>
      </c>
    </row>
    <row r="174" spans="1:25">
      <c r="A174">
        <v>173</v>
      </c>
      <c r="B174" t="s">
        <v>33</v>
      </c>
      <c r="C174" t="s">
        <v>34</v>
      </c>
      <c r="D174" t="s">
        <v>26</v>
      </c>
      <c r="E174" t="s">
        <v>36</v>
      </c>
      <c r="F174" t="s">
        <v>45</v>
      </c>
      <c r="G174">
        <v>1</v>
      </c>
      <c r="H174" t="s">
        <v>37</v>
      </c>
      <c r="I174" t="s">
        <v>42</v>
      </c>
      <c r="J174" t="s">
        <v>31</v>
      </c>
      <c r="K174" t="s">
        <v>33</v>
      </c>
      <c r="L174">
        <v>36</v>
      </c>
      <c r="M174">
        <v>3</v>
      </c>
      <c r="N174" t="s">
        <v>32</v>
      </c>
      <c r="O174">
        <v>4</v>
      </c>
      <c r="P174">
        <v>1</v>
      </c>
      <c r="Q174">
        <v>2</v>
      </c>
      <c r="R174">
        <v>2088</v>
      </c>
      <c r="S174">
        <v>13</v>
      </c>
      <c r="T174">
        <v>2</v>
      </c>
      <c r="U174">
        <v>8</v>
      </c>
      <c r="V174">
        <v>7</v>
      </c>
      <c r="W174">
        <v>7</v>
      </c>
      <c r="X174">
        <v>2</v>
      </c>
      <c r="Y174">
        <f>IF(HR_data[[#This Row],[Attrition]]= "Yes",1,0)</f>
        <v>0</v>
      </c>
    </row>
    <row r="175" spans="1:25">
      <c r="A175">
        <v>174</v>
      </c>
      <c r="B175" t="s">
        <v>33</v>
      </c>
      <c r="C175" t="s">
        <v>51</v>
      </c>
      <c r="D175" t="s">
        <v>43</v>
      </c>
      <c r="E175" t="s">
        <v>36</v>
      </c>
      <c r="F175" t="s">
        <v>45</v>
      </c>
      <c r="G175">
        <v>1</v>
      </c>
      <c r="H175" t="s">
        <v>37</v>
      </c>
      <c r="I175" t="s">
        <v>42</v>
      </c>
      <c r="J175" t="s">
        <v>48</v>
      </c>
      <c r="K175" t="s">
        <v>33</v>
      </c>
      <c r="L175">
        <v>30</v>
      </c>
      <c r="M175">
        <v>9</v>
      </c>
      <c r="N175" t="s">
        <v>47</v>
      </c>
      <c r="O175">
        <v>3</v>
      </c>
      <c r="P175">
        <v>2</v>
      </c>
      <c r="Q175">
        <v>1</v>
      </c>
      <c r="R175">
        <v>3072</v>
      </c>
      <c r="S175">
        <v>12</v>
      </c>
      <c r="T175">
        <v>3</v>
      </c>
      <c r="U175">
        <v>12</v>
      </c>
      <c r="V175">
        <v>9</v>
      </c>
      <c r="W175">
        <v>6</v>
      </c>
      <c r="X175">
        <v>10</v>
      </c>
      <c r="Y175">
        <f>IF(HR_data[[#This Row],[Attrition]]= "Yes",1,0)</f>
        <v>0</v>
      </c>
    </row>
    <row r="176" spans="1:25">
      <c r="A176">
        <v>175</v>
      </c>
      <c r="B176" t="s">
        <v>33</v>
      </c>
      <c r="C176" t="s">
        <v>25</v>
      </c>
      <c r="D176" t="s">
        <v>35</v>
      </c>
      <c r="E176" t="s">
        <v>27</v>
      </c>
      <c r="F176" t="s">
        <v>28</v>
      </c>
      <c r="G176">
        <v>1</v>
      </c>
      <c r="H176" t="s">
        <v>29</v>
      </c>
      <c r="I176" t="s">
        <v>30</v>
      </c>
      <c r="J176" t="s">
        <v>48</v>
      </c>
      <c r="K176" t="s">
        <v>24</v>
      </c>
      <c r="L176">
        <v>45</v>
      </c>
      <c r="M176">
        <v>4</v>
      </c>
      <c r="N176" t="s">
        <v>32</v>
      </c>
      <c r="O176">
        <v>3</v>
      </c>
      <c r="P176">
        <v>2</v>
      </c>
      <c r="Q176">
        <v>1</v>
      </c>
      <c r="R176">
        <v>5006</v>
      </c>
      <c r="S176">
        <v>9</v>
      </c>
      <c r="T176">
        <v>4</v>
      </c>
      <c r="U176">
        <v>5</v>
      </c>
      <c r="V176">
        <v>4</v>
      </c>
      <c r="W176">
        <v>0</v>
      </c>
      <c r="X176">
        <v>3</v>
      </c>
      <c r="Y176">
        <f>IF(HR_data[[#This Row],[Attrition]]= "Yes",1,0)</f>
        <v>0</v>
      </c>
    </row>
    <row r="177" spans="1:25">
      <c r="A177">
        <v>176</v>
      </c>
      <c r="B177" t="s">
        <v>33</v>
      </c>
      <c r="C177" t="s">
        <v>25</v>
      </c>
      <c r="D177" t="s">
        <v>46</v>
      </c>
      <c r="E177" t="s">
        <v>36</v>
      </c>
      <c r="F177" t="s">
        <v>28</v>
      </c>
      <c r="G177">
        <v>1</v>
      </c>
      <c r="H177" t="s">
        <v>29</v>
      </c>
      <c r="I177" t="s">
        <v>38</v>
      </c>
      <c r="J177" t="s">
        <v>48</v>
      </c>
      <c r="K177" t="s">
        <v>24</v>
      </c>
      <c r="L177">
        <v>56</v>
      </c>
      <c r="M177">
        <v>8</v>
      </c>
      <c r="N177" t="s">
        <v>47</v>
      </c>
      <c r="O177">
        <v>3</v>
      </c>
      <c r="P177">
        <v>1</v>
      </c>
      <c r="Q177">
        <v>1</v>
      </c>
      <c r="R177">
        <v>4257</v>
      </c>
      <c r="S177">
        <v>19</v>
      </c>
      <c r="T177">
        <v>3</v>
      </c>
      <c r="U177">
        <v>2</v>
      </c>
      <c r="V177">
        <v>2</v>
      </c>
      <c r="W177">
        <v>2</v>
      </c>
      <c r="X177">
        <v>2</v>
      </c>
      <c r="Y177">
        <f>IF(HR_data[[#This Row],[Attrition]]= "Yes",1,0)</f>
        <v>0</v>
      </c>
    </row>
    <row r="178" spans="1:25">
      <c r="A178">
        <v>177</v>
      </c>
      <c r="B178" t="s">
        <v>33</v>
      </c>
      <c r="C178" t="s">
        <v>25</v>
      </c>
      <c r="D178" t="s">
        <v>43</v>
      </c>
      <c r="E178" t="s">
        <v>36</v>
      </c>
      <c r="F178" t="s">
        <v>28</v>
      </c>
      <c r="G178">
        <v>1</v>
      </c>
      <c r="H178" t="s">
        <v>37</v>
      </c>
      <c r="I178" t="s">
        <v>38</v>
      </c>
      <c r="J178" t="s">
        <v>31</v>
      </c>
      <c r="K178" t="s">
        <v>33</v>
      </c>
      <c r="L178">
        <v>33</v>
      </c>
      <c r="M178">
        <v>2</v>
      </c>
      <c r="N178" t="s">
        <v>47</v>
      </c>
      <c r="O178">
        <v>3</v>
      </c>
      <c r="P178">
        <v>1</v>
      </c>
      <c r="Q178">
        <v>4</v>
      </c>
      <c r="R178">
        <v>2500</v>
      </c>
      <c r="S178">
        <v>4</v>
      </c>
      <c r="T178">
        <v>4</v>
      </c>
      <c r="U178">
        <v>3</v>
      </c>
      <c r="V178">
        <v>1</v>
      </c>
      <c r="W178">
        <v>0</v>
      </c>
      <c r="X178">
        <v>2</v>
      </c>
      <c r="Y178">
        <f>IF(HR_data[[#This Row],[Attrition]]= "Yes",1,0)</f>
        <v>0</v>
      </c>
    </row>
    <row r="179" spans="1:25">
      <c r="A179">
        <v>178</v>
      </c>
      <c r="B179" t="s">
        <v>24</v>
      </c>
      <c r="C179" t="s">
        <v>25</v>
      </c>
      <c r="D179" t="s">
        <v>52</v>
      </c>
      <c r="E179" t="s">
        <v>36</v>
      </c>
      <c r="F179" t="s">
        <v>28</v>
      </c>
      <c r="G179">
        <v>1</v>
      </c>
      <c r="H179" t="s">
        <v>37</v>
      </c>
      <c r="I179" t="s">
        <v>42</v>
      </c>
      <c r="J179" t="s">
        <v>31</v>
      </c>
      <c r="K179" t="s">
        <v>33</v>
      </c>
      <c r="L179">
        <v>19</v>
      </c>
      <c r="M179">
        <v>2</v>
      </c>
      <c r="N179" t="s">
        <v>47</v>
      </c>
      <c r="O179">
        <v>2</v>
      </c>
      <c r="P179">
        <v>1</v>
      </c>
      <c r="Q179">
        <v>4</v>
      </c>
      <c r="R179">
        <v>1102</v>
      </c>
      <c r="S179">
        <v>1</v>
      </c>
      <c r="T179">
        <v>2</v>
      </c>
      <c r="U179">
        <v>1</v>
      </c>
      <c r="V179">
        <v>0</v>
      </c>
      <c r="W179">
        <v>1</v>
      </c>
      <c r="X179">
        <v>0</v>
      </c>
      <c r="Y179">
        <f>IF(HR_data[[#This Row],[Attrition]]= "Yes",1,0)</f>
        <v>1</v>
      </c>
    </row>
    <row r="180" spans="1:25">
      <c r="A180">
        <v>179</v>
      </c>
      <c r="B180" t="s">
        <v>33</v>
      </c>
      <c r="C180" t="s">
        <v>25</v>
      </c>
      <c r="D180" t="s">
        <v>35</v>
      </c>
      <c r="E180" t="s">
        <v>27</v>
      </c>
      <c r="F180" t="s">
        <v>56</v>
      </c>
      <c r="G180">
        <v>1</v>
      </c>
      <c r="H180" t="s">
        <v>29</v>
      </c>
      <c r="I180" t="s">
        <v>30</v>
      </c>
      <c r="J180" t="s">
        <v>48</v>
      </c>
      <c r="K180" t="s">
        <v>33</v>
      </c>
      <c r="L180">
        <v>46</v>
      </c>
      <c r="M180">
        <v>1</v>
      </c>
      <c r="N180" t="s">
        <v>32</v>
      </c>
      <c r="O180">
        <v>2</v>
      </c>
      <c r="P180">
        <v>3</v>
      </c>
      <c r="Q180">
        <v>1</v>
      </c>
      <c r="R180">
        <v>10453</v>
      </c>
      <c r="S180">
        <v>24</v>
      </c>
      <c r="T180">
        <v>3</v>
      </c>
      <c r="U180">
        <v>24</v>
      </c>
      <c r="V180">
        <v>13</v>
      </c>
      <c r="W180">
        <v>15</v>
      </c>
      <c r="X180">
        <v>7</v>
      </c>
      <c r="Y180">
        <f>IF(HR_data[[#This Row],[Attrition]]= "Yes",1,0)</f>
        <v>0</v>
      </c>
    </row>
    <row r="181" spans="1:25">
      <c r="A181">
        <v>180</v>
      </c>
      <c r="B181" t="s">
        <v>33</v>
      </c>
      <c r="C181" t="s">
        <v>25</v>
      </c>
      <c r="D181" t="s">
        <v>26</v>
      </c>
      <c r="E181" t="s">
        <v>36</v>
      </c>
      <c r="F181" t="s">
        <v>28</v>
      </c>
      <c r="G181">
        <v>1</v>
      </c>
      <c r="H181" t="s">
        <v>29</v>
      </c>
      <c r="I181" t="s">
        <v>42</v>
      </c>
      <c r="J181" t="s">
        <v>31</v>
      </c>
      <c r="K181" t="s">
        <v>33</v>
      </c>
      <c r="L181">
        <v>38</v>
      </c>
      <c r="M181">
        <v>9</v>
      </c>
      <c r="N181" t="s">
        <v>32</v>
      </c>
      <c r="O181">
        <v>3</v>
      </c>
      <c r="P181">
        <v>1</v>
      </c>
      <c r="Q181">
        <v>4</v>
      </c>
      <c r="R181">
        <v>2288</v>
      </c>
      <c r="S181">
        <v>2</v>
      </c>
      <c r="T181">
        <v>3</v>
      </c>
      <c r="U181">
        <v>2</v>
      </c>
      <c r="V181">
        <v>2</v>
      </c>
      <c r="W181">
        <v>2</v>
      </c>
      <c r="X181">
        <v>1</v>
      </c>
      <c r="Y181">
        <f>IF(HR_data[[#This Row],[Attrition]]= "Yes",1,0)</f>
        <v>0</v>
      </c>
    </row>
    <row r="182" spans="1:25">
      <c r="A182">
        <v>181</v>
      </c>
      <c r="B182" t="s">
        <v>33</v>
      </c>
      <c r="C182" t="s">
        <v>25</v>
      </c>
      <c r="D182" t="s">
        <v>43</v>
      </c>
      <c r="E182" t="s">
        <v>36</v>
      </c>
      <c r="F182" t="s">
        <v>45</v>
      </c>
      <c r="G182">
        <v>1</v>
      </c>
      <c r="H182" t="s">
        <v>29</v>
      </c>
      <c r="I182" t="s">
        <v>38</v>
      </c>
      <c r="J182" t="s">
        <v>39</v>
      </c>
      <c r="K182" t="s">
        <v>24</v>
      </c>
      <c r="L182">
        <v>31</v>
      </c>
      <c r="M182">
        <v>12</v>
      </c>
      <c r="N182" t="s">
        <v>40</v>
      </c>
      <c r="O182">
        <v>3</v>
      </c>
      <c r="P182">
        <v>1</v>
      </c>
      <c r="Q182">
        <v>4</v>
      </c>
      <c r="R182">
        <v>3929</v>
      </c>
      <c r="S182">
        <v>7</v>
      </c>
      <c r="T182">
        <v>3</v>
      </c>
      <c r="U182">
        <v>4</v>
      </c>
      <c r="V182">
        <v>2</v>
      </c>
      <c r="W182">
        <v>0</v>
      </c>
      <c r="X182">
        <v>2</v>
      </c>
      <c r="Y182">
        <f>IF(HR_data[[#This Row],[Attrition]]= "Yes",1,0)</f>
        <v>0</v>
      </c>
    </row>
    <row r="183" spans="1:25">
      <c r="A183">
        <v>182</v>
      </c>
      <c r="B183" t="s">
        <v>33</v>
      </c>
      <c r="C183" t="s">
        <v>25</v>
      </c>
      <c r="D183" t="s">
        <v>43</v>
      </c>
      <c r="E183" t="s">
        <v>36</v>
      </c>
      <c r="F183" t="s">
        <v>45</v>
      </c>
      <c r="G183">
        <v>1</v>
      </c>
      <c r="H183" t="s">
        <v>29</v>
      </c>
      <c r="I183" t="s">
        <v>38</v>
      </c>
      <c r="J183" t="s">
        <v>31</v>
      </c>
      <c r="K183" t="s">
        <v>33</v>
      </c>
      <c r="L183">
        <v>34</v>
      </c>
      <c r="M183">
        <v>27</v>
      </c>
      <c r="N183" t="s">
        <v>32</v>
      </c>
      <c r="O183">
        <v>4</v>
      </c>
      <c r="P183">
        <v>1</v>
      </c>
      <c r="Q183">
        <v>2</v>
      </c>
      <c r="R183">
        <v>2311</v>
      </c>
      <c r="S183">
        <v>9</v>
      </c>
      <c r="T183">
        <v>3</v>
      </c>
      <c r="U183">
        <v>3</v>
      </c>
      <c r="V183">
        <v>2</v>
      </c>
      <c r="W183">
        <v>1</v>
      </c>
      <c r="X183">
        <v>2</v>
      </c>
      <c r="Y183">
        <f>IF(HR_data[[#This Row],[Attrition]]= "Yes",1,0)</f>
        <v>0</v>
      </c>
    </row>
    <row r="184" spans="1:25">
      <c r="A184">
        <v>183</v>
      </c>
      <c r="B184" t="s">
        <v>24</v>
      </c>
      <c r="C184" t="s">
        <v>25</v>
      </c>
      <c r="D184" t="s">
        <v>26</v>
      </c>
      <c r="E184" t="s">
        <v>27</v>
      </c>
      <c r="F184" t="s">
        <v>56</v>
      </c>
      <c r="G184">
        <v>1</v>
      </c>
      <c r="H184" t="s">
        <v>29</v>
      </c>
      <c r="I184" t="s">
        <v>54</v>
      </c>
      <c r="J184" t="s">
        <v>31</v>
      </c>
      <c r="K184" t="s">
        <v>24</v>
      </c>
      <c r="L184">
        <v>41</v>
      </c>
      <c r="M184">
        <v>20</v>
      </c>
      <c r="N184" t="s">
        <v>32</v>
      </c>
      <c r="O184">
        <v>2</v>
      </c>
      <c r="P184">
        <v>1</v>
      </c>
      <c r="Q184">
        <v>2</v>
      </c>
      <c r="R184">
        <v>3140</v>
      </c>
      <c r="S184">
        <v>4</v>
      </c>
      <c r="T184">
        <v>2</v>
      </c>
      <c r="U184">
        <v>4</v>
      </c>
      <c r="V184">
        <v>3</v>
      </c>
      <c r="W184">
        <v>0</v>
      </c>
      <c r="X184">
        <v>2</v>
      </c>
      <c r="Y184">
        <f>IF(HR_data[[#This Row],[Attrition]]= "Yes",1,0)</f>
        <v>1</v>
      </c>
    </row>
    <row r="185" spans="1:25">
      <c r="A185">
        <v>184</v>
      </c>
      <c r="B185" t="s">
        <v>33</v>
      </c>
      <c r="C185" t="s">
        <v>25</v>
      </c>
      <c r="D185" t="s">
        <v>35</v>
      </c>
      <c r="E185" t="s">
        <v>36</v>
      </c>
      <c r="F185" t="s">
        <v>45</v>
      </c>
      <c r="G185">
        <v>1</v>
      </c>
      <c r="H185" t="s">
        <v>37</v>
      </c>
      <c r="I185" t="s">
        <v>42</v>
      </c>
      <c r="J185" t="s">
        <v>39</v>
      </c>
      <c r="K185" t="s">
        <v>33</v>
      </c>
      <c r="L185">
        <v>50</v>
      </c>
      <c r="M185">
        <v>1</v>
      </c>
      <c r="N185" t="s">
        <v>47</v>
      </c>
      <c r="O185">
        <v>3</v>
      </c>
      <c r="P185">
        <v>1</v>
      </c>
      <c r="Q185">
        <v>3</v>
      </c>
      <c r="R185">
        <v>3690</v>
      </c>
      <c r="S185">
        <v>5</v>
      </c>
      <c r="T185">
        <v>2</v>
      </c>
      <c r="U185">
        <v>3</v>
      </c>
      <c r="V185">
        <v>2</v>
      </c>
      <c r="W185">
        <v>0</v>
      </c>
      <c r="X185">
        <v>2</v>
      </c>
      <c r="Y185">
        <f>IF(HR_data[[#This Row],[Attrition]]= "Yes",1,0)</f>
        <v>0</v>
      </c>
    </row>
    <row r="186" spans="1:25">
      <c r="A186">
        <v>185</v>
      </c>
      <c r="B186" t="s">
        <v>33</v>
      </c>
      <c r="C186" t="s">
        <v>25</v>
      </c>
      <c r="D186" t="s">
        <v>35</v>
      </c>
      <c r="E186" t="s">
        <v>36</v>
      </c>
      <c r="F186" t="s">
        <v>45</v>
      </c>
      <c r="G186">
        <v>1</v>
      </c>
      <c r="H186" t="s">
        <v>29</v>
      </c>
      <c r="I186" t="s">
        <v>49</v>
      </c>
      <c r="J186" t="s">
        <v>48</v>
      </c>
      <c r="K186" t="s">
        <v>33</v>
      </c>
      <c r="L186">
        <v>53</v>
      </c>
      <c r="M186">
        <v>13</v>
      </c>
      <c r="N186" t="s">
        <v>32</v>
      </c>
      <c r="O186">
        <v>4</v>
      </c>
      <c r="P186">
        <v>2</v>
      </c>
      <c r="Q186">
        <v>1</v>
      </c>
      <c r="R186">
        <v>4450</v>
      </c>
      <c r="S186">
        <v>5</v>
      </c>
      <c r="T186">
        <v>3</v>
      </c>
      <c r="U186">
        <v>4</v>
      </c>
      <c r="V186">
        <v>2</v>
      </c>
      <c r="W186">
        <v>1</v>
      </c>
      <c r="X186">
        <v>3</v>
      </c>
      <c r="Y186">
        <f>IF(HR_data[[#This Row],[Attrition]]= "Yes",1,0)</f>
        <v>0</v>
      </c>
    </row>
    <row r="187" spans="1:25">
      <c r="A187">
        <v>186</v>
      </c>
      <c r="B187" t="s">
        <v>33</v>
      </c>
      <c r="C187" t="s">
        <v>25</v>
      </c>
      <c r="D187" t="s">
        <v>43</v>
      </c>
      <c r="E187" t="s">
        <v>36</v>
      </c>
      <c r="F187" t="s">
        <v>45</v>
      </c>
      <c r="G187">
        <v>1</v>
      </c>
      <c r="H187" t="s">
        <v>29</v>
      </c>
      <c r="I187" t="s">
        <v>38</v>
      </c>
      <c r="J187" t="s">
        <v>39</v>
      </c>
      <c r="K187" t="s">
        <v>33</v>
      </c>
      <c r="L187">
        <v>33</v>
      </c>
      <c r="M187">
        <v>14</v>
      </c>
      <c r="N187" t="s">
        <v>47</v>
      </c>
      <c r="O187">
        <v>4</v>
      </c>
      <c r="P187">
        <v>1</v>
      </c>
      <c r="Q187">
        <v>2</v>
      </c>
      <c r="R187">
        <v>2756</v>
      </c>
      <c r="S187">
        <v>8</v>
      </c>
      <c r="T187">
        <v>3</v>
      </c>
      <c r="U187">
        <v>8</v>
      </c>
      <c r="V187">
        <v>7</v>
      </c>
      <c r="W187">
        <v>1</v>
      </c>
      <c r="X187">
        <v>6</v>
      </c>
      <c r="Y187">
        <f>IF(HR_data[[#This Row],[Attrition]]= "Yes",1,0)</f>
        <v>0</v>
      </c>
    </row>
    <row r="188" spans="1:25">
      <c r="A188">
        <v>187</v>
      </c>
      <c r="B188" t="s">
        <v>33</v>
      </c>
      <c r="C188" t="s">
        <v>25</v>
      </c>
      <c r="D188" t="s">
        <v>26</v>
      </c>
      <c r="E188" t="s">
        <v>36</v>
      </c>
      <c r="F188" t="s">
        <v>45</v>
      </c>
      <c r="G188">
        <v>1</v>
      </c>
      <c r="H188" t="s">
        <v>29</v>
      </c>
      <c r="I188" t="s">
        <v>53</v>
      </c>
      <c r="J188" t="s">
        <v>39</v>
      </c>
      <c r="K188" t="s">
        <v>33</v>
      </c>
      <c r="L188">
        <v>40</v>
      </c>
      <c r="M188">
        <v>4</v>
      </c>
      <c r="N188" t="s">
        <v>40</v>
      </c>
      <c r="O188">
        <v>4</v>
      </c>
      <c r="P188">
        <v>5</v>
      </c>
      <c r="Q188">
        <v>3</v>
      </c>
      <c r="R188">
        <v>19033</v>
      </c>
      <c r="S188">
        <v>21</v>
      </c>
      <c r="T188">
        <v>3</v>
      </c>
      <c r="U188">
        <v>20</v>
      </c>
      <c r="V188">
        <v>8</v>
      </c>
      <c r="W188">
        <v>9</v>
      </c>
      <c r="X188">
        <v>9</v>
      </c>
      <c r="Y188">
        <f>IF(HR_data[[#This Row],[Attrition]]= "Yes",1,0)</f>
        <v>0</v>
      </c>
    </row>
    <row r="189" spans="1:25">
      <c r="A189">
        <v>188</v>
      </c>
      <c r="B189" t="s">
        <v>33</v>
      </c>
      <c r="C189" t="s">
        <v>25</v>
      </c>
      <c r="D189" t="s">
        <v>46</v>
      </c>
      <c r="E189" t="s">
        <v>36</v>
      </c>
      <c r="F189" t="s">
        <v>45</v>
      </c>
      <c r="G189">
        <v>1</v>
      </c>
      <c r="H189" t="s">
        <v>37</v>
      </c>
      <c r="I189" t="s">
        <v>55</v>
      </c>
      <c r="J189" t="s">
        <v>31</v>
      </c>
      <c r="K189" t="s">
        <v>33</v>
      </c>
      <c r="L189">
        <v>55</v>
      </c>
      <c r="M189">
        <v>14</v>
      </c>
      <c r="N189" t="s">
        <v>44</v>
      </c>
      <c r="O189">
        <v>3</v>
      </c>
      <c r="P189">
        <v>5</v>
      </c>
      <c r="Q189">
        <v>2</v>
      </c>
      <c r="R189">
        <v>18722</v>
      </c>
      <c r="S189">
        <v>36</v>
      </c>
      <c r="T189">
        <v>3</v>
      </c>
      <c r="U189">
        <v>24</v>
      </c>
      <c r="V189">
        <v>15</v>
      </c>
      <c r="W189">
        <v>2</v>
      </c>
      <c r="X189">
        <v>15</v>
      </c>
      <c r="Y189">
        <f>IF(HR_data[[#This Row],[Attrition]]= "Yes",1,0)</f>
        <v>0</v>
      </c>
    </row>
    <row r="190" spans="1:25">
      <c r="A190">
        <v>189</v>
      </c>
      <c r="B190" t="s">
        <v>33</v>
      </c>
      <c r="C190" t="s">
        <v>34</v>
      </c>
      <c r="D190" t="s">
        <v>43</v>
      </c>
      <c r="E190" t="s">
        <v>36</v>
      </c>
      <c r="F190" t="s">
        <v>28</v>
      </c>
      <c r="G190">
        <v>1</v>
      </c>
      <c r="H190" t="s">
        <v>37</v>
      </c>
      <c r="I190" t="s">
        <v>49</v>
      </c>
      <c r="J190" t="s">
        <v>39</v>
      </c>
      <c r="K190" t="s">
        <v>33</v>
      </c>
      <c r="L190">
        <v>34</v>
      </c>
      <c r="M190">
        <v>2</v>
      </c>
      <c r="N190" t="s">
        <v>40</v>
      </c>
      <c r="O190">
        <v>4</v>
      </c>
      <c r="P190">
        <v>2</v>
      </c>
      <c r="Q190">
        <v>3</v>
      </c>
      <c r="R190">
        <v>9547</v>
      </c>
      <c r="S190">
        <v>10</v>
      </c>
      <c r="T190">
        <v>2</v>
      </c>
      <c r="U190">
        <v>10</v>
      </c>
      <c r="V190">
        <v>9</v>
      </c>
      <c r="W190">
        <v>1</v>
      </c>
      <c r="X190">
        <v>9</v>
      </c>
      <c r="Y190">
        <f>IF(HR_data[[#This Row],[Attrition]]= "Yes",1,0)</f>
        <v>0</v>
      </c>
    </row>
    <row r="191" spans="1:25">
      <c r="A191">
        <v>190</v>
      </c>
      <c r="B191" t="s">
        <v>33</v>
      </c>
      <c r="C191" t="s">
        <v>25</v>
      </c>
      <c r="D191" t="s">
        <v>35</v>
      </c>
      <c r="E191" t="s">
        <v>36</v>
      </c>
      <c r="F191" t="s">
        <v>45</v>
      </c>
      <c r="G191">
        <v>1</v>
      </c>
      <c r="H191" t="s">
        <v>29</v>
      </c>
      <c r="I191" t="s">
        <v>50</v>
      </c>
      <c r="J191" t="s">
        <v>31</v>
      </c>
      <c r="K191" t="s">
        <v>33</v>
      </c>
      <c r="L191">
        <v>51</v>
      </c>
      <c r="M191">
        <v>3</v>
      </c>
      <c r="N191" t="s">
        <v>47</v>
      </c>
      <c r="O191">
        <v>4</v>
      </c>
      <c r="P191">
        <v>4</v>
      </c>
      <c r="Q191">
        <v>2</v>
      </c>
      <c r="R191">
        <v>13734</v>
      </c>
      <c r="S191">
        <v>21</v>
      </c>
      <c r="T191">
        <v>3</v>
      </c>
      <c r="U191">
        <v>7</v>
      </c>
      <c r="V191">
        <v>7</v>
      </c>
      <c r="W191">
        <v>1</v>
      </c>
      <c r="X191">
        <v>0</v>
      </c>
      <c r="Y191">
        <f>IF(HR_data[[#This Row],[Attrition]]= "Yes",1,0)</f>
        <v>0</v>
      </c>
    </row>
    <row r="192" spans="1:25">
      <c r="A192">
        <v>191</v>
      </c>
      <c r="B192" t="s">
        <v>33</v>
      </c>
      <c r="C192" t="s">
        <v>25</v>
      </c>
      <c r="D192" t="s">
        <v>35</v>
      </c>
      <c r="E192" t="s">
        <v>36</v>
      </c>
      <c r="F192" t="s">
        <v>28</v>
      </c>
      <c r="G192">
        <v>1</v>
      </c>
      <c r="H192" t="s">
        <v>37</v>
      </c>
      <c r="I192" t="s">
        <v>53</v>
      </c>
      <c r="J192" t="s">
        <v>39</v>
      </c>
      <c r="K192" t="s">
        <v>33</v>
      </c>
      <c r="L192">
        <v>52</v>
      </c>
      <c r="M192">
        <v>1</v>
      </c>
      <c r="N192" t="s">
        <v>44</v>
      </c>
      <c r="O192">
        <v>3</v>
      </c>
      <c r="P192">
        <v>5</v>
      </c>
      <c r="Q192">
        <v>3</v>
      </c>
      <c r="R192">
        <v>19999</v>
      </c>
      <c r="S192">
        <v>34</v>
      </c>
      <c r="T192">
        <v>3</v>
      </c>
      <c r="U192">
        <v>33</v>
      </c>
      <c r="V192">
        <v>18</v>
      </c>
      <c r="W192">
        <v>11</v>
      </c>
      <c r="X192">
        <v>9</v>
      </c>
      <c r="Y192">
        <f>IF(HR_data[[#This Row],[Attrition]]= "Yes",1,0)</f>
        <v>0</v>
      </c>
    </row>
    <row r="193" spans="1:25">
      <c r="A193">
        <v>192</v>
      </c>
      <c r="B193" t="s">
        <v>33</v>
      </c>
      <c r="C193" t="s">
        <v>25</v>
      </c>
      <c r="D193" t="s">
        <v>43</v>
      </c>
      <c r="E193" t="s">
        <v>36</v>
      </c>
      <c r="F193" t="s">
        <v>45</v>
      </c>
      <c r="G193">
        <v>1</v>
      </c>
      <c r="H193" t="s">
        <v>29</v>
      </c>
      <c r="I193" t="s">
        <v>38</v>
      </c>
      <c r="J193" t="s">
        <v>31</v>
      </c>
      <c r="K193" t="s">
        <v>33</v>
      </c>
      <c r="L193">
        <v>27</v>
      </c>
      <c r="M193">
        <v>9</v>
      </c>
      <c r="N193" t="s">
        <v>47</v>
      </c>
      <c r="O193">
        <v>4</v>
      </c>
      <c r="P193">
        <v>1</v>
      </c>
      <c r="Q193">
        <v>2</v>
      </c>
      <c r="R193">
        <v>2279</v>
      </c>
      <c r="S193">
        <v>7</v>
      </c>
      <c r="T193">
        <v>2</v>
      </c>
      <c r="U193">
        <v>7</v>
      </c>
      <c r="V193">
        <v>7</v>
      </c>
      <c r="W193">
        <v>0</v>
      </c>
      <c r="X193">
        <v>3</v>
      </c>
      <c r="Y193">
        <f>IF(HR_data[[#This Row],[Attrition]]= "Yes",1,0)</f>
        <v>0</v>
      </c>
    </row>
    <row r="194" spans="1:25">
      <c r="A194">
        <v>193</v>
      </c>
      <c r="B194" t="s">
        <v>24</v>
      </c>
      <c r="C194" t="s">
        <v>25</v>
      </c>
      <c r="D194" t="s">
        <v>26</v>
      </c>
      <c r="E194" t="s">
        <v>36</v>
      </c>
      <c r="F194" t="s">
        <v>28</v>
      </c>
      <c r="G194">
        <v>1</v>
      </c>
      <c r="H194" t="s">
        <v>37</v>
      </c>
      <c r="I194" t="s">
        <v>49</v>
      </c>
      <c r="J194" t="s">
        <v>39</v>
      </c>
      <c r="K194" t="s">
        <v>24</v>
      </c>
      <c r="L194">
        <v>35</v>
      </c>
      <c r="M194">
        <v>23</v>
      </c>
      <c r="N194" t="s">
        <v>32</v>
      </c>
      <c r="O194">
        <v>2</v>
      </c>
      <c r="P194">
        <v>2</v>
      </c>
      <c r="Q194">
        <v>3</v>
      </c>
      <c r="R194">
        <v>5916</v>
      </c>
      <c r="S194">
        <v>8</v>
      </c>
      <c r="T194">
        <v>3</v>
      </c>
      <c r="U194">
        <v>1</v>
      </c>
      <c r="V194">
        <v>0</v>
      </c>
      <c r="W194">
        <v>0</v>
      </c>
      <c r="X194">
        <v>1</v>
      </c>
      <c r="Y194">
        <f>IF(HR_data[[#This Row],[Attrition]]= "Yes",1,0)</f>
        <v>1</v>
      </c>
    </row>
    <row r="195" spans="1:25">
      <c r="A195">
        <v>194</v>
      </c>
      <c r="B195" t="s">
        <v>33</v>
      </c>
      <c r="C195" t="s">
        <v>51</v>
      </c>
      <c r="D195" t="s">
        <v>26</v>
      </c>
      <c r="E195" t="s">
        <v>36</v>
      </c>
      <c r="F195" t="s">
        <v>45</v>
      </c>
      <c r="G195">
        <v>1</v>
      </c>
      <c r="H195" t="s">
        <v>37</v>
      </c>
      <c r="I195" t="s">
        <v>38</v>
      </c>
      <c r="J195" t="s">
        <v>48</v>
      </c>
      <c r="K195" t="s">
        <v>33</v>
      </c>
      <c r="L195">
        <v>43</v>
      </c>
      <c r="M195">
        <v>7</v>
      </c>
      <c r="N195" t="s">
        <v>47</v>
      </c>
      <c r="O195">
        <v>4</v>
      </c>
      <c r="P195">
        <v>1</v>
      </c>
      <c r="Q195">
        <v>4</v>
      </c>
      <c r="R195">
        <v>2089</v>
      </c>
      <c r="S195">
        <v>7</v>
      </c>
      <c r="T195">
        <v>4</v>
      </c>
      <c r="U195">
        <v>5</v>
      </c>
      <c r="V195">
        <v>4</v>
      </c>
      <c r="W195">
        <v>2</v>
      </c>
      <c r="X195">
        <v>2</v>
      </c>
      <c r="Y195">
        <f>IF(HR_data[[#This Row],[Attrition]]= "Yes",1,0)</f>
        <v>0</v>
      </c>
    </row>
    <row r="196" spans="1:25">
      <c r="A196">
        <v>195</v>
      </c>
      <c r="B196" t="s">
        <v>33</v>
      </c>
      <c r="C196" t="s">
        <v>51</v>
      </c>
      <c r="D196" t="s">
        <v>35</v>
      </c>
      <c r="E196" t="s">
        <v>36</v>
      </c>
      <c r="F196" t="s">
        <v>45</v>
      </c>
      <c r="G196">
        <v>1</v>
      </c>
      <c r="H196" t="s">
        <v>37</v>
      </c>
      <c r="I196" t="s">
        <v>53</v>
      </c>
      <c r="J196" t="s">
        <v>39</v>
      </c>
      <c r="K196" t="s">
        <v>33</v>
      </c>
      <c r="L196">
        <v>45</v>
      </c>
      <c r="M196">
        <v>2</v>
      </c>
      <c r="N196" t="s">
        <v>32</v>
      </c>
      <c r="O196">
        <v>1</v>
      </c>
      <c r="P196">
        <v>4</v>
      </c>
      <c r="Q196">
        <v>4</v>
      </c>
      <c r="R196">
        <v>16792</v>
      </c>
      <c r="S196">
        <v>22</v>
      </c>
      <c r="T196">
        <v>3</v>
      </c>
      <c r="U196">
        <v>20</v>
      </c>
      <c r="V196">
        <v>8</v>
      </c>
      <c r="W196">
        <v>11</v>
      </c>
      <c r="X196">
        <v>8</v>
      </c>
      <c r="Y196">
        <f>IF(HR_data[[#This Row],[Attrition]]= "Yes",1,0)</f>
        <v>0</v>
      </c>
    </row>
    <row r="197" spans="1:25">
      <c r="A197">
        <v>196</v>
      </c>
      <c r="B197" t="s">
        <v>33</v>
      </c>
      <c r="C197" t="s">
        <v>25</v>
      </c>
      <c r="D197" t="s">
        <v>26</v>
      </c>
      <c r="E197" t="s">
        <v>36</v>
      </c>
      <c r="F197" t="s">
        <v>28</v>
      </c>
      <c r="G197">
        <v>1</v>
      </c>
      <c r="H197" t="s">
        <v>37</v>
      </c>
      <c r="I197" t="s">
        <v>38</v>
      </c>
      <c r="J197" t="s">
        <v>39</v>
      </c>
      <c r="K197" t="s">
        <v>24</v>
      </c>
      <c r="L197">
        <v>37</v>
      </c>
      <c r="M197">
        <v>21</v>
      </c>
      <c r="N197" t="s">
        <v>47</v>
      </c>
      <c r="O197">
        <v>2</v>
      </c>
      <c r="P197">
        <v>1</v>
      </c>
      <c r="Q197">
        <v>1</v>
      </c>
      <c r="R197">
        <v>3564</v>
      </c>
      <c r="S197">
        <v>8</v>
      </c>
      <c r="T197">
        <v>2</v>
      </c>
      <c r="U197">
        <v>8</v>
      </c>
      <c r="V197">
        <v>7</v>
      </c>
      <c r="W197">
        <v>1</v>
      </c>
      <c r="X197">
        <v>7</v>
      </c>
      <c r="Y197">
        <f>IF(HR_data[[#This Row],[Attrition]]= "Yes",1,0)</f>
        <v>0</v>
      </c>
    </row>
    <row r="198" spans="1:25">
      <c r="A198">
        <v>197</v>
      </c>
      <c r="B198" t="s">
        <v>33</v>
      </c>
      <c r="C198" t="s">
        <v>34</v>
      </c>
      <c r="D198" t="s">
        <v>26</v>
      </c>
      <c r="E198" t="s">
        <v>36</v>
      </c>
      <c r="F198" t="s">
        <v>45</v>
      </c>
      <c r="G198">
        <v>1</v>
      </c>
      <c r="H198" t="s">
        <v>29</v>
      </c>
      <c r="I198" t="s">
        <v>42</v>
      </c>
      <c r="J198" t="s">
        <v>31</v>
      </c>
      <c r="K198" t="s">
        <v>33</v>
      </c>
      <c r="L198">
        <v>35</v>
      </c>
      <c r="M198">
        <v>2</v>
      </c>
      <c r="N198" t="s">
        <v>47</v>
      </c>
      <c r="O198">
        <v>2</v>
      </c>
      <c r="P198">
        <v>2</v>
      </c>
      <c r="Q198">
        <v>2</v>
      </c>
      <c r="R198">
        <v>4425</v>
      </c>
      <c r="S198">
        <v>10</v>
      </c>
      <c r="T198">
        <v>3</v>
      </c>
      <c r="U198">
        <v>6</v>
      </c>
      <c r="V198">
        <v>2</v>
      </c>
      <c r="W198">
        <v>1</v>
      </c>
      <c r="X198">
        <v>2</v>
      </c>
      <c r="Y198">
        <f>IF(HR_data[[#This Row],[Attrition]]= "Yes",1,0)</f>
        <v>0</v>
      </c>
    </row>
    <row r="199" spans="1:25">
      <c r="A199">
        <v>198</v>
      </c>
      <c r="B199" t="s">
        <v>33</v>
      </c>
      <c r="C199" t="s">
        <v>51</v>
      </c>
      <c r="D199" t="s">
        <v>26</v>
      </c>
      <c r="E199" t="s">
        <v>36</v>
      </c>
      <c r="F199" t="s">
        <v>45</v>
      </c>
      <c r="G199">
        <v>1</v>
      </c>
      <c r="H199" t="s">
        <v>29</v>
      </c>
      <c r="I199" t="s">
        <v>49</v>
      </c>
      <c r="J199" t="s">
        <v>48</v>
      </c>
      <c r="K199" t="s">
        <v>33</v>
      </c>
      <c r="L199">
        <v>42</v>
      </c>
      <c r="M199">
        <v>21</v>
      </c>
      <c r="N199" t="s">
        <v>32</v>
      </c>
      <c r="O199">
        <v>3</v>
      </c>
      <c r="P199">
        <v>2</v>
      </c>
      <c r="Q199">
        <v>3</v>
      </c>
      <c r="R199">
        <v>5265</v>
      </c>
      <c r="S199">
        <v>11</v>
      </c>
      <c r="T199">
        <v>3</v>
      </c>
      <c r="U199">
        <v>5</v>
      </c>
      <c r="V199">
        <v>3</v>
      </c>
      <c r="W199">
        <v>0</v>
      </c>
      <c r="X199">
        <v>2</v>
      </c>
      <c r="Y199">
        <f>IF(HR_data[[#This Row],[Attrition]]= "Yes",1,0)</f>
        <v>0</v>
      </c>
    </row>
    <row r="200" spans="1:25">
      <c r="A200">
        <v>199</v>
      </c>
      <c r="B200" t="s">
        <v>33</v>
      </c>
      <c r="C200" t="s">
        <v>25</v>
      </c>
      <c r="D200" t="s">
        <v>26</v>
      </c>
      <c r="E200" t="s">
        <v>36</v>
      </c>
      <c r="F200" t="s">
        <v>28</v>
      </c>
      <c r="G200">
        <v>1</v>
      </c>
      <c r="H200" t="s">
        <v>37</v>
      </c>
      <c r="I200" t="s">
        <v>49</v>
      </c>
      <c r="J200" t="s">
        <v>39</v>
      </c>
      <c r="K200" t="s">
        <v>33</v>
      </c>
      <c r="L200">
        <v>38</v>
      </c>
      <c r="M200">
        <v>2</v>
      </c>
      <c r="N200" t="s">
        <v>44</v>
      </c>
      <c r="O200">
        <v>4</v>
      </c>
      <c r="P200">
        <v>2</v>
      </c>
      <c r="Q200">
        <v>3</v>
      </c>
      <c r="R200">
        <v>6553</v>
      </c>
      <c r="S200">
        <v>14</v>
      </c>
      <c r="T200">
        <v>3</v>
      </c>
      <c r="U200">
        <v>1</v>
      </c>
      <c r="V200">
        <v>0</v>
      </c>
      <c r="W200">
        <v>0</v>
      </c>
      <c r="X200">
        <v>0</v>
      </c>
      <c r="Y200">
        <f>IF(HR_data[[#This Row],[Attrition]]= "Yes",1,0)</f>
        <v>0</v>
      </c>
    </row>
    <row r="201" spans="1:25">
      <c r="A201">
        <v>200</v>
      </c>
      <c r="B201" t="s">
        <v>33</v>
      </c>
      <c r="C201" t="s">
        <v>25</v>
      </c>
      <c r="D201" t="s">
        <v>26</v>
      </c>
      <c r="E201" t="s">
        <v>36</v>
      </c>
      <c r="F201" t="s">
        <v>57</v>
      </c>
      <c r="G201">
        <v>1</v>
      </c>
      <c r="H201" t="s">
        <v>37</v>
      </c>
      <c r="I201" t="s">
        <v>49</v>
      </c>
      <c r="J201" t="s">
        <v>39</v>
      </c>
      <c r="K201" t="s">
        <v>33</v>
      </c>
      <c r="L201">
        <v>38</v>
      </c>
      <c r="M201">
        <v>29</v>
      </c>
      <c r="N201" t="s">
        <v>47</v>
      </c>
      <c r="O201">
        <v>4</v>
      </c>
      <c r="P201">
        <v>2</v>
      </c>
      <c r="Q201">
        <v>4</v>
      </c>
      <c r="R201">
        <v>6261</v>
      </c>
      <c r="S201">
        <v>9</v>
      </c>
      <c r="T201">
        <v>1</v>
      </c>
      <c r="U201">
        <v>7</v>
      </c>
      <c r="V201">
        <v>7</v>
      </c>
      <c r="W201">
        <v>1</v>
      </c>
      <c r="X201">
        <v>7</v>
      </c>
      <c r="Y201">
        <f>IF(HR_data[[#This Row],[Attrition]]= "Yes",1,0)</f>
        <v>0</v>
      </c>
    </row>
    <row r="202" spans="1:25">
      <c r="A202">
        <v>201</v>
      </c>
      <c r="B202" t="s">
        <v>33</v>
      </c>
      <c r="C202" t="s">
        <v>34</v>
      </c>
      <c r="D202" t="s">
        <v>43</v>
      </c>
      <c r="E202" t="s">
        <v>36</v>
      </c>
      <c r="F202" t="s">
        <v>57</v>
      </c>
      <c r="G202">
        <v>1</v>
      </c>
      <c r="H202" t="s">
        <v>37</v>
      </c>
      <c r="I202" t="s">
        <v>49</v>
      </c>
      <c r="J202" t="s">
        <v>39</v>
      </c>
      <c r="K202" t="s">
        <v>33</v>
      </c>
      <c r="L202">
        <v>27</v>
      </c>
      <c r="M202">
        <v>1</v>
      </c>
      <c r="N202" t="s">
        <v>40</v>
      </c>
      <c r="O202">
        <v>3</v>
      </c>
      <c r="P202">
        <v>2</v>
      </c>
      <c r="Q202">
        <v>1</v>
      </c>
      <c r="R202">
        <v>4298</v>
      </c>
      <c r="S202">
        <v>6</v>
      </c>
      <c r="T202">
        <v>3</v>
      </c>
      <c r="U202">
        <v>2</v>
      </c>
      <c r="V202">
        <v>2</v>
      </c>
      <c r="W202">
        <v>2</v>
      </c>
      <c r="X202">
        <v>0</v>
      </c>
      <c r="Y202">
        <f>IF(HR_data[[#This Row],[Attrition]]= "Yes",1,0)</f>
        <v>0</v>
      </c>
    </row>
    <row r="203" spans="1:25">
      <c r="A203">
        <v>202</v>
      </c>
      <c r="B203" t="s">
        <v>33</v>
      </c>
      <c r="C203" t="s">
        <v>51</v>
      </c>
      <c r="D203" t="s">
        <v>35</v>
      </c>
      <c r="E203" t="s">
        <v>36</v>
      </c>
      <c r="F203" t="s">
        <v>28</v>
      </c>
      <c r="G203">
        <v>1</v>
      </c>
      <c r="H203" t="s">
        <v>37</v>
      </c>
      <c r="I203" t="s">
        <v>49</v>
      </c>
      <c r="J203" t="s">
        <v>48</v>
      </c>
      <c r="K203" t="s">
        <v>24</v>
      </c>
      <c r="L203">
        <v>49</v>
      </c>
      <c r="M203">
        <v>18</v>
      </c>
      <c r="N203" t="s">
        <v>44</v>
      </c>
      <c r="O203">
        <v>4</v>
      </c>
      <c r="P203">
        <v>2</v>
      </c>
      <c r="Q203">
        <v>4</v>
      </c>
      <c r="R203">
        <v>6804</v>
      </c>
      <c r="S203">
        <v>7</v>
      </c>
      <c r="T203">
        <v>3</v>
      </c>
      <c r="U203">
        <v>7</v>
      </c>
      <c r="V203">
        <v>7</v>
      </c>
      <c r="W203">
        <v>1</v>
      </c>
      <c r="X203">
        <v>7</v>
      </c>
      <c r="Y203">
        <f>IF(HR_data[[#This Row],[Attrition]]= "Yes",1,0)</f>
        <v>0</v>
      </c>
    </row>
    <row r="204" spans="1:25">
      <c r="A204">
        <v>203</v>
      </c>
      <c r="B204" t="s">
        <v>33</v>
      </c>
      <c r="C204" t="s">
        <v>34</v>
      </c>
      <c r="D204" t="s">
        <v>43</v>
      </c>
      <c r="E204" t="s">
        <v>36</v>
      </c>
      <c r="F204" t="s">
        <v>45</v>
      </c>
      <c r="G204">
        <v>1</v>
      </c>
      <c r="H204" t="s">
        <v>37</v>
      </c>
      <c r="I204" t="s">
        <v>38</v>
      </c>
      <c r="J204" t="s">
        <v>48</v>
      </c>
      <c r="K204" t="s">
        <v>24</v>
      </c>
      <c r="L204">
        <v>34</v>
      </c>
      <c r="M204">
        <v>10</v>
      </c>
      <c r="N204" t="s">
        <v>44</v>
      </c>
      <c r="O204">
        <v>4</v>
      </c>
      <c r="P204">
        <v>1</v>
      </c>
      <c r="Q204">
        <v>3</v>
      </c>
      <c r="R204">
        <v>3815</v>
      </c>
      <c r="S204">
        <v>5</v>
      </c>
      <c r="T204">
        <v>4</v>
      </c>
      <c r="U204">
        <v>5</v>
      </c>
      <c r="V204">
        <v>3</v>
      </c>
      <c r="W204">
        <v>2</v>
      </c>
      <c r="X204">
        <v>0</v>
      </c>
      <c r="Y204">
        <f>IF(HR_data[[#This Row],[Attrition]]= "Yes",1,0)</f>
        <v>0</v>
      </c>
    </row>
    <row r="205" spans="1:25">
      <c r="A205">
        <v>204</v>
      </c>
      <c r="B205" t="s">
        <v>33</v>
      </c>
      <c r="C205" t="s">
        <v>25</v>
      </c>
      <c r="D205" t="s">
        <v>26</v>
      </c>
      <c r="E205" t="s">
        <v>36</v>
      </c>
      <c r="F205" t="s">
        <v>45</v>
      </c>
      <c r="G205">
        <v>1</v>
      </c>
      <c r="H205" t="s">
        <v>37</v>
      </c>
      <c r="I205" t="s">
        <v>42</v>
      </c>
      <c r="J205" t="s">
        <v>39</v>
      </c>
      <c r="K205" t="s">
        <v>24</v>
      </c>
      <c r="L205">
        <v>40</v>
      </c>
      <c r="M205">
        <v>19</v>
      </c>
      <c r="N205" t="s">
        <v>32</v>
      </c>
      <c r="O205">
        <v>3</v>
      </c>
      <c r="P205">
        <v>2</v>
      </c>
      <c r="Q205">
        <v>4</v>
      </c>
      <c r="R205">
        <v>2741</v>
      </c>
      <c r="S205">
        <v>15</v>
      </c>
      <c r="T205">
        <v>4</v>
      </c>
      <c r="U205">
        <v>7</v>
      </c>
      <c r="V205">
        <v>2</v>
      </c>
      <c r="W205">
        <v>3</v>
      </c>
      <c r="X205">
        <v>7</v>
      </c>
      <c r="Y205">
        <f>IF(HR_data[[#This Row],[Attrition]]= "Yes",1,0)</f>
        <v>0</v>
      </c>
    </row>
    <row r="206" spans="1:25">
      <c r="A206">
        <v>205</v>
      </c>
      <c r="B206" t="s">
        <v>24</v>
      </c>
      <c r="C206" t="s">
        <v>25</v>
      </c>
      <c r="D206" t="s">
        <v>26</v>
      </c>
      <c r="E206" t="s">
        <v>36</v>
      </c>
      <c r="F206" t="s">
        <v>45</v>
      </c>
      <c r="G206">
        <v>1</v>
      </c>
      <c r="H206" t="s">
        <v>37</v>
      </c>
      <c r="I206" t="s">
        <v>50</v>
      </c>
      <c r="J206" t="s">
        <v>39</v>
      </c>
      <c r="K206" t="s">
        <v>24</v>
      </c>
      <c r="L206">
        <v>38</v>
      </c>
      <c r="M206">
        <v>29</v>
      </c>
      <c r="N206" t="s">
        <v>40</v>
      </c>
      <c r="O206">
        <v>2</v>
      </c>
      <c r="P206">
        <v>2</v>
      </c>
      <c r="Q206">
        <v>1</v>
      </c>
      <c r="R206">
        <v>6673</v>
      </c>
      <c r="S206">
        <v>17</v>
      </c>
      <c r="T206">
        <v>3</v>
      </c>
      <c r="U206">
        <v>1</v>
      </c>
      <c r="V206">
        <v>0</v>
      </c>
      <c r="W206">
        <v>0</v>
      </c>
      <c r="X206">
        <v>0</v>
      </c>
      <c r="Y206">
        <f>IF(HR_data[[#This Row],[Attrition]]= "Yes",1,0)</f>
        <v>1</v>
      </c>
    </row>
    <row r="207" spans="1:25">
      <c r="A207">
        <v>206</v>
      </c>
      <c r="B207" t="s">
        <v>24</v>
      </c>
      <c r="C207" t="s">
        <v>25</v>
      </c>
      <c r="D207" t="s">
        <v>43</v>
      </c>
      <c r="E207" t="s">
        <v>27</v>
      </c>
      <c r="F207" t="s">
        <v>56</v>
      </c>
      <c r="G207">
        <v>1</v>
      </c>
      <c r="H207" t="s">
        <v>29</v>
      </c>
      <c r="I207" t="s">
        <v>30</v>
      </c>
      <c r="J207" t="s">
        <v>39</v>
      </c>
      <c r="K207" t="s">
        <v>33</v>
      </c>
      <c r="L207">
        <v>29</v>
      </c>
      <c r="M207">
        <v>27</v>
      </c>
      <c r="N207" t="s">
        <v>47</v>
      </c>
      <c r="O207">
        <v>2</v>
      </c>
      <c r="P207">
        <v>3</v>
      </c>
      <c r="Q207">
        <v>4</v>
      </c>
      <c r="R207">
        <v>7639</v>
      </c>
      <c r="S207">
        <v>10</v>
      </c>
      <c r="T207">
        <v>2</v>
      </c>
      <c r="U207">
        <v>10</v>
      </c>
      <c r="V207">
        <v>4</v>
      </c>
      <c r="W207">
        <v>1</v>
      </c>
      <c r="X207">
        <v>9</v>
      </c>
      <c r="Y207">
        <f>IF(HR_data[[#This Row],[Attrition]]= "Yes",1,0)</f>
        <v>1</v>
      </c>
    </row>
    <row r="208" spans="1:25">
      <c r="A208">
        <v>207</v>
      </c>
      <c r="B208" t="s">
        <v>33</v>
      </c>
      <c r="C208" t="s">
        <v>25</v>
      </c>
      <c r="D208" t="s">
        <v>52</v>
      </c>
      <c r="E208" t="s">
        <v>36</v>
      </c>
      <c r="F208" t="s">
        <v>28</v>
      </c>
      <c r="G208">
        <v>1</v>
      </c>
      <c r="H208" t="s">
        <v>37</v>
      </c>
      <c r="I208" t="s">
        <v>38</v>
      </c>
      <c r="J208" t="s">
        <v>48</v>
      </c>
      <c r="K208" t="s">
        <v>24</v>
      </c>
      <c r="L208">
        <v>22</v>
      </c>
      <c r="M208">
        <v>5</v>
      </c>
      <c r="N208" t="s">
        <v>47</v>
      </c>
      <c r="O208">
        <v>4</v>
      </c>
      <c r="P208">
        <v>1</v>
      </c>
      <c r="Q208">
        <v>2</v>
      </c>
      <c r="R208">
        <v>2328</v>
      </c>
      <c r="S208">
        <v>4</v>
      </c>
      <c r="T208">
        <v>2</v>
      </c>
      <c r="U208">
        <v>4</v>
      </c>
      <c r="V208">
        <v>2</v>
      </c>
      <c r="W208">
        <v>2</v>
      </c>
      <c r="X208">
        <v>2</v>
      </c>
      <c r="Y208">
        <f>IF(HR_data[[#This Row],[Attrition]]= "Yes",1,0)</f>
        <v>0</v>
      </c>
    </row>
    <row r="209" spans="1:25">
      <c r="A209">
        <v>208</v>
      </c>
      <c r="B209" t="s">
        <v>33</v>
      </c>
      <c r="C209" t="s">
        <v>34</v>
      </c>
      <c r="D209" t="s">
        <v>26</v>
      </c>
      <c r="E209" t="s">
        <v>36</v>
      </c>
      <c r="F209" t="s">
        <v>45</v>
      </c>
      <c r="G209">
        <v>1</v>
      </c>
      <c r="H209" t="s">
        <v>29</v>
      </c>
      <c r="I209" t="s">
        <v>42</v>
      </c>
      <c r="J209" t="s">
        <v>31</v>
      </c>
      <c r="K209" t="s">
        <v>33</v>
      </c>
      <c r="L209">
        <v>36</v>
      </c>
      <c r="M209">
        <v>18</v>
      </c>
      <c r="N209" t="s">
        <v>40</v>
      </c>
      <c r="O209">
        <v>2</v>
      </c>
      <c r="P209">
        <v>1</v>
      </c>
      <c r="Q209">
        <v>4</v>
      </c>
      <c r="R209">
        <v>2153</v>
      </c>
      <c r="S209">
        <v>8</v>
      </c>
      <c r="T209">
        <v>3</v>
      </c>
      <c r="U209">
        <v>8</v>
      </c>
      <c r="V209">
        <v>1</v>
      </c>
      <c r="W209">
        <v>1</v>
      </c>
      <c r="X209">
        <v>7</v>
      </c>
      <c r="Y209">
        <f>IF(HR_data[[#This Row],[Attrition]]= "Yes",1,0)</f>
        <v>0</v>
      </c>
    </row>
    <row r="210" spans="1:25">
      <c r="A210">
        <v>209</v>
      </c>
      <c r="B210" t="s">
        <v>33</v>
      </c>
      <c r="C210" t="s">
        <v>51</v>
      </c>
      <c r="D210" t="s">
        <v>26</v>
      </c>
      <c r="E210" t="s">
        <v>36</v>
      </c>
      <c r="F210" t="s">
        <v>28</v>
      </c>
      <c r="G210">
        <v>1</v>
      </c>
      <c r="H210" t="s">
        <v>37</v>
      </c>
      <c r="I210" t="s">
        <v>50</v>
      </c>
      <c r="J210" t="s">
        <v>39</v>
      </c>
      <c r="K210" t="s">
        <v>33</v>
      </c>
      <c r="L210">
        <v>40</v>
      </c>
      <c r="M210">
        <v>9</v>
      </c>
      <c r="N210" t="s">
        <v>58</v>
      </c>
      <c r="O210">
        <v>4</v>
      </c>
      <c r="P210">
        <v>2</v>
      </c>
      <c r="Q210">
        <v>4</v>
      </c>
      <c r="R210">
        <v>4876</v>
      </c>
      <c r="S210">
        <v>5</v>
      </c>
      <c r="T210">
        <v>1</v>
      </c>
      <c r="U210">
        <v>3</v>
      </c>
      <c r="V210">
        <v>2</v>
      </c>
      <c r="W210">
        <v>0</v>
      </c>
      <c r="X210">
        <v>2</v>
      </c>
      <c r="Y210">
        <f>IF(HR_data[[#This Row],[Attrition]]= "Yes",1,0)</f>
        <v>0</v>
      </c>
    </row>
    <row r="211" spans="1:25">
      <c r="A211">
        <v>210</v>
      </c>
      <c r="B211" t="s">
        <v>33</v>
      </c>
      <c r="C211" t="s">
        <v>25</v>
      </c>
      <c r="D211" t="s">
        <v>35</v>
      </c>
      <c r="E211" t="s">
        <v>36</v>
      </c>
      <c r="F211" t="s">
        <v>45</v>
      </c>
      <c r="G211">
        <v>1</v>
      </c>
      <c r="H211" t="s">
        <v>37</v>
      </c>
      <c r="I211" t="s">
        <v>50</v>
      </c>
      <c r="J211" t="s">
        <v>48</v>
      </c>
      <c r="K211" t="s">
        <v>33</v>
      </c>
      <c r="L211">
        <v>46</v>
      </c>
      <c r="M211">
        <v>1</v>
      </c>
      <c r="N211" t="s">
        <v>44</v>
      </c>
      <c r="O211">
        <v>4</v>
      </c>
      <c r="P211">
        <v>3</v>
      </c>
      <c r="Q211">
        <v>1</v>
      </c>
      <c r="R211">
        <v>9396</v>
      </c>
      <c r="S211">
        <v>17</v>
      </c>
      <c r="T211">
        <v>3</v>
      </c>
      <c r="U211">
        <v>4</v>
      </c>
      <c r="V211">
        <v>2</v>
      </c>
      <c r="W211">
        <v>0</v>
      </c>
      <c r="X211">
        <v>3</v>
      </c>
      <c r="Y211">
        <f>IF(HR_data[[#This Row],[Attrition]]= "Yes",1,0)</f>
        <v>0</v>
      </c>
    </row>
    <row r="212" spans="1:25">
      <c r="A212">
        <v>211</v>
      </c>
      <c r="B212" t="s">
        <v>24</v>
      </c>
      <c r="C212" t="s">
        <v>25</v>
      </c>
      <c r="D212" t="s">
        <v>43</v>
      </c>
      <c r="E212" t="s">
        <v>27</v>
      </c>
      <c r="F212" t="s">
        <v>45</v>
      </c>
      <c r="G212">
        <v>1</v>
      </c>
      <c r="H212" t="s">
        <v>37</v>
      </c>
      <c r="I212" t="s">
        <v>30</v>
      </c>
      <c r="J212" t="s">
        <v>39</v>
      </c>
      <c r="K212" t="s">
        <v>33</v>
      </c>
      <c r="L212">
        <v>32</v>
      </c>
      <c r="M212">
        <v>4</v>
      </c>
      <c r="N212" t="s">
        <v>44</v>
      </c>
      <c r="O212">
        <v>4</v>
      </c>
      <c r="P212">
        <v>3</v>
      </c>
      <c r="Q212">
        <v>4</v>
      </c>
      <c r="R212">
        <v>10400</v>
      </c>
      <c r="S212">
        <v>14</v>
      </c>
      <c r="T212">
        <v>2</v>
      </c>
      <c r="U212">
        <v>14</v>
      </c>
      <c r="V212">
        <v>8</v>
      </c>
      <c r="W212">
        <v>9</v>
      </c>
      <c r="X212">
        <v>8</v>
      </c>
      <c r="Y212">
        <f>IF(HR_data[[#This Row],[Attrition]]= "Yes",1,0)</f>
        <v>1</v>
      </c>
    </row>
    <row r="213" spans="1:25">
      <c r="A213">
        <v>212</v>
      </c>
      <c r="B213" t="s">
        <v>33</v>
      </c>
      <c r="C213" t="s">
        <v>51</v>
      </c>
      <c r="D213" t="s">
        <v>43</v>
      </c>
      <c r="E213" t="s">
        <v>36</v>
      </c>
      <c r="F213" t="s">
        <v>28</v>
      </c>
      <c r="G213">
        <v>1</v>
      </c>
      <c r="H213" t="s">
        <v>37</v>
      </c>
      <c r="I213" t="s">
        <v>49</v>
      </c>
      <c r="J213" t="s">
        <v>31</v>
      </c>
      <c r="K213" t="s">
        <v>33</v>
      </c>
      <c r="L213">
        <v>30</v>
      </c>
      <c r="M213">
        <v>1</v>
      </c>
      <c r="N213" t="s">
        <v>40</v>
      </c>
      <c r="O213">
        <v>3</v>
      </c>
      <c r="P213">
        <v>3</v>
      </c>
      <c r="Q213">
        <v>3</v>
      </c>
      <c r="R213">
        <v>8474</v>
      </c>
      <c r="S213">
        <v>12</v>
      </c>
      <c r="T213">
        <v>3</v>
      </c>
      <c r="U213">
        <v>11</v>
      </c>
      <c r="V213">
        <v>8</v>
      </c>
      <c r="W213">
        <v>5</v>
      </c>
      <c r="X213">
        <v>8</v>
      </c>
      <c r="Y213">
        <f>IF(HR_data[[#This Row],[Attrition]]= "Yes",1,0)</f>
        <v>0</v>
      </c>
    </row>
    <row r="214" spans="1:25">
      <c r="A214">
        <v>213</v>
      </c>
      <c r="B214" t="s">
        <v>33</v>
      </c>
      <c r="C214" t="s">
        <v>34</v>
      </c>
      <c r="D214" t="s">
        <v>43</v>
      </c>
      <c r="E214" t="s">
        <v>27</v>
      </c>
      <c r="F214" t="s">
        <v>28</v>
      </c>
      <c r="G214">
        <v>1</v>
      </c>
      <c r="H214" t="s">
        <v>29</v>
      </c>
      <c r="I214" t="s">
        <v>30</v>
      </c>
      <c r="J214" t="s">
        <v>31</v>
      </c>
      <c r="K214" t="s">
        <v>33</v>
      </c>
      <c r="L214">
        <v>27</v>
      </c>
      <c r="M214">
        <v>20</v>
      </c>
      <c r="N214" t="s">
        <v>47</v>
      </c>
      <c r="O214">
        <v>4</v>
      </c>
      <c r="P214">
        <v>2</v>
      </c>
      <c r="Q214">
        <v>3</v>
      </c>
      <c r="R214">
        <v>9981</v>
      </c>
      <c r="S214">
        <v>7</v>
      </c>
      <c r="T214">
        <v>3</v>
      </c>
      <c r="U214">
        <v>7</v>
      </c>
      <c r="V214">
        <v>7</v>
      </c>
      <c r="W214">
        <v>0</v>
      </c>
      <c r="X214">
        <v>7</v>
      </c>
      <c r="Y214">
        <f>IF(HR_data[[#This Row],[Attrition]]= "Yes",1,0)</f>
        <v>0</v>
      </c>
    </row>
    <row r="215" spans="1:25">
      <c r="A215">
        <v>214</v>
      </c>
      <c r="B215" t="s">
        <v>33</v>
      </c>
      <c r="C215" t="s">
        <v>25</v>
      </c>
      <c r="D215" t="s">
        <v>35</v>
      </c>
      <c r="E215" t="s">
        <v>36</v>
      </c>
      <c r="F215" t="s">
        <v>28</v>
      </c>
      <c r="G215">
        <v>1</v>
      </c>
      <c r="H215" t="s">
        <v>37</v>
      </c>
      <c r="I215" t="s">
        <v>55</v>
      </c>
      <c r="J215" t="s">
        <v>39</v>
      </c>
      <c r="K215" t="s">
        <v>33</v>
      </c>
      <c r="L215">
        <v>51</v>
      </c>
      <c r="M215">
        <v>8</v>
      </c>
      <c r="N215" t="s">
        <v>44</v>
      </c>
      <c r="O215">
        <v>2</v>
      </c>
      <c r="P215">
        <v>3</v>
      </c>
      <c r="Q215">
        <v>2</v>
      </c>
      <c r="R215">
        <v>12490</v>
      </c>
      <c r="S215">
        <v>16</v>
      </c>
      <c r="T215">
        <v>1</v>
      </c>
      <c r="U215">
        <v>10</v>
      </c>
      <c r="V215">
        <v>9</v>
      </c>
      <c r="W215">
        <v>4</v>
      </c>
      <c r="X215">
        <v>7</v>
      </c>
      <c r="Y215">
        <f>IF(HR_data[[#This Row],[Attrition]]= "Yes",1,0)</f>
        <v>0</v>
      </c>
    </row>
    <row r="216" spans="1:25">
      <c r="A216">
        <v>215</v>
      </c>
      <c r="B216" t="s">
        <v>24</v>
      </c>
      <c r="C216" t="s">
        <v>25</v>
      </c>
      <c r="D216" t="s">
        <v>43</v>
      </c>
      <c r="E216" t="s">
        <v>36</v>
      </c>
      <c r="F216" t="s">
        <v>57</v>
      </c>
      <c r="G216">
        <v>1</v>
      </c>
      <c r="H216" t="s">
        <v>29</v>
      </c>
      <c r="I216" t="s">
        <v>38</v>
      </c>
      <c r="J216" t="s">
        <v>31</v>
      </c>
      <c r="K216" t="s">
        <v>24</v>
      </c>
      <c r="L216">
        <v>30</v>
      </c>
      <c r="M216">
        <v>3</v>
      </c>
      <c r="N216" t="s">
        <v>47</v>
      </c>
      <c r="O216">
        <v>4</v>
      </c>
      <c r="P216">
        <v>1</v>
      </c>
      <c r="Q216">
        <v>1</v>
      </c>
      <c r="R216">
        <v>2657</v>
      </c>
      <c r="S216">
        <v>8</v>
      </c>
      <c r="T216">
        <v>3</v>
      </c>
      <c r="U216">
        <v>5</v>
      </c>
      <c r="V216">
        <v>2</v>
      </c>
      <c r="W216">
        <v>0</v>
      </c>
      <c r="X216">
        <v>4</v>
      </c>
      <c r="Y216">
        <f>IF(HR_data[[#This Row],[Attrition]]= "Yes",1,0)</f>
        <v>1</v>
      </c>
    </row>
    <row r="217" spans="1:25">
      <c r="A217">
        <v>216</v>
      </c>
      <c r="B217" t="s">
        <v>33</v>
      </c>
      <c r="C217" t="s">
        <v>25</v>
      </c>
      <c r="D217" t="s">
        <v>26</v>
      </c>
      <c r="E217" t="s">
        <v>27</v>
      </c>
      <c r="F217" t="s">
        <v>28</v>
      </c>
      <c r="G217">
        <v>1</v>
      </c>
      <c r="H217" t="s">
        <v>29</v>
      </c>
      <c r="I217" t="s">
        <v>53</v>
      </c>
      <c r="J217" t="s">
        <v>31</v>
      </c>
      <c r="K217" t="s">
        <v>24</v>
      </c>
      <c r="L217">
        <v>41</v>
      </c>
      <c r="M217">
        <v>6</v>
      </c>
      <c r="N217" t="s">
        <v>47</v>
      </c>
      <c r="O217">
        <v>4</v>
      </c>
      <c r="P217">
        <v>3</v>
      </c>
      <c r="Q217">
        <v>4</v>
      </c>
      <c r="R217">
        <v>13591</v>
      </c>
      <c r="S217">
        <v>16</v>
      </c>
      <c r="T217">
        <v>3</v>
      </c>
      <c r="U217">
        <v>1</v>
      </c>
      <c r="V217">
        <v>0</v>
      </c>
      <c r="W217">
        <v>0</v>
      </c>
      <c r="X217">
        <v>0</v>
      </c>
      <c r="Y217">
        <f>IF(HR_data[[#This Row],[Attrition]]= "Yes",1,0)</f>
        <v>0</v>
      </c>
    </row>
    <row r="218" spans="1:25">
      <c r="A218">
        <v>217</v>
      </c>
      <c r="B218" t="s">
        <v>24</v>
      </c>
      <c r="C218" t="s">
        <v>34</v>
      </c>
      <c r="D218" t="s">
        <v>43</v>
      </c>
      <c r="E218" t="s">
        <v>27</v>
      </c>
      <c r="F218" t="s">
        <v>56</v>
      </c>
      <c r="G218">
        <v>1</v>
      </c>
      <c r="H218" t="s">
        <v>29</v>
      </c>
      <c r="I218" t="s">
        <v>30</v>
      </c>
      <c r="J218" t="s">
        <v>31</v>
      </c>
      <c r="K218" t="s">
        <v>33</v>
      </c>
      <c r="L218">
        <v>30</v>
      </c>
      <c r="M218">
        <v>26</v>
      </c>
      <c r="N218" t="s">
        <v>44</v>
      </c>
      <c r="O218">
        <v>3</v>
      </c>
      <c r="P218">
        <v>2</v>
      </c>
      <c r="Q218">
        <v>1</v>
      </c>
      <c r="R218">
        <v>6696</v>
      </c>
      <c r="S218">
        <v>9</v>
      </c>
      <c r="T218">
        <v>2</v>
      </c>
      <c r="U218">
        <v>6</v>
      </c>
      <c r="V218">
        <v>3</v>
      </c>
      <c r="W218">
        <v>0</v>
      </c>
      <c r="X218">
        <v>1</v>
      </c>
      <c r="Y218">
        <f>IF(HR_data[[#This Row],[Attrition]]= "Yes",1,0)</f>
        <v>1</v>
      </c>
    </row>
    <row r="219" spans="1:25">
      <c r="A219">
        <v>218</v>
      </c>
      <c r="B219" t="s">
        <v>24</v>
      </c>
      <c r="C219" t="s">
        <v>25</v>
      </c>
      <c r="D219" t="s">
        <v>43</v>
      </c>
      <c r="E219" t="s">
        <v>36</v>
      </c>
      <c r="F219" t="s">
        <v>57</v>
      </c>
      <c r="G219">
        <v>1</v>
      </c>
      <c r="H219" t="s">
        <v>37</v>
      </c>
      <c r="I219" t="s">
        <v>38</v>
      </c>
      <c r="J219" t="s">
        <v>31</v>
      </c>
      <c r="K219" t="s">
        <v>33</v>
      </c>
      <c r="L219">
        <v>29</v>
      </c>
      <c r="M219">
        <v>1</v>
      </c>
      <c r="N219" t="s">
        <v>47</v>
      </c>
      <c r="O219">
        <v>3</v>
      </c>
      <c r="P219">
        <v>1</v>
      </c>
      <c r="Q219">
        <v>3</v>
      </c>
      <c r="R219">
        <v>2058</v>
      </c>
      <c r="S219">
        <v>7</v>
      </c>
      <c r="T219">
        <v>2</v>
      </c>
      <c r="U219">
        <v>6</v>
      </c>
      <c r="V219">
        <v>2</v>
      </c>
      <c r="W219">
        <v>1</v>
      </c>
      <c r="X219">
        <v>5</v>
      </c>
      <c r="Y219">
        <f>IF(HR_data[[#This Row],[Attrition]]= "Yes",1,0)</f>
        <v>1</v>
      </c>
    </row>
    <row r="220" spans="1:25">
      <c r="A220">
        <v>219</v>
      </c>
      <c r="B220" t="s">
        <v>33</v>
      </c>
      <c r="C220" t="s">
        <v>51</v>
      </c>
      <c r="D220" t="s">
        <v>35</v>
      </c>
      <c r="E220" t="s">
        <v>27</v>
      </c>
      <c r="F220" t="s">
        <v>45</v>
      </c>
      <c r="G220">
        <v>1</v>
      </c>
      <c r="H220" t="s">
        <v>29</v>
      </c>
      <c r="I220" t="s">
        <v>30</v>
      </c>
      <c r="J220" t="s">
        <v>31</v>
      </c>
      <c r="K220" t="s">
        <v>33</v>
      </c>
      <c r="L220">
        <v>45</v>
      </c>
      <c r="M220">
        <v>6</v>
      </c>
      <c r="N220" t="s">
        <v>47</v>
      </c>
      <c r="O220">
        <v>4</v>
      </c>
      <c r="P220">
        <v>3</v>
      </c>
      <c r="Q220">
        <v>4</v>
      </c>
      <c r="R220">
        <v>8865</v>
      </c>
      <c r="S220">
        <v>23</v>
      </c>
      <c r="T220">
        <v>3</v>
      </c>
      <c r="U220">
        <v>19</v>
      </c>
      <c r="V220">
        <v>7</v>
      </c>
      <c r="W220">
        <v>12</v>
      </c>
      <c r="X220">
        <v>8</v>
      </c>
      <c r="Y220">
        <f>IF(HR_data[[#This Row],[Attrition]]= "Yes",1,0)</f>
        <v>0</v>
      </c>
    </row>
    <row r="221" spans="1:25">
      <c r="A221">
        <v>220</v>
      </c>
      <c r="B221" t="s">
        <v>33</v>
      </c>
      <c r="C221" t="s">
        <v>25</v>
      </c>
      <c r="D221" t="s">
        <v>35</v>
      </c>
      <c r="E221" t="s">
        <v>27</v>
      </c>
      <c r="F221" t="s">
        <v>56</v>
      </c>
      <c r="G221">
        <v>1</v>
      </c>
      <c r="H221" t="s">
        <v>29</v>
      </c>
      <c r="I221" t="s">
        <v>30</v>
      </c>
      <c r="J221" t="s">
        <v>39</v>
      </c>
      <c r="K221" t="s">
        <v>33</v>
      </c>
      <c r="L221">
        <v>54</v>
      </c>
      <c r="M221">
        <v>3</v>
      </c>
      <c r="N221" t="s">
        <v>47</v>
      </c>
      <c r="O221">
        <v>4</v>
      </c>
      <c r="P221">
        <v>2</v>
      </c>
      <c r="Q221">
        <v>1</v>
      </c>
      <c r="R221">
        <v>5940</v>
      </c>
      <c r="S221">
        <v>16</v>
      </c>
      <c r="T221">
        <v>3</v>
      </c>
      <c r="U221">
        <v>6</v>
      </c>
      <c r="V221">
        <v>2</v>
      </c>
      <c r="W221">
        <v>0</v>
      </c>
      <c r="X221">
        <v>5</v>
      </c>
      <c r="Y221">
        <f>IF(HR_data[[#This Row],[Attrition]]= "Yes",1,0)</f>
        <v>0</v>
      </c>
    </row>
    <row r="222" spans="1:25">
      <c r="A222">
        <v>221</v>
      </c>
      <c r="B222" t="s">
        <v>33</v>
      </c>
      <c r="C222" t="s">
        <v>25</v>
      </c>
      <c r="D222" t="s">
        <v>26</v>
      </c>
      <c r="E222" t="s">
        <v>36</v>
      </c>
      <c r="F222" t="s">
        <v>28</v>
      </c>
      <c r="G222">
        <v>1</v>
      </c>
      <c r="H222" t="s">
        <v>37</v>
      </c>
      <c r="I222" t="s">
        <v>42</v>
      </c>
      <c r="J222" t="s">
        <v>31</v>
      </c>
      <c r="K222" t="s">
        <v>33</v>
      </c>
      <c r="L222">
        <v>36</v>
      </c>
      <c r="M222">
        <v>5</v>
      </c>
      <c r="N222" t="s">
        <v>32</v>
      </c>
      <c r="O222">
        <v>4</v>
      </c>
      <c r="P222">
        <v>2</v>
      </c>
      <c r="Q222">
        <v>2</v>
      </c>
      <c r="R222">
        <v>5914</v>
      </c>
      <c r="S222">
        <v>16</v>
      </c>
      <c r="T222">
        <v>4</v>
      </c>
      <c r="U222">
        <v>13</v>
      </c>
      <c r="V222">
        <v>11</v>
      </c>
      <c r="W222">
        <v>3</v>
      </c>
      <c r="X222">
        <v>7</v>
      </c>
      <c r="Y222">
        <f>IF(HR_data[[#This Row],[Attrition]]= "Yes",1,0)</f>
        <v>0</v>
      </c>
    </row>
    <row r="223" spans="1:25">
      <c r="A223">
        <v>222</v>
      </c>
      <c r="B223" t="s">
        <v>33</v>
      </c>
      <c r="C223" t="s">
        <v>25</v>
      </c>
      <c r="D223" t="s">
        <v>43</v>
      </c>
      <c r="E223" t="s">
        <v>36</v>
      </c>
      <c r="F223" t="s">
        <v>45</v>
      </c>
      <c r="G223">
        <v>1</v>
      </c>
      <c r="H223" t="s">
        <v>29</v>
      </c>
      <c r="I223" t="s">
        <v>38</v>
      </c>
      <c r="J223" t="s">
        <v>39</v>
      </c>
      <c r="K223" t="s">
        <v>33</v>
      </c>
      <c r="L223">
        <v>33</v>
      </c>
      <c r="M223">
        <v>4</v>
      </c>
      <c r="N223" t="s">
        <v>44</v>
      </c>
      <c r="O223">
        <v>3</v>
      </c>
      <c r="P223">
        <v>1</v>
      </c>
      <c r="Q223">
        <v>2</v>
      </c>
      <c r="R223">
        <v>2622</v>
      </c>
      <c r="S223">
        <v>7</v>
      </c>
      <c r="T223">
        <v>3</v>
      </c>
      <c r="U223">
        <v>3</v>
      </c>
      <c r="V223">
        <v>2</v>
      </c>
      <c r="W223">
        <v>1</v>
      </c>
      <c r="X223">
        <v>1</v>
      </c>
      <c r="Y223">
        <f>IF(HR_data[[#This Row],[Attrition]]= "Yes",1,0)</f>
        <v>0</v>
      </c>
    </row>
    <row r="224" spans="1:25">
      <c r="A224">
        <v>223</v>
      </c>
      <c r="B224" t="s">
        <v>33</v>
      </c>
      <c r="C224" t="s">
        <v>34</v>
      </c>
      <c r="D224" t="s">
        <v>26</v>
      </c>
      <c r="E224" t="s">
        <v>36</v>
      </c>
      <c r="F224" t="s">
        <v>41</v>
      </c>
      <c r="G224">
        <v>1</v>
      </c>
      <c r="H224" t="s">
        <v>37</v>
      </c>
      <c r="I224" t="s">
        <v>55</v>
      </c>
      <c r="J224" t="s">
        <v>48</v>
      </c>
      <c r="K224" t="s">
        <v>24</v>
      </c>
      <c r="L224">
        <v>37</v>
      </c>
      <c r="M224">
        <v>11</v>
      </c>
      <c r="N224" t="s">
        <v>47</v>
      </c>
      <c r="O224">
        <v>2</v>
      </c>
      <c r="P224">
        <v>3</v>
      </c>
      <c r="Q224">
        <v>4</v>
      </c>
      <c r="R224">
        <v>12185</v>
      </c>
      <c r="S224">
        <v>10</v>
      </c>
      <c r="T224">
        <v>3</v>
      </c>
      <c r="U224">
        <v>10</v>
      </c>
      <c r="V224">
        <v>8</v>
      </c>
      <c r="W224">
        <v>0</v>
      </c>
      <c r="X224">
        <v>7</v>
      </c>
      <c r="Y224">
        <f>IF(HR_data[[#This Row],[Attrition]]= "Yes",1,0)</f>
        <v>0</v>
      </c>
    </row>
    <row r="225" spans="1:25">
      <c r="A225">
        <v>224</v>
      </c>
      <c r="B225" t="s">
        <v>33</v>
      </c>
      <c r="C225" t="s">
        <v>25</v>
      </c>
      <c r="D225" t="s">
        <v>26</v>
      </c>
      <c r="E225" t="s">
        <v>27</v>
      </c>
      <c r="F225" t="s">
        <v>28</v>
      </c>
      <c r="G225">
        <v>1</v>
      </c>
      <c r="H225" t="s">
        <v>37</v>
      </c>
      <c r="I225" t="s">
        <v>30</v>
      </c>
      <c r="J225" t="s">
        <v>48</v>
      </c>
      <c r="K225" t="s">
        <v>33</v>
      </c>
      <c r="L225">
        <v>38</v>
      </c>
      <c r="M225">
        <v>3</v>
      </c>
      <c r="N225" t="s">
        <v>47</v>
      </c>
      <c r="O225">
        <v>1</v>
      </c>
      <c r="P225">
        <v>3</v>
      </c>
      <c r="Q225">
        <v>3</v>
      </c>
      <c r="R225">
        <v>10609</v>
      </c>
      <c r="S225">
        <v>17</v>
      </c>
      <c r="T225">
        <v>2</v>
      </c>
      <c r="U225">
        <v>16</v>
      </c>
      <c r="V225">
        <v>10</v>
      </c>
      <c r="W225">
        <v>5</v>
      </c>
      <c r="X225">
        <v>13</v>
      </c>
      <c r="Y225">
        <f>IF(HR_data[[#This Row],[Attrition]]= "Yes",1,0)</f>
        <v>0</v>
      </c>
    </row>
    <row r="226" spans="1:25">
      <c r="A226">
        <v>225</v>
      </c>
      <c r="B226" t="s">
        <v>33</v>
      </c>
      <c r="C226" t="s">
        <v>51</v>
      </c>
      <c r="D226" t="s">
        <v>43</v>
      </c>
      <c r="E226" t="s">
        <v>36</v>
      </c>
      <c r="F226" t="s">
        <v>45</v>
      </c>
      <c r="G226">
        <v>1</v>
      </c>
      <c r="H226" t="s">
        <v>37</v>
      </c>
      <c r="I226" t="s">
        <v>49</v>
      </c>
      <c r="J226" t="s">
        <v>39</v>
      </c>
      <c r="K226" t="s">
        <v>33</v>
      </c>
      <c r="L226">
        <v>31</v>
      </c>
      <c r="M226">
        <v>1</v>
      </c>
      <c r="N226" t="s">
        <v>44</v>
      </c>
      <c r="O226">
        <v>3</v>
      </c>
      <c r="P226">
        <v>2</v>
      </c>
      <c r="Q226">
        <v>3</v>
      </c>
      <c r="R226">
        <v>4345</v>
      </c>
      <c r="S226">
        <v>6</v>
      </c>
      <c r="T226">
        <v>3</v>
      </c>
      <c r="U226">
        <v>5</v>
      </c>
      <c r="V226">
        <v>4</v>
      </c>
      <c r="W226">
        <v>1</v>
      </c>
      <c r="X226">
        <v>4</v>
      </c>
      <c r="Y226">
        <f>IF(HR_data[[#This Row],[Attrition]]= "Yes",1,0)</f>
        <v>0</v>
      </c>
    </row>
    <row r="227" spans="1:25">
      <c r="A227">
        <v>226</v>
      </c>
      <c r="B227" t="s">
        <v>33</v>
      </c>
      <c r="C227" t="s">
        <v>25</v>
      </c>
      <c r="D227" t="s">
        <v>46</v>
      </c>
      <c r="E227" t="s">
        <v>36</v>
      </c>
      <c r="F227" t="s">
        <v>28</v>
      </c>
      <c r="G227">
        <v>1</v>
      </c>
      <c r="H227" t="s">
        <v>37</v>
      </c>
      <c r="I227" t="s">
        <v>38</v>
      </c>
      <c r="J227" t="s">
        <v>39</v>
      </c>
      <c r="K227" t="s">
        <v>33</v>
      </c>
      <c r="L227">
        <v>59</v>
      </c>
      <c r="M227">
        <v>3</v>
      </c>
      <c r="N227" t="s">
        <v>47</v>
      </c>
      <c r="O227">
        <v>3</v>
      </c>
      <c r="P227">
        <v>1</v>
      </c>
      <c r="Q227">
        <v>4</v>
      </c>
      <c r="R227">
        <v>2177</v>
      </c>
      <c r="S227">
        <v>7</v>
      </c>
      <c r="T227">
        <v>3</v>
      </c>
      <c r="U227">
        <v>1</v>
      </c>
      <c r="V227">
        <v>0</v>
      </c>
      <c r="W227">
        <v>0</v>
      </c>
      <c r="X227">
        <v>0</v>
      </c>
      <c r="Y227">
        <f>IF(HR_data[[#This Row],[Attrition]]= "Yes",1,0)</f>
        <v>0</v>
      </c>
    </row>
    <row r="228" spans="1:25">
      <c r="A228">
        <v>227</v>
      </c>
      <c r="B228" t="s">
        <v>33</v>
      </c>
      <c r="C228" t="s">
        <v>34</v>
      </c>
      <c r="D228" t="s">
        <v>26</v>
      </c>
      <c r="E228" t="s">
        <v>27</v>
      </c>
      <c r="F228" t="s">
        <v>56</v>
      </c>
      <c r="G228">
        <v>1</v>
      </c>
      <c r="H228" t="s">
        <v>37</v>
      </c>
      <c r="I228" t="s">
        <v>54</v>
      </c>
      <c r="J228" t="s">
        <v>48</v>
      </c>
      <c r="K228" t="s">
        <v>33</v>
      </c>
      <c r="L228">
        <v>37</v>
      </c>
      <c r="M228">
        <v>4</v>
      </c>
      <c r="N228" t="s">
        <v>44</v>
      </c>
      <c r="O228">
        <v>1</v>
      </c>
      <c r="P228">
        <v>1</v>
      </c>
      <c r="Q228">
        <v>4</v>
      </c>
      <c r="R228">
        <v>2793</v>
      </c>
      <c r="S228">
        <v>13</v>
      </c>
      <c r="T228">
        <v>3</v>
      </c>
      <c r="U228">
        <v>9</v>
      </c>
      <c r="V228">
        <v>8</v>
      </c>
      <c r="W228">
        <v>5</v>
      </c>
      <c r="X228">
        <v>8</v>
      </c>
      <c r="Y228">
        <f>IF(HR_data[[#This Row],[Attrition]]= "Yes",1,0)</f>
        <v>0</v>
      </c>
    </row>
    <row r="229" spans="1:25">
      <c r="A229">
        <v>228</v>
      </c>
      <c r="B229" t="s">
        <v>33</v>
      </c>
      <c r="C229" t="s">
        <v>34</v>
      </c>
      <c r="D229" t="s">
        <v>43</v>
      </c>
      <c r="E229" t="s">
        <v>27</v>
      </c>
      <c r="F229" t="s">
        <v>45</v>
      </c>
      <c r="G229">
        <v>1</v>
      </c>
      <c r="H229" t="s">
        <v>29</v>
      </c>
      <c r="I229" t="s">
        <v>30</v>
      </c>
      <c r="J229" t="s">
        <v>39</v>
      </c>
      <c r="K229" t="s">
        <v>33</v>
      </c>
      <c r="L229">
        <v>29</v>
      </c>
      <c r="M229">
        <v>1</v>
      </c>
      <c r="N229" t="s">
        <v>40</v>
      </c>
      <c r="O229">
        <v>2</v>
      </c>
      <c r="P229">
        <v>3</v>
      </c>
      <c r="Q229">
        <v>4</v>
      </c>
      <c r="R229">
        <v>7918</v>
      </c>
      <c r="S229">
        <v>11</v>
      </c>
      <c r="T229">
        <v>3</v>
      </c>
      <c r="U229">
        <v>11</v>
      </c>
      <c r="V229">
        <v>10</v>
      </c>
      <c r="W229">
        <v>4</v>
      </c>
      <c r="X229">
        <v>1</v>
      </c>
      <c r="Y229">
        <f>IF(HR_data[[#This Row],[Attrition]]= "Yes",1,0)</f>
        <v>0</v>
      </c>
    </row>
    <row r="230" spans="1:25">
      <c r="A230">
        <v>229</v>
      </c>
      <c r="B230" t="s">
        <v>33</v>
      </c>
      <c r="C230" t="s">
        <v>34</v>
      </c>
      <c r="D230" t="s">
        <v>26</v>
      </c>
      <c r="E230" t="s">
        <v>27</v>
      </c>
      <c r="F230" t="s">
        <v>56</v>
      </c>
      <c r="G230">
        <v>1</v>
      </c>
      <c r="H230" t="s">
        <v>29</v>
      </c>
      <c r="I230" t="s">
        <v>30</v>
      </c>
      <c r="J230" t="s">
        <v>31</v>
      </c>
      <c r="K230" t="s">
        <v>33</v>
      </c>
      <c r="L230">
        <v>35</v>
      </c>
      <c r="M230">
        <v>1</v>
      </c>
      <c r="N230" t="s">
        <v>47</v>
      </c>
      <c r="O230">
        <v>3</v>
      </c>
      <c r="P230">
        <v>3</v>
      </c>
      <c r="Q230">
        <v>3</v>
      </c>
      <c r="R230">
        <v>8789</v>
      </c>
      <c r="S230">
        <v>10</v>
      </c>
      <c r="T230">
        <v>4</v>
      </c>
      <c r="U230">
        <v>10</v>
      </c>
      <c r="V230">
        <v>7</v>
      </c>
      <c r="W230">
        <v>0</v>
      </c>
      <c r="X230">
        <v>8</v>
      </c>
      <c r="Y230">
        <f>IF(HR_data[[#This Row],[Attrition]]= "Yes",1,0)</f>
        <v>0</v>
      </c>
    </row>
    <row r="231" spans="1:25">
      <c r="A231">
        <v>230</v>
      </c>
      <c r="B231" t="s">
        <v>24</v>
      </c>
      <c r="C231" t="s">
        <v>25</v>
      </c>
      <c r="D231" t="s">
        <v>43</v>
      </c>
      <c r="E231" t="s">
        <v>36</v>
      </c>
      <c r="F231" t="s">
        <v>45</v>
      </c>
      <c r="G231">
        <v>1</v>
      </c>
      <c r="H231" t="s">
        <v>37</v>
      </c>
      <c r="I231" t="s">
        <v>38</v>
      </c>
      <c r="J231" t="s">
        <v>31</v>
      </c>
      <c r="K231" t="s">
        <v>24</v>
      </c>
      <c r="L231">
        <v>29</v>
      </c>
      <c r="M231">
        <v>18</v>
      </c>
      <c r="N231" t="s">
        <v>40</v>
      </c>
      <c r="O231">
        <v>3</v>
      </c>
      <c r="P231">
        <v>1</v>
      </c>
      <c r="Q231">
        <v>4</v>
      </c>
      <c r="R231">
        <v>2389</v>
      </c>
      <c r="S231">
        <v>4</v>
      </c>
      <c r="T231">
        <v>2</v>
      </c>
      <c r="U231">
        <v>4</v>
      </c>
      <c r="V231">
        <v>3</v>
      </c>
      <c r="W231">
        <v>0</v>
      </c>
      <c r="X231">
        <v>1</v>
      </c>
      <c r="Y231">
        <f>IF(HR_data[[#This Row],[Attrition]]= "Yes",1,0)</f>
        <v>1</v>
      </c>
    </row>
    <row r="232" spans="1:25">
      <c r="A232">
        <v>231</v>
      </c>
      <c r="B232" t="s">
        <v>33</v>
      </c>
      <c r="C232" t="s">
        <v>25</v>
      </c>
      <c r="D232" t="s">
        <v>35</v>
      </c>
      <c r="E232" t="s">
        <v>36</v>
      </c>
      <c r="F232" t="s">
        <v>28</v>
      </c>
      <c r="G232">
        <v>1</v>
      </c>
      <c r="H232" t="s">
        <v>29</v>
      </c>
      <c r="I232" t="s">
        <v>42</v>
      </c>
      <c r="J232" t="s">
        <v>31</v>
      </c>
      <c r="K232" t="s">
        <v>33</v>
      </c>
      <c r="L232">
        <v>52</v>
      </c>
      <c r="M232">
        <v>2</v>
      </c>
      <c r="N232" t="s">
        <v>47</v>
      </c>
      <c r="O232">
        <v>3</v>
      </c>
      <c r="P232">
        <v>1</v>
      </c>
      <c r="Q232">
        <v>4</v>
      </c>
      <c r="R232">
        <v>3212</v>
      </c>
      <c r="S232">
        <v>6</v>
      </c>
      <c r="T232">
        <v>2</v>
      </c>
      <c r="U232">
        <v>2</v>
      </c>
      <c r="V232">
        <v>2</v>
      </c>
      <c r="W232">
        <v>2</v>
      </c>
      <c r="X232">
        <v>2</v>
      </c>
      <c r="Y232">
        <f>IF(HR_data[[#This Row],[Attrition]]= "Yes",1,0)</f>
        <v>0</v>
      </c>
    </row>
    <row r="233" spans="1:25">
      <c r="A233">
        <v>232</v>
      </c>
      <c r="B233" t="s">
        <v>33</v>
      </c>
      <c r="C233" t="s">
        <v>25</v>
      </c>
      <c r="D233" t="s">
        <v>26</v>
      </c>
      <c r="E233" t="s">
        <v>36</v>
      </c>
      <c r="F233" t="s">
        <v>57</v>
      </c>
      <c r="G233">
        <v>1</v>
      </c>
      <c r="H233" t="s">
        <v>37</v>
      </c>
      <c r="I233" t="s">
        <v>53</v>
      </c>
      <c r="J233" t="s">
        <v>39</v>
      </c>
      <c r="K233" t="s">
        <v>33</v>
      </c>
      <c r="L233">
        <v>42</v>
      </c>
      <c r="M233">
        <v>4</v>
      </c>
      <c r="N233" t="s">
        <v>32</v>
      </c>
      <c r="O233">
        <v>3</v>
      </c>
      <c r="P233">
        <v>5</v>
      </c>
      <c r="Q233">
        <v>4</v>
      </c>
      <c r="R233">
        <v>19232</v>
      </c>
      <c r="S233">
        <v>22</v>
      </c>
      <c r="T233">
        <v>3</v>
      </c>
      <c r="U233">
        <v>22</v>
      </c>
      <c r="V233">
        <v>17</v>
      </c>
      <c r="W233">
        <v>11</v>
      </c>
      <c r="X233">
        <v>15</v>
      </c>
      <c r="Y233">
        <f>IF(HR_data[[#This Row],[Attrition]]= "Yes",1,0)</f>
        <v>0</v>
      </c>
    </row>
    <row r="234" spans="1:25">
      <c r="A234">
        <v>233</v>
      </c>
      <c r="B234" t="s">
        <v>33</v>
      </c>
      <c r="C234" t="s">
        <v>25</v>
      </c>
      <c r="D234" t="s">
        <v>46</v>
      </c>
      <c r="E234" t="s">
        <v>59</v>
      </c>
      <c r="F234" t="s">
        <v>45</v>
      </c>
      <c r="G234">
        <v>1</v>
      </c>
      <c r="H234" t="s">
        <v>37</v>
      </c>
      <c r="I234" t="s">
        <v>60</v>
      </c>
      <c r="J234" t="s">
        <v>39</v>
      </c>
      <c r="K234" t="s">
        <v>33</v>
      </c>
      <c r="L234">
        <v>59</v>
      </c>
      <c r="M234">
        <v>6</v>
      </c>
      <c r="N234" t="s">
        <v>32</v>
      </c>
      <c r="O234">
        <v>2</v>
      </c>
      <c r="P234">
        <v>1</v>
      </c>
      <c r="Q234">
        <v>3</v>
      </c>
      <c r="R234">
        <v>2267</v>
      </c>
      <c r="S234">
        <v>7</v>
      </c>
      <c r="T234">
        <v>2</v>
      </c>
      <c r="U234">
        <v>2</v>
      </c>
      <c r="V234">
        <v>2</v>
      </c>
      <c r="W234">
        <v>2</v>
      </c>
      <c r="X234">
        <v>2</v>
      </c>
      <c r="Y234">
        <f>IF(HR_data[[#This Row],[Attrition]]= "Yes",1,0)</f>
        <v>0</v>
      </c>
    </row>
    <row r="235" spans="1:25">
      <c r="A235">
        <v>234</v>
      </c>
      <c r="B235" t="s">
        <v>33</v>
      </c>
      <c r="C235" t="s">
        <v>25</v>
      </c>
      <c r="D235" t="s">
        <v>35</v>
      </c>
      <c r="E235" t="s">
        <v>27</v>
      </c>
      <c r="F235" t="s">
        <v>45</v>
      </c>
      <c r="G235">
        <v>1</v>
      </c>
      <c r="H235" t="s">
        <v>29</v>
      </c>
      <c r="I235" t="s">
        <v>53</v>
      </c>
      <c r="J235" t="s">
        <v>48</v>
      </c>
      <c r="K235" t="s">
        <v>33</v>
      </c>
      <c r="L235">
        <v>50</v>
      </c>
      <c r="M235">
        <v>1</v>
      </c>
      <c r="N235" t="s">
        <v>44</v>
      </c>
      <c r="O235">
        <v>4</v>
      </c>
      <c r="P235">
        <v>5</v>
      </c>
      <c r="Q235">
        <v>4</v>
      </c>
      <c r="R235">
        <v>19517</v>
      </c>
      <c r="S235">
        <v>32</v>
      </c>
      <c r="T235">
        <v>2</v>
      </c>
      <c r="U235">
        <v>7</v>
      </c>
      <c r="V235">
        <v>0</v>
      </c>
      <c r="W235">
        <v>0</v>
      </c>
      <c r="X235">
        <v>6</v>
      </c>
      <c r="Y235">
        <f>IF(HR_data[[#This Row],[Attrition]]= "Yes",1,0)</f>
        <v>0</v>
      </c>
    </row>
    <row r="236" spans="1:25">
      <c r="A236">
        <v>235</v>
      </c>
      <c r="B236" t="s">
        <v>24</v>
      </c>
      <c r="C236" t="s">
        <v>25</v>
      </c>
      <c r="D236" t="s">
        <v>43</v>
      </c>
      <c r="E236" t="s">
        <v>36</v>
      </c>
      <c r="F236" t="s">
        <v>45</v>
      </c>
      <c r="G236">
        <v>1</v>
      </c>
      <c r="H236" t="s">
        <v>37</v>
      </c>
      <c r="I236" t="s">
        <v>42</v>
      </c>
      <c r="J236" t="s">
        <v>39</v>
      </c>
      <c r="K236" t="s">
        <v>24</v>
      </c>
      <c r="L236">
        <v>33</v>
      </c>
      <c r="M236">
        <v>14</v>
      </c>
      <c r="N236" t="s">
        <v>47</v>
      </c>
      <c r="O236">
        <v>3</v>
      </c>
      <c r="P236">
        <v>1</v>
      </c>
      <c r="Q236">
        <v>4</v>
      </c>
      <c r="R236">
        <v>2436</v>
      </c>
      <c r="S236">
        <v>8</v>
      </c>
      <c r="T236">
        <v>1</v>
      </c>
      <c r="U236">
        <v>5</v>
      </c>
      <c r="V236">
        <v>4</v>
      </c>
      <c r="W236">
        <v>0</v>
      </c>
      <c r="X236">
        <v>4</v>
      </c>
      <c r="Y236">
        <f>IF(HR_data[[#This Row],[Attrition]]= "Yes",1,0)</f>
        <v>1</v>
      </c>
    </row>
    <row r="237" spans="1:25">
      <c r="A237">
        <v>236</v>
      </c>
      <c r="B237" t="s">
        <v>33</v>
      </c>
      <c r="C237" t="s">
        <v>25</v>
      </c>
      <c r="D237" t="s">
        <v>26</v>
      </c>
      <c r="E237" t="s">
        <v>27</v>
      </c>
      <c r="F237" t="s">
        <v>56</v>
      </c>
      <c r="G237">
        <v>1</v>
      </c>
      <c r="H237" t="s">
        <v>29</v>
      </c>
      <c r="I237" t="s">
        <v>53</v>
      </c>
      <c r="J237" t="s">
        <v>39</v>
      </c>
      <c r="K237" t="s">
        <v>24</v>
      </c>
      <c r="L237">
        <v>43</v>
      </c>
      <c r="M237">
        <v>16</v>
      </c>
      <c r="N237" t="s">
        <v>47</v>
      </c>
      <c r="O237">
        <v>4</v>
      </c>
      <c r="P237">
        <v>4</v>
      </c>
      <c r="Q237">
        <v>4</v>
      </c>
      <c r="R237">
        <v>16064</v>
      </c>
      <c r="S237">
        <v>22</v>
      </c>
      <c r="T237">
        <v>3</v>
      </c>
      <c r="U237">
        <v>17</v>
      </c>
      <c r="V237">
        <v>13</v>
      </c>
      <c r="W237">
        <v>1</v>
      </c>
      <c r="X237">
        <v>9</v>
      </c>
      <c r="Y237">
        <f>IF(HR_data[[#This Row],[Attrition]]= "Yes",1,0)</f>
        <v>0</v>
      </c>
    </row>
    <row r="238" spans="1:25">
      <c r="A238">
        <v>237</v>
      </c>
      <c r="B238" t="s">
        <v>24</v>
      </c>
      <c r="C238" t="s">
        <v>25</v>
      </c>
      <c r="D238" t="s">
        <v>43</v>
      </c>
      <c r="E238" t="s">
        <v>36</v>
      </c>
      <c r="F238" t="s">
        <v>28</v>
      </c>
      <c r="G238">
        <v>1</v>
      </c>
      <c r="H238" t="s">
        <v>29</v>
      </c>
      <c r="I238" t="s">
        <v>42</v>
      </c>
      <c r="J238" t="s">
        <v>39</v>
      </c>
      <c r="K238" t="s">
        <v>33</v>
      </c>
      <c r="L238">
        <v>33</v>
      </c>
      <c r="M238">
        <v>2</v>
      </c>
      <c r="N238" t="s">
        <v>32</v>
      </c>
      <c r="O238">
        <v>1</v>
      </c>
      <c r="P238">
        <v>1</v>
      </c>
      <c r="Q238">
        <v>1</v>
      </c>
      <c r="R238">
        <v>2707</v>
      </c>
      <c r="S238">
        <v>13</v>
      </c>
      <c r="T238">
        <v>4</v>
      </c>
      <c r="U238">
        <v>9</v>
      </c>
      <c r="V238">
        <v>7</v>
      </c>
      <c r="W238">
        <v>1</v>
      </c>
      <c r="X238">
        <v>7</v>
      </c>
      <c r="Y238">
        <f>IF(HR_data[[#This Row],[Attrition]]= "Yes",1,0)</f>
        <v>1</v>
      </c>
    </row>
    <row r="239" spans="1:25">
      <c r="A239">
        <v>238</v>
      </c>
      <c r="B239" t="s">
        <v>33</v>
      </c>
      <c r="C239" t="s">
        <v>51</v>
      </c>
      <c r="D239" t="s">
        <v>35</v>
      </c>
      <c r="E239" t="s">
        <v>27</v>
      </c>
      <c r="F239" t="s">
        <v>28</v>
      </c>
      <c r="G239">
        <v>1</v>
      </c>
      <c r="H239" t="s">
        <v>37</v>
      </c>
      <c r="I239" t="s">
        <v>53</v>
      </c>
      <c r="J239" t="s">
        <v>31</v>
      </c>
      <c r="K239" t="s">
        <v>24</v>
      </c>
      <c r="L239">
        <v>52</v>
      </c>
      <c r="M239">
        <v>2</v>
      </c>
      <c r="N239" t="s">
        <v>44</v>
      </c>
      <c r="O239">
        <v>1</v>
      </c>
      <c r="P239">
        <v>5</v>
      </c>
      <c r="Q239">
        <v>3</v>
      </c>
      <c r="R239">
        <v>19068</v>
      </c>
      <c r="S239">
        <v>33</v>
      </c>
      <c r="T239">
        <v>4</v>
      </c>
      <c r="U239">
        <v>33</v>
      </c>
      <c r="V239">
        <v>7</v>
      </c>
      <c r="W239">
        <v>15</v>
      </c>
      <c r="X239">
        <v>12</v>
      </c>
      <c r="Y239">
        <f>IF(HR_data[[#This Row],[Attrition]]= "Yes",1,0)</f>
        <v>0</v>
      </c>
    </row>
    <row r="240" spans="1:25">
      <c r="A240">
        <v>239</v>
      </c>
      <c r="B240" t="s">
        <v>33</v>
      </c>
      <c r="C240" t="s">
        <v>25</v>
      </c>
      <c r="D240" t="s">
        <v>43</v>
      </c>
      <c r="E240" t="s">
        <v>27</v>
      </c>
      <c r="F240" t="s">
        <v>28</v>
      </c>
      <c r="G240">
        <v>1</v>
      </c>
      <c r="H240" t="s">
        <v>29</v>
      </c>
      <c r="I240" t="s">
        <v>54</v>
      </c>
      <c r="J240" t="s">
        <v>39</v>
      </c>
      <c r="K240" t="s">
        <v>33</v>
      </c>
      <c r="L240">
        <v>32</v>
      </c>
      <c r="M240">
        <v>4</v>
      </c>
      <c r="N240" t="s">
        <v>32</v>
      </c>
      <c r="O240">
        <v>3</v>
      </c>
      <c r="P240">
        <v>1</v>
      </c>
      <c r="Q240">
        <v>2</v>
      </c>
      <c r="R240">
        <v>3931</v>
      </c>
      <c r="S240">
        <v>6</v>
      </c>
      <c r="T240">
        <v>3</v>
      </c>
      <c r="U240">
        <v>4</v>
      </c>
      <c r="V240">
        <v>3</v>
      </c>
      <c r="W240">
        <v>1</v>
      </c>
      <c r="X240">
        <v>2</v>
      </c>
      <c r="Y240">
        <f>IF(HR_data[[#This Row],[Attrition]]= "Yes",1,0)</f>
        <v>0</v>
      </c>
    </row>
    <row r="241" spans="1:25">
      <c r="A241">
        <v>240</v>
      </c>
      <c r="B241" t="s">
        <v>24</v>
      </c>
      <c r="C241" t="s">
        <v>25</v>
      </c>
      <c r="D241" t="s">
        <v>43</v>
      </c>
      <c r="E241" t="s">
        <v>36</v>
      </c>
      <c r="F241" t="s">
        <v>28</v>
      </c>
      <c r="G241">
        <v>1</v>
      </c>
      <c r="H241" t="s">
        <v>37</v>
      </c>
      <c r="I241" t="s">
        <v>42</v>
      </c>
      <c r="J241" t="s">
        <v>31</v>
      </c>
      <c r="K241" t="s">
        <v>24</v>
      </c>
      <c r="L241">
        <v>32</v>
      </c>
      <c r="M241">
        <v>1</v>
      </c>
      <c r="N241" t="s">
        <v>47</v>
      </c>
      <c r="O241">
        <v>4</v>
      </c>
      <c r="P241">
        <v>1</v>
      </c>
      <c r="Q241">
        <v>3</v>
      </c>
      <c r="R241">
        <v>3730</v>
      </c>
      <c r="S241">
        <v>4</v>
      </c>
      <c r="T241">
        <v>1</v>
      </c>
      <c r="U241">
        <v>3</v>
      </c>
      <c r="V241">
        <v>2</v>
      </c>
      <c r="W241">
        <v>1</v>
      </c>
      <c r="X241">
        <v>2</v>
      </c>
      <c r="Y241">
        <f>IF(HR_data[[#This Row],[Attrition]]= "Yes",1,0)</f>
        <v>1</v>
      </c>
    </row>
    <row r="242" spans="1:25">
      <c r="A242">
        <v>241</v>
      </c>
      <c r="B242" t="s">
        <v>33</v>
      </c>
      <c r="C242" t="s">
        <v>25</v>
      </c>
      <c r="D242" t="s">
        <v>26</v>
      </c>
      <c r="E242" t="s">
        <v>36</v>
      </c>
      <c r="F242" t="s">
        <v>45</v>
      </c>
      <c r="G242">
        <v>1</v>
      </c>
      <c r="H242" t="s">
        <v>29</v>
      </c>
      <c r="I242" t="s">
        <v>42</v>
      </c>
      <c r="J242" t="s">
        <v>48</v>
      </c>
      <c r="K242" t="s">
        <v>33</v>
      </c>
      <c r="L242">
        <v>39</v>
      </c>
      <c r="M242">
        <v>1</v>
      </c>
      <c r="N242" t="s">
        <v>44</v>
      </c>
      <c r="O242">
        <v>3</v>
      </c>
      <c r="P242">
        <v>1</v>
      </c>
      <c r="Q242">
        <v>3</v>
      </c>
      <c r="R242">
        <v>2232</v>
      </c>
      <c r="S242">
        <v>7</v>
      </c>
      <c r="T242">
        <v>3</v>
      </c>
      <c r="U242">
        <v>3</v>
      </c>
      <c r="V242">
        <v>2</v>
      </c>
      <c r="W242">
        <v>1</v>
      </c>
      <c r="X242">
        <v>2</v>
      </c>
      <c r="Y242">
        <f>IF(HR_data[[#This Row],[Attrition]]= "Yes",1,0)</f>
        <v>0</v>
      </c>
    </row>
    <row r="243" spans="1:25">
      <c r="A243">
        <v>242</v>
      </c>
      <c r="B243" t="s">
        <v>33</v>
      </c>
      <c r="C243" t="s">
        <v>51</v>
      </c>
      <c r="D243" t="s">
        <v>43</v>
      </c>
      <c r="E243" t="s">
        <v>27</v>
      </c>
      <c r="F243" t="s">
        <v>56</v>
      </c>
      <c r="G243">
        <v>1</v>
      </c>
      <c r="H243" t="s">
        <v>37</v>
      </c>
      <c r="I243" t="s">
        <v>30</v>
      </c>
      <c r="J243" t="s">
        <v>39</v>
      </c>
      <c r="K243" t="s">
        <v>33</v>
      </c>
      <c r="L243">
        <v>32</v>
      </c>
      <c r="M243">
        <v>26</v>
      </c>
      <c r="N243" t="s">
        <v>44</v>
      </c>
      <c r="O243">
        <v>3</v>
      </c>
      <c r="P243">
        <v>2</v>
      </c>
      <c r="Q243">
        <v>4</v>
      </c>
      <c r="R243">
        <v>4465</v>
      </c>
      <c r="S243">
        <v>4</v>
      </c>
      <c r="T243">
        <v>3</v>
      </c>
      <c r="U243">
        <v>3</v>
      </c>
      <c r="V243">
        <v>2</v>
      </c>
      <c r="W243">
        <v>2</v>
      </c>
      <c r="X243">
        <v>2</v>
      </c>
      <c r="Y243">
        <f>IF(HR_data[[#This Row],[Attrition]]= "Yes",1,0)</f>
        <v>0</v>
      </c>
    </row>
    <row r="244" spans="1:25">
      <c r="A244">
        <v>243</v>
      </c>
      <c r="B244" t="s">
        <v>33</v>
      </c>
      <c r="C244" t="s">
        <v>25</v>
      </c>
      <c r="D244" t="s">
        <v>26</v>
      </c>
      <c r="E244" t="s">
        <v>36</v>
      </c>
      <c r="F244" t="s">
        <v>28</v>
      </c>
      <c r="G244">
        <v>1</v>
      </c>
      <c r="H244" t="s">
        <v>37</v>
      </c>
      <c r="I244" t="s">
        <v>38</v>
      </c>
      <c r="J244" t="s">
        <v>48</v>
      </c>
      <c r="K244" t="s">
        <v>33</v>
      </c>
      <c r="L244">
        <v>41</v>
      </c>
      <c r="M244">
        <v>19</v>
      </c>
      <c r="N244" t="s">
        <v>32</v>
      </c>
      <c r="O244">
        <v>3</v>
      </c>
      <c r="P244">
        <v>2</v>
      </c>
      <c r="Q244">
        <v>1</v>
      </c>
      <c r="R244">
        <v>3072</v>
      </c>
      <c r="S244">
        <v>17</v>
      </c>
      <c r="T244">
        <v>2</v>
      </c>
      <c r="U244">
        <v>1</v>
      </c>
      <c r="V244">
        <v>0</v>
      </c>
      <c r="W244">
        <v>0</v>
      </c>
      <c r="X244">
        <v>0</v>
      </c>
      <c r="Y244">
        <f>IF(HR_data[[#This Row],[Attrition]]= "Yes",1,0)</f>
        <v>0</v>
      </c>
    </row>
    <row r="245" spans="1:25">
      <c r="A245">
        <v>244</v>
      </c>
      <c r="B245" t="s">
        <v>33</v>
      </c>
      <c r="C245" t="s">
        <v>25</v>
      </c>
      <c r="D245" t="s">
        <v>26</v>
      </c>
      <c r="E245" t="s">
        <v>36</v>
      </c>
      <c r="F245" t="s">
        <v>57</v>
      </c>
      <c r="G245">
        <v>1</v>
      </c>
      <c r="H245" t="s">
        <v>37</v>
      </c>
      <c r="I245" t="s">
        <v>38</v>
      </c>
      <c r="J245" t="s">
        <v>48</v>
      </c>
      <c r="K245" t="s">
        <v>33</v>
      </c>
      <c r="L245">
        <v>40</v>
      </c>
      <c r="M245">
        <v>24</v>
      </c>
      <c r="N245" t="s">
        <v>32</v>
      </c>
      <c r="O245">
        <v>1</v>
      </c>
      <c r="P245">
        <v>2</v>
      </c>
      <c r="Q245">
        <v>4</v>
      </c>
      <c r="R245">
        <v>3319</v>
      </c>
      <c r="S245">
        <v>9</v>
      </c>
      <c r="T245">
        <v>3</v>
      </c>
      <c r="U245">
        <v>9</v>
      </c>
      <c r="V245">
        <v>8</v>
      </c>
      <c r="W245">
        <v>4</v>
      </c>
      <c r="X245">
        <v>7</v>
      </c>
      <c r="Y245">
        <f>IF(HR_data[[#This Row],[Attrition]]= "Yes",1,0)</f>
        <v>0</v>
      </c>
    </row>
    <row r="246" spans="1:25">
      <c r="A246">
        <v>245</v>
      </c>
      <c r="B246" t="s">
        <v>33</v>
      </c>
      <c r="C246" t="s">
        <v>25</v>
      </c>
      <c r="D246" t="s">
        <v>35</v>
      </c>
      <c r="E246" t="s">
        <v>36</v>
      </c>
      <c r="F246" t="s">
        <v>41</v>
      </c>
      <c r="G246">
        <v>1</v>
      </c>
      <c r="H246" t="s">
        <v>37</v>
      </c>
      <c r="I246" t="s">
        <v>53</v>
      </c>
      <c r="J246" t="s">
        <v>39</v>
      </c>
      <c r="K246" t="s">
        <v>33</v>
      </c>
      <c r="L246">
        <v>45</v>
      </c>
      <c r="M246">
        <v>1</v>
      </c>
      <c r="N246" t="s">
        <v>47</v>
      </c>
      <c r="O246">
        <v>3</v>
      </c>
      <c r="P246">
        <v>5</v>
      </c>
      <c r="Q246">
        <v>4</v>
      </c>
      <c r="R246">
        <v>19202</v>
      </c>
      <c r="S246">
        <v>25</v>
      </c>
      <c r="T246">
        <v>3</v>
      </c>
      <c r="U246">
        <v>24</v>
      </c>
      <c r="V246">
        <v>0</v>
      </c>
      <c r="W246">
        <v>1</v>
      </c>
      <c r="X246">
        <v>7</v>
      </c>
      <c r="Y246">
        <f>IF(HR_data[[#This Row],[Attrition]]= "Yes",1,0)</f>
        <v>0</v>
      </c>
    </row>
    <row r="247" spans="1:25">
      <c r="A247">
        <v>246</v>
      </c>
      <c r="B247" t="s">
        <v>33</v>
      </c>
      <c r="C247" t="s">
        <v>34</v>
      </c>
      <c r="D247" t="s">
        <v>43</v>
      </c>
      <c r="E247" t="s">
        <v>36</v>
      </c>
      <c r="F247" t="s">
        <v>45</v>
      </c>
      <c r="G247">
        <v>1</v>
      </c>
      <c r="H247" t="s">
        <v>37</v>
      </c>
      <c r="I247" t="s">
        <v>55</v>
      </c>
      <c r="J247" t="s">
        <v>48</v>
      </c>
      <c r="K247" t="s">
        <v>33</v>
      </c>
      <c r="L247">
        <v>31</v>
      </c>
      <c r="M247">
        <v>3</v>
      </c>
      <c r="N247" t="s">
        <v>44</v>
      </c>
      <c r="O247">
        <v>2</v>
      </c>
      <c r="P247">
        <v>3</v>
      </c>
      <c r="Q247">
        <v>3</v>
      </c>
      <c r="R247">
        <v>13675</v>
      </c>
      <c r="S247">
        <v>9</v>
      </c>
      <c r="T247">
        <v>3</v>
      </c>
      <c r="U247">
        <v>2</v>
      </c>
      <c r="V247">
        <v>2</v>
      </c>
      <c r="W247">
        <v>2</v>
      </c>
      <c r="X247">
        <v>2</v>
      </c>
      <c r="Y247">
        <f>IF(HR_data[[#This Row],[Attrition]]= "Yes",1,0)</f>
        <v>0</v>
      </c>
    </row>
    <row r="248" spans="1:25">
      <c r="A248">
        <v>247</v>
      </c>
      <c r="B248" t="s">
        <v>33</v>
      </c>
      <c r="C248" t="s">
        <v>25</v>
      </c>
      <c r="D248" t="s">
        <v>43</v>
      </c>
      <c r="E248" t="s">
        <v>36</v>
      </c>
      <c r="F248" t="s">
        <v>28</v>
      </c>
      <c r="G248">
        <v>1</v>
      </c>
      <c r="H248" t="s">
        <v>29</v>
      </c>
      <c r="I248" t="s">
        <v>38</v>
      </c>
      <c r="J248" t="s">
        <v>39</v>
      </c>
      <c r="K248" t="s">
        <v>33</v>
      </c>
      <c r="L248">
        <v>33</v>
      </c>
      <c r="M248">
        <v>5</v>
      </c>
      <c r="N248" t="s">
        <v>44</v>
      </c>
      <c r="O248">
        <v>3</v>
      </c>
      <c r="P248">
        <v>1</v>
      </c>
      <c r="Q248">
        <v>4</v>
      </c>
      <c r="R248">
        <v>2911</v>
      </c>
      <c r="S248">
        <v>2</v>
      </c>
      <c r="T248">
        <v>2</v>
      </c>
      <c r="U248">
        <v>2</v>
      </c>
      <c r="V248">
        <v>2</v>
      </c>
      <c r="W248">
        <v>0</v>
      </c>
      <c r="X248">
        <v>2</v>
      </c>
      <c r="Y248">
        <f>IF(HR_data[[#This Row],[Attrition]]= "Yes",1,0)</f>
        <v>0</v>
      </c>
    </row>
    <row r="249" spans="1:25">
      <c r="A249">
        <v>248</v>
      </c>
      <c r="B249" t="s">
        <v>33</v>
      </c>
      <c r="C249" t="s">
        <v>25</v>
      </c>
      <c r="D249" t="s">
        <v>43</v>
      </c>
      <c r="E249" t="s">
        <v>36</v>
      </c>
      <c r="F249" t="s">
        <v>28</v>
      </c>
      <c r="G249">
        <v>1</v>
      </c>
      <c r="H249" t="s">
        <v>37</v>
      </c>
      <c r="I249" t="s">
        <v>49</v>
      </c>
      <c r="J249" t="s">
        <v>39</v>
      </c>
      <c r="K249" t="s">
        <v>33</v>
      </c>
      <c r="L249">
        <v>34</v>
      </c>
      <c r="M249">
        <v>2</v>
      </c>
      <c r="N249" t="s">
        <v>44</v>
      </c>
      <c r="O249">
        <v>4</v>
      </c>
      <c r="P249">
        <v>2</v>
      </c>
      <c r="Q249">
        <v>1</v>
      </c>
      <c r="R249">
        <v>5957</v>
      </c>
      <c r="S249">
        <v>13</v>
      </c>
      <c r="T249">
        <v>3</v>
      </c>
      <c r="U249">
        <v>11</v>
      </c>
      <c r="V249">
        <v>9</v>
      </c>
      <c r="W249">
        <v>5</v>
      </c>
      <c r="X249">
        <v>9</v>
      </c>
      <c r="Y249">
        <f>IF(HR_data[[#This Row],[Attrition]]= "Yes",1,0)</f>
        <v>0</v>
      </c>
    </row>
    <row r="250" spans="1:25">
      <c r="A250">
        <v>249</v>
      </c>
      <c r="B250" t="s">
        <v>33</v>
      </c>
      <c r="C250" t="s">
        <v>25</v>
      </c>
      <c r="D250" t="s">
        <v>26</v>
      </c>
      <c r="E250" t="s">
        <v>36</v>
      </c>
      <c r="F250" t="s">
        <v>45</v>
      </c>
      <c r="G250">
        <v>1</v>
      </c>
      <c r="H250" t="s">
        <v>29</v>
      </c>
      <c r="I250" t="s">
        <v>38</v>
      </c>
      <c r="J250" t="s">
        <v>39</v>
      </c>
      <c r="K250" t="s">
        <v>33</v>
      </c>
      <c r="L250">
        <v>37</v>
      </c>
      <c r="M250">
        <v>1</v>
      </c>
      <c r="N250" t="s">
        <v>32</v>
      </c>
      <c r="O250">
        <v>3</v>
      </c>
      <c r="P250">
        <v>1</v>
      </c>
      <c r="Q250">
        <v>1</v>
      </c>
      <c r="R250">
        <v>3920</v>
      </c>
      <c r="S250">
        <v>17</v>
      </c>
      <c r="T250">
        <v>2</v>
      </c>
      <c r="U250">
        <v>3</v>
      </c>
      <c r="V250">
        <v>1</v>
      </c>
      <c r="W250">
        <v>0</v>
      </c>
      <c r="X250">
        <v>2</v>
      </c>
      <c r="Y250">
        <f>IF(HR_data[[#This Row],[Attrition]]= "Yes",1,0)</f>
        <v>0</v>
      </c>
    </row>
    <row r="251" spans="1:25">
      <c r="A251">
        <v>250</v>
      </c>
      <c r="B251" t="s">
        <v>33</v>
      </c>
      <c r="C251" t="s">
        <v>34</v>
      </c>
      <c r="D251" t="s">
        <v>35</v>
      </c>
      <c r="E251" t="s">
        <v>36</v>
      </c>
      <c r="F251" t="s">
        <v>28</v>
      </c>
      <c r="G251">
        <v>1</v>
      </c>
      <c r="H251" t="s">
        <v>37</v>
      </c>
      <c r="I251" t="s">
        <v>49</v>
      </c>
      <c r="J251" t="s">
        <v>39</v>
      </c>
      <c r="K251" t="s">
        <v>33</v>
      </c>
      <c r="L251">
        <v>45</v>
      </c>
      <c r="M251">
        <v>7</v>
      </c>
      <c r="N251" t="s">
        <v>44</v>
      </c>
      <c r="O251">
        <v>1</v>
      </c>
      <c r="P251">
        <v>2</v>
      </c>
      <c r="Q251">
        <v>3</v>
      </c>
      <c r="R251">
        <v>6434</v>
      </c>
      <c r="S251">
        <v>9</v>
      </c>
      <c r="T251">
        <v>3</v>
      </c>
      <c r="U251">
        <v>3</v>
      </c>
      <c r="V251">
        <v>2</v>
      </c>
      <c r="W251">
        <v>0</v>
      </c>
      <c r="X251">
        <v>2</v>
      </c>
      <c r="Y251">
        <f>IF(HR_data[[#This Row],[Attrition]]= "Yes",1,0)</f>
        <v>0</v>
      </c>
    </row>
    <row r="252" spans="1:25">
      <c r="A252">
        <v>251</v>
      </c>
      <c r="B252" t="s">
        <v>24</v>
      </c>
      <c r="C252" t="s">
        <v>34</v>
      </c>
      <c r="D252" t="s">
        <v>26</v>
      </c>
      <c r="E252" t="s">
        <v>36</v>
      </c>
      <c r="F252" t="s">
        <v>45</v>
      </c>
      <c r="G252">
        <v>1</v>
      </c>
      <c r="H252" t="s">
        <v>37</v>
      </c>
      <c r="I252" t="s">
        <v>49</v>
      </c>
      <c r="J252" t="s">
        <v>48</v>
      </c>
      <c r="K252" t="s">
        <v>33</v>
      </c>
      <c r="L252">
        <v>37</v>
      </c>
      <c r="M252">
        <v>10</v>
      </c>
      <c r="N252" t="s">
        <v>47</v>
      </c>
      <c r="O252">
        <v>1</v>
      </c>
      <c r="P252">
        <v>3</v>
      </c>
      <c r="Q252">
        <v>3</v>
      </c>
      <c r="R252">
        <v>10048</v>
      </c>
      <c r="S252">
        <v>17</v>
      </c>
      <c r="T252">
        <v>3</v>
      </c>
      <c r="U252">
        <v>1</v>
      </c>
      <c r="V252">
        <v>0</v>
      </c>
      <c r="W252">
        <v>0</v>
      </c>
      <c r="X252">
        <v>0</v>
      </c>
      <c r="Y252">
        <f>IF(HR_data[[#This Row],[Attrition]]= "Yes",1,0)</f>
        <v>1</v>
      </c>
    </row>
    <row r="253" spans="1:25">
      <c r="A253">
        <v>252</v>
      </c>
      <c r="B253" t="s">
        <v>33</v>
      </c>
      <c r="C253" t="s">
        <v>34</v>
      </c>
      <c r="D253" t="s">
        <v>26</v>
      </c>
      <c r="E253" t="s">
        <v>36</v>
      </c>
      <c r="F253" t="s">
        <v>57</v>
      </c>
      <c r="G253">
        <v>1</v>
      </c>
      <c r="H253" t="s">
        <v>29</v>
      </c>
      <c r="I253" t="s">
        <v>50</v>
      </c>
      <c r="J253" t="s">
        <v>31</v>
      </c>
      <c r="K253" t="s">
        <v>33</v>
      </c>
      <c r="L253">
        <v>39</v>
      </c>
      <c r="M253">
        <v>2</v>
      </c>
      <c r="N253" t="s">
        <v>44</v>
      </c>
      <c r="O253">
        <v>3</v>
      </c>
      <c r="P253">
        <v>3</v>
      </c>
      <c r="Q253">
        <v>3</v>
      </c>
      <c r="R253">
        <v>10938</v>
      </c>
      <c r="S253">
        <v>20</v>
      </c>
      <c r="T253">
        <v>3</v>
      </c>
      <c r="U253">
        <v>19</v>
      </c>
      <c r="V253">
        <v>6</v>
      </c>
      <c r="W253">
        <v>11</v>
      </c>
      <c r="X253">
        <v>8</v>
      </c>
      <c r="Y253">
        <f>IF(HR_data[[#This Row],[Attrition]]= "Yes",1,0)</f>
        <v>0</v>
      </c>
    </row>
    <row r="254" spans="1:25">
      <c r="A254">
        <v>253</v>
      </c>
      <c r="B254" t="s">
        <v>33</v>
      </c>
      <c r="C254" t="s">
        <v>25</v>
      </c>
      <c r="D254" t="s">
        <v>43</v>
      </c>
      <c r="E254" t="s">
        <v>36</v>
      </c>
      <c r="F254" t="s">
        <v>28</v>
      </c>
      <c r="G254">
        <v>1</v>
      </c>
      <c r="H254" t="s">
        <v>37</v>
      </c>
      <c r="I254" t="s">
        <v>38</v>
      </c>
      <c r="J254" t="s">
        <v>31</v>
      </c>
      <c r="K254" t="s">
        <v>33</v>
      </c>
      <c r="L254">
        <v>29</v>
      </c>
      <c r="M254">
        <v>15</v>
      </c>
      <c r="N254" t="s">
        <v>47</v>
      </c>
      <c r="O254">
        <v>3</v>
      </c>
      <c r="P254">
        <v>1</v>
      </c>
      <c r="Q254">
        <v>4</v>
      </c>
      <c r="R254">
        <v>2340</v>
      </c>
      <c r="S254">
        <v>6</v>
      </c>
      <c r="T254">
        <v>3</v>
      </c>
      <c r="U254">
        <v>6</v>
      </c>
      <c r="V254">
        <v>5</v>
      </c>
      <c r="W254">
        <v>1</v>
      </c>
      <c r="X254">
        <v>5</v>
      </c>
      <c r="Y254">
        <f>IF(HR_data[[#This Row],[Attrition]]= "Yes",1,0)</f>
        <v>0</v>
      </c>
    </row>
    <row r="255" spans="1:25">
      <c r="A255">
        <v>254</v>
      </c>
      <c r="B255" t="s">
        <v>33</v>
      </c>
      <c r="C255" t="s">
        <v>25</v>
      </c>
      <c r="D255" t="s">
        <v>26</v>
      </c>
      <c r="E255" t="s">
        <v>36</v>
      </c>
      <c r="F255" t="s">
        <v>28</v>
      </c>
      <c r="G255">
        <v>1</v>
      </c>
      <c r="H255" t="s">
        <v>29</v>
      </c>
      <c r="I255" t="s">
        <v>38</v>
      </c>
      <c r="J255" t="s">
        <v>31</v>
      </c>
      <c r="K255" t="s">
        <v>24</v>
      </c>
      <c r="L255">
        <v>42</v>
      </c>
      <c r="M255">
        <v>17</v>
      </c>
      <c r="N255" t="s">
        <v>32</v>
      </c>
      <c r="O255">
        <v>4</v>
      </c>
      <c r="P255">
        <v>2</v>
      </c>
      <c r="Q255">
        <v>1</v>
      </c>
      <c r="R255">
        <v>6545</v>
      </c>
      <c r="S255">
        <v>10</v>
      </c>
      <c r="T255">
        <v>3</v>
      </c>
      <c r="U255">
        <v>3</v>
      </c>
      <c r="V255">
        <v>2</v>
      </c>
      <c r="W255">
        <v>0</v>
      </c>
      <c r="X255">
        <v>2</v>
      </c>
      <c r="Y255">
        <f>IF(HR_data[[#This Row],[Attrition]]= "Yes",1,0)</f>
        <v>0</v>
      </c>
    </row>
    <row r="256" spans="1:25">
      <c r="A256">
        <v>255</v>
      </c>
      <c r="B256" t="s">
        <v>33</v>
      </c>
      <c r="C256" t="s">
        <v>25</v>
      </c>
      <c r="D256" t="s">
        <v>43</v>
      </c>
      <c r="E256" t="s">
        <v>27</v>
      </c>
      <c r="F256" t="s">
        <v>56</v>
      </c>
      <c r="G256">
        <v>1</v>
      </c>
      <c r="H256" t="s">
        <v>37</v>
      </c>
      <c r="I256" t="s">
        <v>30</v>
      </c>
      <c r="J256" t="s">
        <v>48</v>
      </c>
      <c r="K256" t="s">
        <v>33</v>
      </c>
      <c r="L256">
        <v>29</v>
      </c>
      <c r="M256">
        <v>20</v>
      </c>
      <c r="N256" t="s">
        <v>32</v>
      </c>
      <c r="O256">
        <v>4</v>
      </c>
      <c r="P256">
        <v>2</v>
      </c>
      <c r="Q256">
        <v>4</v>
      </c>
      <c r="R256">
        <v>6931</v>
      </c>
      <c r="S256">
        <v>10</v>
      </c>
      <c r="T256">
        <v>3</v>
      </c>
      <c r="U256">
        <v>3</v>
      </c>
      <c r="V256">
        <v>2</v>
      </c>
      <c r="W256">
        <v>0</v>
      </c>
      <c r="X256">
        <v>2</v>
      </c>
      <c r="Y256">
        <f>IF(HR_data[[#This Row],[Attrition]]= "Yes",1,0)</f>
        <v>0</v>
      </c>
    </row>
    <row r="257" spans="1:25">
      <c r="A257">
        <v>256</v>
      </c>
      <c r="B257" t="s">
        <v>33</v>
      </c>
      <c r="C257" t="s">
        <v>25</v>
      </c>
      <c r="D257" t="s">
        <v>43</v>
      </c>
      <c r="E257" t="s">
        <v>36</v>
      </c>
      <c r="F257" t="s">
        <v>28</v>
      </c>
      <c r="G257">
        <v>1</v>
      </c>
      <c r="H257" t="s">
        <v>29</v>
      </c>
      <c r="I257" t="s">
        <v>49</v>
      </c>
      <c r="J257" t="s">
        <v>39</v>
      </c>
      <c r="K257" t="s">
        <v>33</v>
      </c>
      <c r="L257">
        <v>25</v>
      </c>
      <c r="M257">
        <v>1</v>
      </c>
      <c r="N257" t="s">
        <v>47</v>
      </c>
      <c r="O257">
        <v>1</v>
      </c>
      <c r="P257">
        <v>2</v>
      </c>
      <c r="Q257">
        <v>3</v>
      </c>
      <c r="R257">
        <v>4898</v>
      </c>
      <c r="S257">
        <v>5</v>
      </c>
      <c r="T257">
        <v>3</v>
      </c>
      <c r="U257">
        <v>4</v>
      </c>
      <c r="V257">
        <v>2</v>
      </c>
      <c r="W257">
        <v>1</v>
      </c>
      <c r="X257">
        <v>2</v>
      </c>
      <c r="Y257">
        <f>IF(HR_data[[#This Row],[Attrition]]= "Yes",1,0)</f>
        <v>0</v>
      </c>
    </row>
    <row r="258" spans="1:25">
      <c r="A258">
        <v>257</v>
      </c>
      <c r="B258" t="s">
        <v>33</v>
      </c>
      <c r="C258" t="s">
        <v>25</v>
      </c>
      <c r="D258" t="s">
        <v>26</v>
      </c>
      <c r="E258" t="s">
        <v>36</v>
      </c>
      <c r="F258" t="s">
        <v>45</v>
      </c>
      <c r="G258">
        <v>1</v>
      </c>
      <c r="H258" t="s">
        <v>29</v>
      </c>
      <c r="I258" t="s">
        <v>42</v>
      </c>
      <c r="J258" t="s">
        <v>48</v>
      </c>
      <c r="K258" t="s">
        <v>24</v>
      </c>
      <c r="L258">
        <v>42</v>
      </c>
      <c r="M258">
        <v>2</v>
      </c>
      <c r="N258" t="s">
        <v>47</v>
      </c>
      <c r="O258">
        <v>4</v>
      </c>
      <c r="P258">
        <v>1</v>
      </c>
      <c r="Q258">
        <v>1</v>
      </c>
      <c r="R258">
        <v>2593</v>
      </c>
      <c r="S258">
        <v>10</v>
      </c>
      <c r="T258">
        <v>3</v>
      </c>
      <c r="U258">
        <v>9</v>
      </c>
      <c r="V258">
        <v>6</v>
      </c>
      <c r="W258">
        <v>7</v>
      </c>
      <c r="X258">
        <v>8</v>
      </c>
      <c r="Y258">
        <f>IF(HR_data[[#This Row],[Attrition]]= "Yes",1,0)</f>
        <v>0</v>
      </c>
    </row>
    <row r="259" spans="1:25">
      <c r="A259">
        <v>258</v>
      </c>
      <c r="B259" t="s">
        <v>33</v>
      </c>
      <c r="C259" t="s">
        <v>25</v>
      </c>
      <c r="D259" t="s">
        <v>26</v>
      </c>
      <c r="E259" t="s">
        <v>36</v>
      </c>
      <c r="F259" t="s">
        <v>45</v>
      </c>
      <c r="G259">
        <v>1</v>
      </c>
      <c r="H259" t="s">
        <v>37</v>
      </c>
      <c r="I259" t="s">
        <v>55</v>
      </c>
      <c r="J259" t="s">
        <v>48</v>
      </c>
      <c r="K259" t="s">
        <v>33</v>
      </c>
      <c r="L259">
        <v>40</v>
      </c>
      <c r="M259">
        <v>2</v>
      </c>
      <c r="N259" t="s">
        <v>32</v>
      </c>
      <c r="O259">
        <v>1</v>
      </c>
      <c r="P259">
        <v>5</v>
      </c>
      <c r="Q259">
        <v>3</v>
      </c>
      <c r="R259">
        <v>19436</v>
      </c>
      <c r="S259">
        <v>22</v>
      </c>
      <c r="T259">
        <v>3</v>
      </c>
      <c r="U259">
        <v>21</v>
      </c>
      <c r="V259">
        <v>7</v>
      </c>
      <c r="W259">
        <v>3</v>
      </c>
      <c r="X259">
        <v>9</v>
      </c>
      <c r="Y259">
        <f>IF(HR_data[[#This Row],[Attrition]]= "Yes",1,0)</f>
        <v>0</v>
      </c>
    </row>
    <row r="260" spans="1:25">
      <c r="A260">
        <v>259</v>
      </c>
      <c r="B260" t="s">
        <v>33</v>
      </c>
      <c r="C260" t="s">
        <v>25</v>
      </c>
      <c r="D260" t="s">
        <v>35</v>
      </c>
      <c r="E260" t="s">
        <v>36</v>
      </c>
      <c r="F260" t="s">
        <v>28</v>
      </c>
      <c r="G260">
        <v>1</v>
      </c>
      <c r="H260" t="s">
        <v>37</v>
      </c>
      <c r="I260" t="s">
        <v>38</v>
      </c>
      <c r="J260" t="s">
        <v>39</v>
      </c>
      <c r="K260" t="s">
        <v>33</v>
      </c>
      <c r="L260">
        <v>51</v>
      </c>
      <c r="M260">
        <v>1</v>
      </c>
      <c r="N260" t="s">
        <v>47</v>
      </c>
      <c r="O260">
        <v>3</v>
      </c>
      <c r="P260">
        <v>1</v>
      </c>
      <c r="Q260">
        <v>4</v>
      </c>
      <c r="R260">
        <v>2723</v>
      </c>
      <c r="S260">
        <v>1</v>
      </c>
      <c r="T260">
        <v>2</v>
      </c>
      <c r="U260">
        <v>1</v>
      </c>
      <c r="V260">
        <v>0</v>
      </c>
      <c r="W260">
        <v>0</v>
      </c>
      <c r="X260">
        <v>0</v>
      </c>
      <c r="Y260">
        <f>IF(HR_data[[#This Row],[Attrition]]= "Yes",1,0)</f>
        <v>0</v>
      </c>
    </row>
    <row r="261" spans="1:25">
      <c r="A261">
        <v>260</v>
      </c>
      <c r="B261" t="s">
        <v>24</v>
      </c>
      <c r="C261" t="s">
        <v>34</v>
      </c>
      <c r="D261" t="s">
        <v>43</v>
      </c>
      <c r="E261" t="s">
        <v>36</v>
      </c>
      <c r="F261" t="s">
        <v>45</v>
      </c>
      <c r="G261">
        <v>1</v>
      </c>
      <c r="H261" t="s">
        <v>37</v>
      </c>
      <c r="I261" t="s">
        <v>42</v>
      </c>
      <c r="J261" t="s">
        <v>31</v>
      </c>
      <c r="K261" t="s">
        <v>33</v>
      </c>
      <c r="L261">
        <v>31</v>
      </c>
      <c r="M261">
        <v>29</v>
      </c>
      <c r="N261" t="s">
        <v>32</v>
      </c>
      <c r="O261">
        <v>3</v>
      </c>
      <c r="P261">
        <v>1</v>
      </c>
      <c r="Q261">
        <v>2</v>
      </c>
      <c r="R261">
        <v>3479</v>
      </c>
      <c r="S261">
        <v>6</v>
      </c>
      <c r="T261">
        <v>4</v>
      </c>
      <c r="U261">
        <v>5</v>
      </c>
      <c r="V261">
        <v>4</v>
      </c>
      <c r="W261">
        <v>1</v>
      </c>
      <c r="X261">
        <v>4</v>
      </c>
      <c r="Y261">
        <f>IF(HR_data[[#This Row],[Attrition]]= "Yes",1,0)</f>
        <v>1</v>
      </c>
    </row>
    <row r="262" spans="1:25">
      <c r="A262">
        <v>261</v>
      </c>
      <c r="B262" t="s">
        <v>33</v>
      </c>
      <c r="C262" t="s">
        <v>34</v>
      </c>
      <c r="D262" t="s">
        <v>43</v>
      </c>
      <c r="E262" t="s">
        <v>36</v>
      </c>
      <c r="F262" t="s">
        <v>28</v>
      </c>
      <c r="G262">
        <v>1</v>
      </c>
      <c r="H262" t="s">
        <v>37</v>
      </c>
      <c r="I262" t="s">
        <v>42</v>
      </c>
      <c r="J262" t="s">
        <v>39</v>
      </c>
      <c r="K262" t="s">
        <v>33</v>
      </c>
      <c r="L262">
        <v>32</v>
      </c>
      <c r="M262">
        <v>7</v>
      </c>
      <c r="N262" t="s">
        <v>47</v>
      </c>
      <c r="O262">
        <v>2</v>
      </c>
      <c r="P262">
        <v>1</v>
      </c>
      <c r="Q262">
        <v>2</v>
      </c>
      <c r="R262">
        <v>2794</v>
      </c>
      <c r="S262">
        <v>5</v>
      </c>
      <c r="T262">
        <v>1</v>
      </c>
      <c r="U262">
        <v>5</v>
      </c>
      <c r="V262">
        <v>1</v>
      </c>
      <c r="W262">
        <v>0</v>
      </c>
      <c r="X262">
        <v>3</v>
      </c>
      <c r="Y262">
        <f>IF(HR_data[[#This Row],[Attrition]]= "Yes",1,0)</f>
        <v>0</v>
      </c>
    </row>
    <row r="263" spans="1:25">
      <c r="A263">
        <v>262</v>
      </c>
      <c r="B263" t="s">
        <v>33</v>
      </c>
      <c r="C263" t="s">
        <v>51</v>
      </c>
      <c r="D263" t="s">
        <v>26</v>
      </c>
      <c r="E263" t="s">
        <v>27</v>
      </c>
      <c r="F263" t="s">
        <v>28</v>
      </c>
      <c r="G263">
        <v>1</v>
      </c>
      <c r="H263" t="s">
        <v>37</v>
      </c>
      <c r="I263" t="s">
        <v>30</v>
      </c>
      <c r="J263" t="s">
        <v>39</v>
      </c>
      <c r="K263" t="s">
        <v>33</v>
      </c>
      <c r="L263">
        <v>38</v>
      </c>
      <c r="M263">
        <v>2</v>
      </c>
      <c r="N263" t="s">
        <v>32</v>
      </c>
      <c r="O263">
        <v>4</v>
      </c>
      <c r="P263">
        <v>2</v>
      </c>
      <c r="Q263">
        <v>4</v>
      </c>
      <c r="R263">
        <v>5249</v>
      </c>
      <c r="S263">
        <v>13</v>
      </c>
      <c r="T263">
        <v>3</v>
      </c>
      <c r="U263">
        <v>8</v>
      </c>
      <c r="V263">
        <v>7</v>
      </c>
      <c r="W263">
        <v>7</v>
      </c>
      <c r="X263">
        <v>5</v>
      </c>
      <c r="Y263">
        <f>IF(HR_data[[#This Row],[Attrition]]= "Yes",1,0)</f>
        <v>0</v>
      </c>
    </row>
    <row r="264" spans="1:25">
      <c r="A264">
        <v>263</v>
      </c>
      <c r="B264" t="s">
        <v>33</v>
      </c>
      <c r="C264" t="s">
        <v>25</v>
      </c>
      <c r="D264" t="s">
        <v>43</v>
      </c>
      <c r="E264" t="s">
        <v>36</v>
      </c>
      <c r="F264" t="s">
        <v>57</v>
      </c>
      <c r="G264">
        <v>1</v>
      </c>
      <c r="H264" t="s">
        <v>37</v>
      </c>
      <c r="I264" t="s">
        <v>42</v>
      </c>
      <c r="J264" t="s">
        <v>31</v>
      </c>
      <c r="K264" t="s">
        <v>33</v>
      </c>
      <c r="L264">
        <v>32</v>
      </c>
      <c r="M264">
        <v>2</v>
      </c>
      <c r="N264" t="s">
        <v>40</v>
      </c>
      <c r="O264">
        <v>4</v>
      </c>
      <c r="P264">
        <v>2</v>
      </c>
      <c r="Q264">
        <v>1</v>
      </c>
      <c r="R264">
        <v>2176</v>
      </c>
      <c r="S264">
        <v>9</v>
      </c>
      <c r="T264">
        <v>3</v>
      </c>
      <c r="U264">
        <v>6</v>
      </c>
      <c r="V264">
        <v>2</v>
      </c>
      <c r="W264">
        <v>0</v>
      </c>
      <c r="X264">
        <v>4</v>
      </c>
      <c r="Y264">
        <f>IF(HR_data[[#This Row],[Attrition]]= "Yes",1,0)</f>
        <v>0</v>
      </c>
    </row>
    <row r="265" spans="1:25">
      <c r="A265">
        <v>264</v>
      </c>
      <c r="B265" t="s">
        <v>33</v>
      </c>
      <c r="C265" t="s">
        <v>25</v>
      </c>
      <c r="D265" t="s">
        <v>35</v>
      </c>
      <c r="E265" t="s">
        <v>27</v>
      </c>
      <c r="F265" t="s">
        <v>57</v>
      </c>
      <c r="G265">
        <v>1</v>
      </c>
      <c r="H265" t="s">
        <v>29</v>
      </c>
      <c r="I265" t="s">
        <v>53</v>
      </c>
      <c r="J265" t="s">
        <v>39</v>
      </c>
      <c r="K265" t="s">
        <v>24</v>
      </c>
      <c r="L265">
        <v>46</v>
      </c>
      <c r="M265">
        <v>2</v>
      </c>
      <c r="N265" t="s">
        <v>47</v>
      </c>
      <c r="O265">
        <v>3</v>
      </c>
      <c r="P265">
        <v>4</v>
      </c>
      <c r="Q265">
        <v>2</v>
      </c>
      <c r="R265">
        <v>16872</v>
      </c>
      <c r="S265">
        <v>28</v>
      </c>
      <c r="T265">
        <v>2</v>
      </c>
      <c r="U265">
        <v>7</v>
      </c>
      <c r="V265">
        <v>7</v>
      </c>
      <c r="W265">
        <v>7</v>
      </c>
      <c r="X265">
        <v>7</v>
      </c>
      <c r="Y265">
        <f>IF(HR_data[[#This Row],[Attrition]]= "Yes",1,0)</f>
        <v>0</v>
      </c>
    </row>
    <row r="266" spans="1:25">
      <c r="A266">
        <v>265</v>
      </c>
      <c r="B266" t="s">
        <v>24</v>
      </c>
      <c r="C266" t="s">
        <v>25</v>
      </c>
      <c r="D266" t="s">
        <v>43</v>
      </c>
      <c r="E266" t="s">
        <v>36</v>
      </c>
      <c r="F266" t="s">
        <v>28</v>
      </c>
      <c r="G266">
        <v>1</v>
      </c>
      <c r="H266" t="s">
        <v>37</v>
      </c>
      <c r="I266" t="s">
        <v>42</v>
      </c>
      <c r="J266" t="s">
        <v>31</v>
      </c>
      <c r="K266" t="s">
        <v>33</v>
      </c>
      <c r="L266">
        <v>28</v>
      </c>
      <c r="M266">
        <v>2</v>
      </c>
      <c r="N266" t="s">
        <v>44</v>
      </c>
      <c r="O266">
        <v>1</v>
      </c>
      <c r="P266">
        <v>1</v>
      </c>
      <c r="Q266">
        <v>3</v>
      </c>
      <c r="R266">
        <v>3485</v>
      </c>
      <c r="S266">
        <v>5</v>
      </c>
      <c r="T266">
        <v>1</v>
      </c>
      <c r="U266">
        <v>0</v>
      </c>
      <c r="V266">
        <v>0</v>
      </c>
      <c r="W266">
        <v>0</v>
      </c>
      <c r="X266">
        <v>0</v>
      </c>
      <c r="Y266">
        <f>IF(HR_data[[#This Row],[Attrition]]= "Yes",1,0)</f>
        <v>1</v>
      </c>
    </row>
    <row r="267" spans="1:25">
      <c r="A267">
        <v>266</v>
      </c>
      <c r="B267" t="s">
        <v>33</v>
      </c>
      <c r="C267" t="s">
        <v>25</v>
      </c>
      <c r="D267" t="s">
        <v>43</v>
      </c>
      <c r="E267" t="s">
        <v>27</v>
      </c>
      <c r="F267" t="s">
        <v>45</v>
      </c>
      <c r="G267">
        <v>1</v>
      </c>
      <c r="H267" t="s">
        <v>37</v>
      </c>
      <c r="I267" t="s">
        <v>30</v>
      </c>
      <c r="J267" t="s">
        <v>39</v>
      </c>
      <c r="K267" t="s">
        <v>33</v>
      </c>
      <c r="L267">
        <v>29</v>
      </c>
      <c r="M267">
        <v>2</v>
      </c>
      <c r="N267" t="s">
        <v>47</v>
      </c>
      <c r="O267">
        <v>1</v>
      </c>
      <c r="P267">
        <v>2</v>
      </c>
      <c r="Q267">
        <v>2</v>
      </c>
      <c r="R267">
        <v>6644</v>
      </c>
      <c r="S267">
        <v>10</v>
      </c>
      <c r="T267">
        <v>3</v>
      </c>
      <c r="U267">
        <v>0</v>
      </c>
      <c r="V267">
        <v>0</v>
      </c>
      <c r="W267">
        <v>0</v>
      </c>
      <c r="X267">
        <v>0</v>
      </c>
      <c r="Y267">
        <f>IF(HR_data[[#This Row],[Attrition]]= "Yes",1,0)</f>
        <v>0</v>
      </c>
    </row>
    <row r="268" spans="1:25">
      <c r="A268">
        <v>267</v>
      </c>
      <c r="B268" t="s">
        <v>33</v>
      </c>
      <c r="C268" t="s">
        <v>25</v>
      </c>
      <c r="D268" t="s">
        <v>43</v>
      </c>
      <c r="E268" t="s">
        <v>36</v>
      </c>
      <c r="F268" t="s">
        <v>45</v>
      </c>
      <c r="G268">
        <v>1</v>
      </c>
      <c r="H268" t="s">
        <v>37</v>
      </c>
      <c r="I268" t="s">
        <v>50</v>
      </c>
      <c r="J268" t="s">
        <v>39</v>
      </c>
      <c r="K268" t="s">
        <v>33</v>
      </c>
      <c r="L268">
        <v>31</v>
      </c>
      <c r="M268">
        <v>23</v>
      </c>
      <c r="N268" t="s">
        <v>47</v>
      </c>
      <c r="O268">
        <v>2</v>
      </c>
      <c r="P268">
        <v>2</v>
      </c>
      <c r="Q268">
        <v>4</v>
      </c>
      <c r="R268">
        <v>5582</v>
      </c>
      <c r="S268">
        <v>10</v>
      </c>
      <c r="T268">
        <v>3</v>
      </c>
      <c r="U268">
        <v>9</v>
      </c>
      <c r="V268">
        <v>0</v>
      </c>
      <c r="W268">
        <v>7</v>
      </c>
      <c r="X268">
        <v>8</v>
      </c>
      <c r="Y268">
        <f>IF(HR_data[[#This Row],[Attrition]]= "Yes",1,0)</f>
        <v>0</v>
      </c>
    </row>
    <row r="269" spans="1:25">
      <c r="A269">
        <v>268</v>
      </c>
      <c r="B269" t="s">
        <v>33</v>
      </c>
      <c r="C269" t="s">
        <v>51</v>
      </c>
      <c r="D269" t="s">
        <v>43</v>
      </c>
      <c r="E269" t="s">
        <v>36</v>
      </c>
      <c r="F269" t="s">
        <v>28</v>
      </c>
      <c r="G269">
        <v>1</v>
      </c>
      <c r="H269" t="s">
        <v>37</v>
      </c>
      <c r="I269" t="s">
        <v>50</v>
      </c>
      <c r="J269" t="s">
        <v>48</v>
      </c>
      <c r="K269" t="s">
        <v>33</v>
      </c>
      <c r="L269">
        <v>25</v>
      </c>
      <c r="M269">
        <v>5</v>
      </c>
      <c r="N269" t="s">
        <v>32</v>
      </c>
      <c r="O269">
        <v>2</v>
      </c>
      <c r="P269">
        <v>2</v>
      </c>
      <c r="Q269">
        <v>1</v>
      </c>
      <c r="R269">
        <v>4000</v>
      </c>
      <c r="S269">
        <v>6</v>
      </c>
      <c r="T269">
        <v>3</v>
      </c>
      <c r="U269">
        <v>6</v>
      </c>
      <c r="V269">
        <v>3</v>
      </c>
      <c r="W269">
        <v>1</v>
      </c>
      <c r="X269">
        <v>5</v>
      </c>
      <c r="Y269">
        <f>IF(HR_data[[#This Row],[Attrition]]= "Yes",1,0)</f>
        <v>0</v>
      </c>
    </row>
    <row r="270" spans="1:25">
      <c r="A270">
        <v>269</v>
      </c>
      <c r="B270" t="s">
        <v>33</v>
      </c>
      <c r="C270" t="s">
        <v>25</v>
      </c>
      <c r="D270" t="s">
        <v>35</v>
      </c>
      <c r="E270" t="s">
        <v>36</v>
      </c>
      <c r="F270" t="s">
        <v>45</v>
      </c>
      <c r="G270">
        <v>1</v>
      </c>
      <c r="H270" t="s">
        <v>37</v>
      </c>
      <c r="I270" t="s">
        <v>50</v>
      </c>
      <c r="J270" t="s">
        <v>39</v>
      </c>
      <c r="K270" t="s">
        <v>24</v>
      </c>
      <c r="L270">
        <v>45</v>
      </c>
      <c r="M270">
        <v>20</v>
      </c>
      <c r="N270" t="s">
        <v>32</v>
      </c>
      <c r="O270">
        <v>3</v>
      </c>
      <c r="P270">
        <v>4</v>
      </c>
      <c r="Q270">
        <v>4</v>
      </c>
      <c r="R270">
        <v>13496</v>
      </c>
      <c r="S270">
        <v>21</v>
      </c>
      <c r="T270">
        <v>3</v>
      </c>
      <c r="U270">
        <v>20</v>
      </c>
      <c r="V270">
        <v>7</v>
      </c>
      <c r="W270">
        <v>4</v>
      </c>
      <c r="X270">
        <v>10</v>
      </c>
      <c r="Y270">
        <f>IF(HR_data[[#This Row],[Attrition]]= "Yes",1,0)</f>
        <v>0</v>
      </c>
    </row>
    <row r="271" spans="1:25">
      <c r="A271">
        <v>270</v>
      </c>
      <c r="B271" t="s">
        <v>33</v>
      </c>
      <c r="C271" t="s">
        <v>25</v>
      </c>
      <c r="D271" t="s">
        <v>26</v>
      </c>
      <c r="E271" t="s">
        <v>36</v>
      </c>
      <c r="F271" t="s">
        <v>28</v>
      </c>
      <c r="G271">
        <v>1</v>
      </c>
      <c r="H271" t="s">
        <v>37</v>
      </c>
      <c r="I271" t="s">
        <v>42</v>
      </c>
      <c r="J271" t="s">
        <v>39</v>
      </c>
      <c r="K271" t="s">
        <v>33</v>
      </c>
      <c r="L271">
        <v>36</v>
      </c>
      <c r="M271">
        <v>6</v>
      </c>
      <c r="N271" t="s">
        <v>47</v>
      </c>
      <c r="O271">
        <v>4</v>
      </c>
      <c r="P271">
        <v>1</v>
      </c>
      <c r="Q271">
        <v>4</v>
      </c>
      <c r="R271">
        <v>3210</v>
      </c>
      <c r="S271">
        <v>16</v>
      </c>
      <c r="T271">
        <v>3</v>
      </c>
      <c r="U271">
        <v>15</v>
      </c>
      <c r="V271">
        <v>13</v>
      </c>
      <c r="W271">
        <v>10</v>
      </c>
      <c r="X271">
        <v>11</v>
      </c>
      <c r="Y271">
        <f>IF(HR_data[[#This Row],[Attrition]]= "Yes",1,0)</f>
        <v>0</v>
      </c>
    </row>
    <row r="272" spans="1:25">
      <c r="A272">
        <v>271</v>
      </c>
      <c r="B272" t="s">
        <v>33</v>
      </c>
      <c r="C272" t="s">
        <v>25</v>
      </c>
      <c r="D272" t="s">
        <v>46</v>
      </c>
      <c r="E272" t="s">
        <v>36</v>
      </c>
      <c r="F272" t="s">
        <v>45</v>
      </c>
      <c r="G272">
        <v>1</v>
      </c>
      <c r="H272" t="s">
        <v>37</v>
      </c>
      <c r="I272" t="s">
        <v>53</v>
      </c>
      <c r="J272" t="s">
        <v>31</v>
      </c>
      <c r="K272" t="s">
        <v>24</v>
      </c>
      <c r="L272">
        <v>55</v>
      </c>
      <c r="M272">
        <v>1</v>
      </c>
      <c r="N272" t="s">
        <v>47</v>
      </c>
      <c r="O272">
        <v>4</v>
      </c>
      <c r="P272">
        <v>5</v>
      </c>
      <c r="Q272">
        <v>1</v>
      </c>
      <c r="R272">
        <v>19045</v>
      </c>
      <c r="S272">
        <v>37</v>
      </c>
      <c r="T272">
        <v>3</v>
      </c>
      <c r="U272">
        <v>36</v>
      </c>
      <c r="V272">
        <v>10</v>
      </c>
      <c r="W272">
        <v>4</v>
      </c>
      <c r="X272">
        <v>13</v>
      </c>
      <c r="Y272">
        <f>IF(HR_data[[#This Row],[Attrition]]= "Yes",1,0)</f>
        <v>0</v>
      </c>
    </row>
    <row r="273" spans="1:25">
      <c r="A273">
        <v>272</v>
      </c>
      <c r="B273" t="s">
        <v>24</v>
      </c>
      <c r="C273" t="s">
        <v>51</v>
      </c>
      <c r="D273" t="s">
        <v>35</v>
      </c>
      <c r="E273" t="s">
        <v>36</v>
      </c>
      <c r="F273" t="s">
        <v>28</v>
      </c>
      <c r="G273">
        <v>1</v>
      </c>
      <c r="H273" t="s">
        <v>37</v>
      </c>
      <c r="I273" t="s">
        <v>53</v>
      </c>
      <c r="J273" t="s">
        <v>39</v>
      </c>
      <c r="K273" t="s">
        <v>24</v>
      </c>
      <c r="L273">
        <v>47</v>
      </c>
      <c r="M273">
        <v>29</v>
      </c>
      <c r="N273" t="s">
        <v>44</v>
      </c>
      <c r="O273">
        <v>1</v>
      </c>
      <c r="P273">
        <v>3</v>
      </c>
      <c r="Q273">
        <v>2</v>
      </c>
      <c r="R273">
        <v>11849</v>
      </c>
      <c r="S273">
        <v>10</v>
      </c>
      <c r="T273">
        <v>2</v>
      </c>
      <c r="U273">
        <v>10</v>
      </c>
      <c r="V273">
        <v>7</v>
      </c>
      <c r="W273">
        <v>9</v>
      </c>
      <c r="X273">
        <v>9</v>
      </c>
      <c r="Y273">
        <f>IF(HR_data[[#This Row],[Attrition]]= "Yes",1,0)</f>
        <v>1</v>
      </c>
    </row>
    <row r="274" spans="1:25">
      <c r="A274">
        <v>273</v>
      </c>
      <c r="B274" t="s">
        <v>33</v>
      </c>
      <c r="C274" t="s">
        <v>25</v>
      </c>
      <c r="D274" t="s">
        <v>43</v>
      </c>
      <c r="E274" t="s">
        <v>36</v>
      </c>
      <c r="F274" t="s">
        <v>45</v>
      </c>
      <c r="G274">
        <v>1</v>
      </c>
      <c r="H274" t="s">
        <v>37</v>
      </c>
      <c r="I274" t="s">
        <v>38</v>
      </c>
      <c r="J274" t="s">
        <v>39</v>
      </c>
      <c r="K274" t="s">
        <v>33</v>
      </c>
      <c r="L274">
        <v>28</v>
      </c>
      <c r="M274">
        <v>9</v>
      </c>
      <c r="N274" t="s">
        <v>47</v>
      </c>
      <c r="O274">
        <v>4</v>
      </c>
      <c r="P274">
        <v>1</v>
      </c>
      <c r="Q274">
        <v>4</v>
      </c>
      <c r="R274">
        <v>2070</v>
      </c>
      <c r="S274">
        <v>5</v>
      </c>
      <c r="T274">
        <v>2</v>
      </c>
      <c r="U274">
        <v>5</v>
      </c>
      <c r="V274">
        <v>2</v>
      </c>
      <c r="W274">
        <v>0</v>
      </c>
      <c r="X274">
        <v>4</v>
      </c>
      <c r="Y274">
        <f>IF(HR_data[[#This Row],[Attrition]]= "Yes",1,0)</f>
        <v>0</v>
      </c>
    </row>
    <row r="275" spans="1:25">
      <c r="A275">
        <v>274</v>
      </c>
      <c r="B275" t="s">
        <v>33</v>
      </c>
      <c r="C275" t="s">
        <v>25</v>
      </c>
      <c r="D275" t="s">
        <v>26</v>
      </c>
      <c r="E275" t="s">
        <v>27</v>
      </c>
      <c r="F275" t="s">
        <v>45</v>
      </c>
      <c r="G275">
        <v>1</v>
      </c>
      <c r="H275" t="s">
        <v>37</v>
      </c>
      <c r="I275" t="s">
        <v>30</v>
      </c>
      <c r="J275" t="s">
        <v>39</v>
      </c>
      <c r="K275" t="s">
        <v>33</v>
      </c>
      <c r="L275">
        <v>37</v>
      </c>
      <c r="M275">
        <v>6</v>
      </c>
      <c r="N275" t="s">
        <v>44</v>
      </c>
      <c r="O275">
        <v>3</v>
      </c>
      <c r="P275">
        <v>2</v>
      </c>
      <c r="Q275">
        <v>4</v>
      </c>
      <c r="R275">
        <v>6502</v>
      </c>
      <c r="S275">
        <v>7</v>
      </c>
      <c r="T275">
        <v>4</v>
      </c>
      <c r="U275">
        <v>5</v>
      </c>
      <c r="V275">
        <v>4</v>
      </c>
      <c r="W275">
        <v>0</v>
      </c>
      <c r="X275">
        <v>1</v>
      </c>
      <c r="Y275">
        <f>IF(HR_data[[#This Row],[Attrition]]= "Yes",1,0)</f>
        <v>0</v>
      </c>
    </row>
    <row r="276" spans="1:25">
      <c r="A276">
        <v>275</v>
      </c>
      <c r="B276" t="s">
        <v>33</v>
      </c>
      <c r="C276" t="s">
        <v>25</v>
      </c>
      <c r="D276" t="s">
        <v>52</v>
      </c>
      <c r="E276" t="s">
        <v>36</v>
      </c>
      <c r="F276" t="s">
        <v>45</v>
      </c>
      <c r="G276">
        <v>1</v>
      </c>
      <c r="H276" t="s">
        <v>37</v>
      </c>
      <c r="I276" t="s">
        <v>38</v>
      </c>
      <c r="J276" t="s">
        <v>31</v>
      </c>
      <c r="K276" t="s">
        <v>33</v>
      </c>
      <c r="L276">
        <v>21</v>
      </c>
      <c r="M276">
        <v>3</v>
      </c>
      <c r="N276" t="s">
        <v>32</v>
      </c>
      <c r="O276">
        <v>4</v>
      </c>
      <c r="P276">
        <v>1</v>
      </c>
      <c r="Q276">
        <v>3</v>
      </c>
      <c r="R276">
        <v>3230</v>
      </c>
      <c r="S276">
        <v>3</v>
      </c>
      <c r="T276">
        <v>4</v>
      </c>
      <c r="U276">
        <v>3</v>
      </c>
      <c r="V276">
        <v>2</v>
      </c>
      <c r="W276">
        <v>1</v>
      </c>
      <c r="X276">
        <v>0</v>
      </c>
      <c r="Y276">
        <f>IF(HR_data[[#This Row],[Attrition]]= "Yes",1,0)</f>
        <v>0</v>
      </c>
    </row>
    <row r="277" spans="1:25">
      <c r="A277">
        <v>276</v>
      </c>
      <c r="B277" t="s">
        <v>33</v>
      </c>
      <c r="C277" t="s">
        <v>51</v>
      </c>
      <c r="D277" t="s">
        <v>26</v>
      </c>
      <c r="E277" t="s">
        <v>36</v>
      </c>
      <c r="F277" t="s">
        <v>45</v>
      </c>
      <c r="G277">
        <v>1</v>
      </c>
      <c r="H277" t="s">
        <v>29</v>
      </c>
      <c r="I277" t="s">
        <v>55</v>
      </c>
      <c r="J277" t="s">
        <v>48</v>
      </c>
      <c r="K277" t="s">
        <v>24</v>
      </c>
      <c r="L277">
        <v>37</v>
      </c>
      <c r="M277">
        <v>1</v>
      </c>
      <c r="N277" t="s">
        <v>44</v>
      </c>
      <c r="O277">
        <v>1</v>
      </c>
      <c r="P277">
        <v>3</v>
      </c>
      <c r="Q277">
        <v>4</v>
      </c>
      <c r="R277">
        <v>13603</v>
      </c>
      <c r="S277">
        <v>15</v>
      </c>
      <c r="T277">
        <v>3</v>
      </c>
      <c r="U277">
        <v>5</v>
      </c>
      <c r="V277">
        <v>2</v>
      </c>
      <c r="W277">
        <v>0</v>
      </c>
      <c r="X277">
        <v>2</v>
      </c>
      <c r="Y277">
        <f>IF(HR_data[[#This Row],[Attrition]]= "Yes",1,0)</f>
        <v>0</v>
      </c>
    </row>
    <row r="278" spans="1:25">
      <c r="A278">
        <v>277</v>
      </c>
      <c r="B278" t="s">
        <v>33</v>
      </c>
      <c r="C278" t="s">
        <v>25</v>
      </c>
      <c r="D278" t="s">
        <v>26</v>
      </c>
      <c r="E278" t="s">
        <v>36</v>
      </c>
      <c r="F278" t="s">
        <v>28</v>
      </c>
      <c r="G278">
        <v>1</v>
      </c>
      <c r="H278" t="s">
        <v>29</v>
      </c>
      <c r="I278" t="s">
        <v>53</v>
      </c>
      <c r="J278" t="s">
        <v>48</v>
      </c>
      <c r="K278" t="s">
        <v>33</v>
      </c>
      <c r="L278">
        <v>35</v>
      </c>
      <c r="M278">
        <v>22</v>
      </c>
      <c r="N278" t="s">
        <v>47</v>
      </c>
      <c r="O278">
        <v>2</v>
      </c>
      <c r="P278">
        <v>3</v>
      </c>
      <c r="Q278">
        <v>2</v>
      </c>
      <c r="R278">
        <v>11996</v>
      </c>
      <c r="S278">
        <v>10</v>
      </c>
      <c r="T278">
        <v>2</v>
      </c>
      <c r="U278">
        <v>7</v>
      </c>
      <c r="V278">
        <v>7</v>
      </c>
      <c r="W278">
        <v>6</v>
      </c>
      <c r="X278">
        <v>2</v>
      </c>
      <c r="Y278">
        <f>IF(HR_data[[#This Row],[Attrition]]= "Yes",1,0)</f>
        <v>0</v>
      </c>
    </row>
    <row r="279" spans="1:25">
      <c r="A279">
        <v>278</v>
      </c>
      <c r="B279" t="s">
        <v>33</v>
      </c>
      <c r="C279" t="s">
        <v>25</v>
      </c>
      <c r="D279" t="s">
        <v>26</v>
      </c>
      <c r="E279" t="s">
        <v>27</v>
      </c>
      <c r="F279" t="s">
        <v>45</v>
      </c>
      <c r="G279">
        <v>1</v>
      </c>
      <c r="H279" t="s">
        <v>29</v>
      </c>
      <c r="I279" t="s">
        <v>30</v>
      </c>
      <c r="J279" t="s">
        <v>48</v>
      </c>
      <c r="K279" t="s">
        <v>24</v>
      </c>
      <c r="L279">
        <v>38</v>
      </c>
      <c r="M279">
        <v>7</v>
      </c>
      <c r="N279" t="s">
        <v>32</v>
      </c>
      <c r="O279">
        <v>1</v>
      </c>
      <c r="P279">
        <v>2</v>
      </c>
      <c r="Q279">
        <v>1</v>
      </c>
      <c r="R279">
        <v>5605</v>
      </c>
      <c r="S279">
        <v>8</v>
      </c>
      <c r="T279">
        <v>3</v>
      </c>
      <c r="U279">
        <v>8</v>
      </c>
      <c r="V279">
        <v>0</v>
      </c>
      <c r="W279">
        <v>7</v>
      </c>
      <c r="X279">
        <v>7</v>
      </c>
      <c r="Y279">
        <f>IF(HR_data[[#This Row],[Attrition]]= "Yes",1,0)</f>
        <v>0</v>
      </c>
    </row>
    <row r="280" spans="1:25">
      <c r="A280">
        <v>279</v>
      </c>
      <c r="B280" t="s">
        <v>33</v>
      </c>
      <c r="C280" t="s">
        <v>34</v>
      </c>
      <c r="D280" t="s">
        <v>43</v>
      </c>
      <c r="E280" t="s">
        <v>36</v>
      </c>
      <c r="F280" t="s">
        <v>28</v>
      </c>
      <c r="G280">
        <v>1</v>
      </c>
      <c r="H280" t="s">
        <v>29</v>
      </c>
      <c r="I280" t="s">
        <v>49</v>
      </c>
      <c r="J280" t="s">
        <v>48</v>
      </c>
      <c r="K280" t="s">
        <v>33</v>
      </c>
      <c r="L280">
        <v>26</v>
      </c>
      <c r="M280">
        <v>1</v>
      </c>
      <c r="N280" t="s">
        <v>47</v>
      </c>
      <c r="O280">
        <v>3</v>
      </c>
      <c r="P280">
        <v>2</v>
      </c>
      <c r="Q280">
        <v>2</v>
      </c>
      <c r="R280">
        <v>6397</v>
      </c>
      <c r="S280">
        <v>6</v>
      </c>
      <c r="T280">
        <v>1</v>
      </c>
      <c r="U280">
        <v>6</v>
      </c>
      <c r="V280">
        <v>5</v>
      </c>
      <c r="W280">
        <v>1</v>
      </c>
      <c r="X280">
        <v>4</v>
      </c>
      <c r="Y280">
        <f>IF(HR_data[[#This Row],[Attrition]]= "Yes",1,0)</f>
        <v>0</v>
      </c>
    </row>
    <row r="281" spans="1:25">
      <c r="A281">
        <v>280</v>
      </c>
      <c r="B281" t="s">
        <v>33</v>
      </c>
      <c r="C281" t="s">
        <v>25</v>
      </c>
      <c r="D281" t="s">
        <v>35</v>
      </c>
      <c r="E281" t="s">
        <v>36</v>
      </c>
      <c r="F281" t="s">
        <v>28</v>
      </c>
      <c r="G281">
        <v>1</v>
      </c>
      <c r="H281" t="s">
        <v>37</v>
      </c>
      <c r="I281" t="s">
        <v>55</v>
      </c>
      <c r="J281" t="s">
        <v>48</v>
      </c>
      <c r="K281" t="s">
        <v>33</v>
      </c>
      <c r="L281">
        <v>50</v>
      </c>
      <c r="M281">
        <v>4</v>
      </c>
      <c r="N281" t="s">
        <v>40</v>
      </c>
      <c r="O281">
        <v>1</v>
      </c>
      <c r="P281">
        <v>5</v>
      </c>
      <c r="Q281">
        <v>2</v>
      </c>
      <c r="R281">
        <v>19144</v>
      </c>
      <c r="S281">
        <v>28</v>
      </c>
      <c r="T281">
        <v>2</v>
      </c>
      <c r="U281">
        <v>10</v>
      </c>
      <c r="V281">
        <v>4</v>
      </c>
      <c r="W281">
        <v>1</v>
      </c>
      <c r="X281">
        <v>6</v>
      </c>
      <c r="Y281">
        <f>IF(HR_data[[#This Row],[Attrition]]= "Yes",1,0)</f>
        <v>0</v>
      </c>
    </row>
    <row r="282" spans="1:25">
      <c r="A282">
        <v>281</v>
      </c>
      <c r="B282" t="s">
        <v>33</v>
      </c>
      <c r="C282" t="s">
        <v>25</v>
      </c>
      <c r="D282" t="s">
        <v>35</v>
      </c>
      <c r="E282" t="s">
        <v>36</v>
      </c>
      <c r="F282" t="s">
        <v>45</v>
      </c>
      <c r="G282">
        <v>1</v>
      </c>
      <c r="H282" t="s">
        <v>37</v>
      </c>
      <c r="I282" t="s">
        <v>55</v>
      </c>
      <c r="J282" t="s">
        <v>39</v>
      </c>
      <c r="K282" t="s">
        <v>24</v>
      </c>
      <c r="L282">
        <v>53</v>
      </c>
      <c r="M282">
        <v>3</v>
      </c>
      <c r="N282" t="s">
        <v>44</v>
      </c>
      <c r="O282">
        <v>3</v>
      </c>
      <c r="P282">
        <v>4</v>
      </c>
      <c r="Q282">
        <v>3</v>
      </c>
      <c r="R282">
        <v>17584</v>
      </c>
      <c r="S282">
        <v>21</v>
      </c>
      <c r="T282">
        <v>2</v>
      </c>
      <c r="U282">
        <v>5</v>
      </c>
      <c r="V282">
        <v>3</v>
      </c>
      <c r="W282">
        <v>1</v>
      </c>
      <c r="X282">
        <v>3</v>
      </c>
      <c r="Y282">
        <f>IF(HR_data[[#This Row],[Attrition]]= "Yes",1,0)</f>
        <v>0</v>
      </c>
    </row>
    <row r="283" spans="1:25">
      <c r="A283">
        <v>282</v>
      </c>
      <c r="B283" t="s">
        <v>33</v>
      </c>
      <c r="C283" t="s">
        <v>25</v>
      </c>
      <c r="D283" t="s">
        <v>26</v>
      </c>
      <c r="E283" t="s">
        <v>27</v>
      </c>
      <c r="F283" t="s">
        <v>28</v>
      </c>
      <c r="G283">
        <v>1</v>
      </c>
      <c r="H283" t="s">
        <v>37</v>
      </c>
      <c r="I283" t="s">
        <v>30</v>
      </c>
      <c r="J283" t="s">
        <v>39</v>
      </c>
      <c r="K283" t="s">
        <v>33</v>
      </c>
      <c r="L283">
        <v>42</v>
      </c>
      <c r="M283">
        <v>1</v>
      </c>
      <c r="N283" t="s">
        <v>40</v>
      </c>
      <c r="O283">
        <v>2</v>
      </c>
      <c r="P283">
        <v>2</v>
      </c>
      <c r="Q283">
        <v>3</v>
      </c>
      <c r="R283">
        <v>4907</v>
      </c>
      <c r="S283">
        <v>20</v>
      </c>
      <c r="T283">
        <v>3</v>
      </c>
      <c r="U283">
        <v>20</v>
      </c>
      <c r="V283">
        <v>16</v>
      </c>
      <c r="W283">
        <v>11</v>
      </c>
      <c r="X283">
        <v>6</v>
      </c>
      <c r="Y283">
        <f>IF(HR_data[[#This Row],[Attrition]]= "Yes",1,0)</f>
        <v>0</v>
      </c>
    </row>
    <row r="284" spans="1:25">
      <c r="A284">
        <v>283</v>
      </c>
      <c r="B284" t="s">
        <v>33</v>
      </c>
      <c r="C284" t="s">
        <v>34</v>
      </c>
      <c r="D284" t="s">
        <v>43</v>
      </c>
      <c r="E284" t="s">
        <v>27</v>
      </c>
      <c r="F284" t="s">
        <v>28</v>
      </c>
      <c r="G284">
        <v>1</v>
      </c>
      <c r="H284" t="s">
        <v>37</v>
      </c>
      <c r="I284" t="s">
        <v>30</v>
      </c>
      <c r="J284" t="s">
        <v>31</v>
      </c>
      <c r="K284" t="s">
        <v>33</v>
      </c>
      <c r="L284">
        <v>29</v>
      </c>
      <c r="M284">
        <v>2</v>
      </c>
      <c r="N284" t="s">
        <v>32</v>
      </c>
      <c r="O284">
        <v>2</v>
      </c>
      <c r="P284">
        <v>2</v>
      </c>
      <c r="Q284">
        <v>4</v>
      </c>
      <c r="R284">
        <v>4554</v>
      </c>
      <c r="S284">
        <v>10</v>
      </c>
      <c r="T284">
        <v>2</v>
      </c>
      <c r="U284">
        <v>10</v>
      </c>
      <c r="V284">
        <v>7</v>
      </c>
      <c r="W284">
        <v>0</v>
      </c>
      <c r="X284">
        <v>9</v>
      </c>
      <c r="Y284">
        <f>IF(HR_data[[#This Row],[Attrition]]= "Yes",1,0)</f>
        <v>0</v>
      </c>
    </row>
    <row r="285" spans="1:25">
      <c r="A285">
        <v>284</v>
      </c>
      <c r="B285" t="s">
        <v>33</v>
      </c>
      <c r="C285" t="s">
        <v>25</v>
      </c>
      <c r="D285" t="s">
        <v>46</v>
      </c>
      <c r="E285" t="s">
        <v>36</v>
      </c>
      <c r="F285" t="s">
        <v>57</v>
      </c>
      <c r="G285">
        <v>1</v>
      </c>
      <c r="H285" t="s">
        <v>37</v>
      </c>
      <c r="I285" t="s">
        <v>42</v>
      </c>
      <c r="J285" t="s">
        <v>39</v>
      </c>
      <c r="K285" t="s">
        <v>24</v>
      </c>
      <c r="L285">
        <v>55</v>
      </c>
      <c r="M285">
        <v>20</v>
      </c>
      <c r="N285" t="s">
        <v>32</v>
      </c>
      <c r="O285">
        <v>2</v>
      </c>
      <c r="P285">
        <v>2</v>
      </c>
      <c r="Q285">
        <v>4</v>
      </c>
      <c r="R285">
        <v>5415</v>
      </c>
      <c r="S285">
        <v>12</v>
      </c>
      <c r="T285">
        <v>3</v>
      </c>
      <c r="U285">
        <v>10</v>
      </c>
      <c r="V285">
        <v>7</v>
      </c>
      <c r="W285">
        <v>0</v>
      </c>
      <c r="X285">
        <v>8</v>
      </c>
      <c r="Y285">
        <f>IF(HR_data[[#This Row],[Attrition]]= "Yes",1,0)</f>
        <v>0</v>
      </c>
    </row>
    <row r="286" spans="1:25">
      <c r="A286">
        <v>285</v>
      </c>
      <c r="B286" t="s">
        <v>33</v>
      </c>
      <c r="C286" t="s">
        <v>34</v>
      </c>
      <c r="D286" t="s">
        <v>43</v>
      </c>
      <c r="E286" t="s">
        <v>36</v>
      </c>
      <c r="F286" t="s">
        <v>45</v>
      </c>
      <c r="G286">
        <v>1</v>
      </c>
      <c r="H286" t="s">
        <v>37</v>
      </c>
      <c r="I286" t="s">
        <v>50</v>
      </c>
      <c r="J286" t="s">
        <v>39</v>
      </c>
      <c r="K286" t="s">
        <v>24</v>
      </c>
      <c r="L286">
        <v>26</v>
      </c>
      <c r="M286">
        <v>11</v>
      </c>
      <c r="N286" t="s">
        <v>32</v>
      </c>
      <c r="O286">
        <v>1</v>
      </c>
      <c r="P286">
        <v>2</v>
      </c>
      <c r="Q286">
        <v>1</v>
      </c>
      <c r="R286">
        <v>4741</v>
      </c>
      <c r="S286">
        <v>5</v>
      </c>
      <c r="T286">
        <v>3</v>
      </c>
      <c r="U286">
        <v>5</v>
      </c>
      <c r="V286">
        <v>3</v>
      </c>
      <c r="W286">
        <v>3</v>
      </c>
      <c r="X286">
        <v>3</v>
      </c>
      <c r="Y286">
        <f>IF(HR_data[[#This Row],[Attrition]]= "Yes",1,0)</f>
        <v>0</v>
      </c>
    </row>
    <row r="287" spans="1:25">
      <c r="A287">
        <v>286</v>
      </c>
      <c r="B287" t="s">
        <v>33</v>
      </c>
      <c r="C287" t="s">
        <v>25</v>
      </c>
      <c r="D287" t="s">
        <v>26</v>
      </c>
      <c r="E287" t="s">
        <v>36</v>
      </c>
      <c r="F287" t="s">
        <v>28</v>
      </c>
      <c r="G287">
        <v>1</v>
      </c>
      <c r="H287" t="s">
        <v>29</v>
      </c>
      <c r="I287" t="s">
        <v>38</v>
      </c>
      <c r="J287" t="s">
        <v>31</v>
      </c>
      <c r="K287" t="s">
        <v>33</v>
      </c>
      <c r="L287">
        <v>37</v>
      </c>
      <c r="M287">
        <v>1</v>
      </c>
      <c r="N287" t="s">
        <v>47</v>
      </c>
      <c r="O287">
        <v>4</v>
      </c>
      <c r="P287">
        <v>1</v>
      </c>
      <c r="Q287">
        <v>4</v>
      </c>
      <c r="R287">
        <v>2115</v>
      </c>
      <c r="S287">
        <v>17</v>
      </c>
      <c r="T287">
        <v>3</v>
      </c>
      <c r="U287">
        <v>17</v>
      </c>
      <c r="V287">
        <v>12</v>
      </c>
      <c r="W287">
        <v>5</v>
      </c>
      <c r="X287">
        <v>7</v>
      </c>
      <c r="Y287">
        <f>IF(HR_data[[#This Row],[Attrition]]= "Yes",1,0)</f>
        <v>0</v>
      </c>
    </row>
    <row r="288" spans="1:25">
      <c r="A288">
        <v>287</v>
      </c>
      <c r="B288" t="s">
        <v>24</v>
      </c>
      <c r="C288" t="s">
        <v>34</v>
      </c>
      <c r="D288" t="s">
        <v>26</v>
      </c>
      <c r="E288" t="s">
        <v>36</v>
      </c>
      <c r="F288" t="s">
        <v>28</v>
      </c>
      <c r="G288">
        <v>1</v>
      </c>
      <c r="H288" t="s">
        <v>37</v>
      </c>
      <c r="I288" t="s">
        <v>42</v>
      </c>
      <c r="J288" t="s">
        <v>48</v>
      </c>
      <c r="K288" t="s">
        <v>24</v>
      </c>
      <c r="L288">
        <v>44</v>
      </c>
      <c r="M288">
        <v>24</v>
      </c>
      <c r="N288" t="s">
        <v>47</v>
      </c>
      <c r="O288">
        <v>4</v>
      </c>
      <c r="P288">
        <v>1</v>
      </c>
      <c r="Q288">
        <v>3</v>
      </c>
      <c r="R288">
        <v>3161</v>
      </c>
      <c r="S288">
        <v>19</v>
      </c>
      <c r="T288">
        <v>1</v>
      </c>
      <c r="U288">
        <v>1</v>
      </c>
      <c r="V288">
        <v>0</v>
      </c>
      <c r="W288">
        <v>0</v>
      </c>
      <c r="X288">
        <v>0</v>
      </c>
      <c r="Y288">
        <f>IF(HR_data[[#This Row],[Attrition]]= "Yes",1,0)</f>
        <v>1</v>
      </c>
    </row>
    <row r="289" spans="1:25">
      <c r="A289">
        <v>288</v>
      </c>
      <c r="B289" t="s">
        <v>33</v>
      </c>
      <c r="C289" t="s">
        <v>25</v>
      </c>
      <c r="D289" t="s">
        <v>26</v>
      </c>
      <c r="E289" t="s">
        <v>36</v>
      </c>
      <c r="F289" t="s">
        <v>28</v>
      </c>
      <c r="G289">
        <v>1</v>
      </c>
      <c r="H289" t="s">
        <v>37</v>
      </c>
      <c r="I289" t="s">
        <v>50</v>
      </c>
      <c r="J289" t="s">
        <v>48</v>
      </c>
      <c r="K289" t="s">
        <v>33</v>
      </c>
      <c r="L289">
        <v>38</v>
      </c>
      <c r="M289">
        <v>23</v>
      </c>
      <c r="N289" t="s">
        <v>44</v>
      </c>
      <c r="O289">
        <v>4</v>
      </c>
      <c r="P289">
        <v>2</v>
      </c>
      <c r="Q289">
        <v>4</v>
      </c>
      <c r="R289">
        <v>5745</v>
      </c>
      <c r="S289">
        <v>10</v>
      </c>
      <c r="T289">
        <v>3</v>
      </c>
      <c r="U289">
        <v>2</v>
      </c>
      <c r="V289">
        <v>2</v>
      </c>
      <c r="W289">
        <v>1</v>
      </c>
      <c r="X289">
        <v>2</v>
      </c>
      <c r="Y289">
        <f>IF(HR_data[[#This Row],[Attrition]]= "Yes",1,0)</f>
        <v>0</v>
      </c>
    </row>
    <row r="290" spans="1:25">
      <c r="A290">
        <v>289</v>
      </c>
      <c r="B290" t="s">
        <v>24</v>
      </c>
      <c r="C290" t="s">
        <v>25</v>
      </c>
      <c r="D290" t="s">
        <v>43</v>
      </c>
      <c r="E290" t="s">
        <v>36</v>
      </c>
      <c r="F290" t="s">
        <v>45</v>
      </c>
      <c r="G290">
        <v>1</v>
      </c>
      <c r="H290" t="s">
        <v>37</v>
      </c>
      <c r="I290" t="s">
        <v>42</v>
      </c>
      <c r="J290" t="s">
        <v>48</v>
      </c>
      <c r="K290" t="s">
        <v>24</v>
      </c>
      <c r="L290">
        <v>26</v>
      </c>
      <c r="M290">
        <v>16</v>
      </c>
      <c r="N290" t="s">
        <v>44</v>
      </c>
      <c r="O290">
        <v>1</v>
      </c>
      <c r="P290">
        <v>1</v>
      </c>
      <c r="Q290">
        <v>2</v>
      </c>
      <c r="R290">
        <v>2373</v>
      </c>
      <c r="S290">
        <v>5</v>
      </c>
      <c r="T290">
        <v>3</v>
      </c>
      <c r="U290">
        <v>3</v>
      </c>
      <c r="V290">
        <v>2</v>
      </c>
      <c r="W290">
        <v>0</v>
      </c>
      <c r="X290">
        <v>2</v>
      </c>
      <c r="Y290">
        <f>IF(HR_data[[#This Row],[Attrition]]= "Yes",1,0)</f>
        <v>1</v>
      </c>
    </row>
    <row r="291" spans="1:25">
      <c r="A291">
        <v>290</v>
      </c>
      <c r="B291" t="s">
        <v>33</v>
      </c>
      <c r="C291" t="s">
        <v>25</v>
      </c>
      <c r="D291" t="s">
        <v>43</v>
      </c>
      <c r="E291" t="s">
        <v>36</v>
      </c>
      <c r="F291" t="s">
        <v>28</v>
      </c>
      <c r="G291">
        <v>1</v>
      </c>
      <c r="H291" t="s">
        <v>29</v>
      </c>
      <c r="I291" t="s">
        <v>38</v>
      </c>
      <c r="J291" t="s">
        <v>31</v>
      </c>
      <c r="K291" t="s">
        <v>33</v>
      </c>
      <c r="L291">
        <v>28</v>
      </c>
      <c r="M291">
        <v>8</v>
      </c>
      <c r="N291" t="s">
        <v>32</v>
      </c>
      <c r="O291">
        <v>4</v>
      </c>
      <c r="P291">
        <v>1</v>
      </c>
      <c r="Q291">
        <v>4</v>
      </c>
      <c r="R291">
        <v>3310</v>
      </c>
      <c r="S291">
        <v>5</v>
      </c>
      <c r="T291">
        <v>3</v>
      </c>
      <c r="U291">
        <v>5</v>
      </c>
      <c r="V291">
        <v>3</v>
      </c>
      <c r="W291">
        <v>0</v>
      </c>
      <c r="X291">
        <v>2</v>
      </c>
      <c r="Y291">
        <f>IF(HR_data[[#This Row],[Attrition]]= "Yes",1,0)</f>
        <v>0</v>
      </c>
    </row>
    <row r="292" spans="1:25">
      <c r="A292">
        <v>291</v>
      </c>
      <c r="B292" t="s">
        <v>33</v>
      </c>
      <c r="C292" t="s">
        <v>34</v>
      </c>
      <c r="D292" t="s">
        <v>35</v>
      </c>
      <c r="E292" t="s">
        <v>36</v>
      </c>
      <c r="F292" t="s">
        <v>28</v>
      </c>
      <c r="G292">
        <v>1</v>
      </c>
      <c r="H292" t="s">
        <v>29</v>
      </c>
      <c r="I292" t="s">
        <v>55</v>
      </c>
      <c r="J292" t="s">
        <v>31</v>
      </c>
      <c r="K292" t="s">
        <v>24</v>
      </c>
      <c r="L292">
        <v>49</v>
      </c>
      <c r="M292">
        <v>10</v>
      </c>
      <c r="N292" t="s">
        <v>44</v>
      </c>
      <c r="O292">
        <v>3</v>
      </c>
      <c r="P292">
        <v>5</v>
      </c>
      <c r="Q292">
        <v>1</v>
      </c>
      <c r="R292">
        <v>18665</v>
      </c>
      <c r="S292">
        <v>22</v>
      </c>
      <c r="T292">
        <v>3</v>
      </c>
      <c r="U292">
        <v>3</v>
      </c>
      <c r="V292">
        <v>2</v>
      </c>
      <c r="W292">
        <v>1</v>
      </c>
      <c r="X292">
        <v>2</v>
      </c>
      <c r="Y292">
        <f>IF(HR_data[[#This Row],[Attrition]]= "Yes",1,0)</f>
        <v>0</v>
      </c>
    </row>
    <row r="293" spans="1:25">
      <c r="A293">
        <v>292</v>
      </c>
      <c r="B293" t="s">
        <v>33</v>
      </c>
      <c r="C293" t="s">
        <v>25</v>
      </c>
      <c r="D293" t="s">
        <v>26</v>
      </c>
      <c r="E293" t="s">
        <v>36</v>
      </c>
      <c r="F293" t="s">
        <v>57</v>
      </c>
      <c r="G293">
        <v>1</v>
      </c>
      <c r="H293" t="s">
        <v>37</v>
      </c>
      <c r="I293" t="s">
        <v>38</v>
      </c>
      <c r="J293" t="s">
        <v>31</v>
      </c>
      <c r="K293" t="s">
        <v>33</v>
      </c>
      <c r="L293">
        <v>36</v>
      </c>
      <c r="M293">
        <v>3</v>
      </c>
      <c r="N293" t="s">
        <v>47</v>
      </c>
      <c r="O293">
        <v>3</v>
      </c>
      <c r="P293">
        <v>2</v>
      </c>
      <c r="Q293">
        <v>2</v>
      </c>
      <c r="R293">
        <v>4485</v>
      </c>
      <c r="S293">
        <v>10</v>
      </c>
      <c r="T293">
        <v>3</v>
      </c>
      <c r="U293">
        <v>8</v>
      </c>
      <c r="V293">
        <v>0</v>
      </c>
      <c r="W293">
        <v>7</v>
      </c>
      <c r="X293">
        <v>7</v>
      </c>
      <c r="Y293">
        <f>IF(HR_data[[#This Row],[Attrition]]= "Yes",1,0)</f>
        <v>0</v>
      </c>
    </row>
    <row r="294" spans="1:25">
      <c r="A294">
        <v>293</v>
      </c>
      <c r="B294" t="s">
        <v>33</v>
      </c>
      <c r="C294" t="s">
        <v>34</v>
      </c>
      <c r="D294" t="s">
        <v>43</v>
      </c>
      <c r="E294" t="s">
        <v>27</v>
      </c>
      <c r="F294" t="s">
        <v>56</v>
      </c>
      <c r="G294">
        <v>1</v>
      </c>
      <c r="H294" t="s">
        <v>29</v>
      </c>
      <c r="I294" t="s">
        <v>54</v>
      </c>
      <c r="J294" t="s">
        <v>48</v>
      </c>
      <c r="K294" t="s">
        <v>33</v>
      </c>
      <c r="L294">
        <v>31</v>
      </c>
      <c r="M294">
        <v>5</v>
      </c>
      <c r="N294" t="s">
        <v>47</v>
      </c>
      <c r="O294">
        <v>4</v>
      </c>
      <c r="P294">
        <v>1</v>
      </c>
      <c r="Q294">
        <v>2</v>
      </c>
      <c r="R294">
        <v>2789</v>
      </c>
      <c r="S294">
        <v>2</v>
      </c>
      <c r="T294">
        <v>2</v>
      </c>
      <c r="U294">
        <v>2</v>
      </c>
      <c r="V294">
        <v>2</v>
      </c>
      <c r="W294">
        <v>2</v>
      </c>
      <c r="X294">
        <v>2</v>
      </c>
      <c r="Y294">
        <f>IF(HR_data[[#This Row],[Attrition]]= "Yes",1,0)</f>
        <v>0</v>
      </c>
    </row>
    <row r="295" spans="1:25">
      <c r="A295">
        <v>294</v>
      </c>
      <c r="B295" t="s">
        <v>24</v>
      </c>
      <c r="C295" t="s">
        <v>25</v>
      </c>
      <c r="D295" t="s">
        <v>43</v>
      </c>
      <c r="E295" t="s">
        <v>27</v>
      </c>
      <c r="F295" t="s">
        <v>56</v>
      </c>
      <c r="G295">
        <v>1</v>
      </c>
      <c r="H295" t="s">
        <v>37</v>
      </c>
      <c r="I295" t="s">
        <v>30</v>
      </c>
      <c r="J295" t="s">
        <v>31</v>
      </c>
      <c r="K295" t="s">
        <v>24</v>
      </c>
      <c r="L295">
        <v>26</v>
      </c>
      <c r="M295">
        <v>4</v>
      </c>
      <c r="N295" t="s">
        <v>44</v>
      </c>
      <c r="O295">
        <v>4</v>
      </c>
      <c r="P295">
        <v>2</v>
      </c>
      <c r="Q295">
        <v>4</v>
      </c>
      <c r="R295">
        <v>5828</v>
      </c>
      <c r="S295">
        <v>8</v>
      </c>
      <c r="T295">
        <v>3</v>
      </c>
      <c r="U295">
        <v>8</v>
      </c>
      <c r="V295">
        <v>7</v>
      </c>
      <c r="W295">
        <v>7</v>
      </c>
      <c r="X295">
        <v>4</v>
      </c>
      <c r="Y295">
        <f>IF(HR_data[[#This Row],[Attrition]]= "Yes",1,0)</f>
        <v>1</v>
      </c>
    </row>
    <row r="296" spans="1:25">
      <c r="A296">
        <v>295</v>
      </c>
      <c r="B296" t="s">
        <v>33</v>
      </c>
      <c r="C296" t="s">
        <v>34</v>
      </c>
      <c r="D296" t="s">
        <v>26</v>
      </c>
      <c r="E296" t="s">
        <v>36</v>
      </c>
      <c r="F296" t="s">
        <v>45</v>
      </c>
      <c r="G296">
        <v>1</v>
      </c>
      <c r="H296" t="s">
        <v>37</v>
      </c>
      <c r="I296" t="s">
        <v>38</v>
      </c>
      <c r="J296" t="s">
        <v>39</v>
      </c>
      <c r="K296" t="s">
        <v>24</v>
      </c>
      <c r="L296">
        <v>37</v>
      </c>
      <c r="M296">
        <v>9</v>
      </c>
      <c r="N296" t="s">
        <v>47</v>
      </c>
      <c r="O296">
        <v>2</v>
      </c>
      <c r="P296">
        <v>1</v>
      </c>
      <c r="Q296">
        <v>4</v>
      </c>
      <c r="R296">
        <v>2326</v>
      </c>
      <c r="S296">
        <v>4</v>
      </c>
      <c r="T296">
        <v>2</v>
      </c>
      <c r="U296">
        <v>4</v>
      </c>
      <c r="V296">
        <v>2</v>
      </c>
      <c r="W296">
        <v>1</v>
      </c>
      <c r="X296">
        <v>2</v>
      </c>
      <c r="Y296">
        <f>IF(HR_data[[#This Row],[Attrition]]= "Yes",1,0)</f>
        <v>0</v>
      </c>
    </row>
    <row r="297" spans="1:25">
      <c r="A297">
        <v>296</v>
      </c>
      <c r="B297" t="s">
        <v>33</v>
      </c>
      <c r="C297" t="s">
        <v>34</v>
      </c>
      <c r="D297" t="s">
        <v>26</v>
      </c>
      <c r="E297" t="s">
        <v>27</v>
      </c>
      <c r="F297" t="s">
        <v>56</v>
      </c>
      <c r="G297">
        <v>1</v>
      </c>
      <c r="H297" t="s">
        <v>29</v>
      </c>
      <c r="I297" t="s">
        <v>30</v>
      </c>
      <c r="J297" t="s">
        <v>39</v>
      </c>
      <c r="K297" t="s">
        <v>33</v>
      </c>
      <c r="L297">
        <v>42</v>
      </c>
      <c r="M297">
        <v>26</v>
      </c>
      <c r="N297" t="s">
        <v>47</v>
      </c>
      <c r="O297">
        <v>3</v>
      </c>
      <c r="P297">
        <v>4</v>
      </c>
      <c r="Q297">
        <v>2</v>
      </c>
      <c r="R297">
        <v>13525</v>
      </c>
      <c r="S297">
        <v>23</v>
      </c>
      <c r="T297">
        <v>4</v>
      </c>
      <c r="U297">
        <v>20</v>
      </c>
      <c r="V297">
        <v>4</v>
      </c>
      <c r="W297">
        <v>4</v>
      </c>
      <c r="X297">
        <v>8</v>
      </c>
      <c r="Y297">
        <f>IF(HR_data[[#This Row],[Attrition]]= "Yes",1,0)</f>
        <v>0</v>
      </c>
    </row>
    <row r="298" spans="1:25">
      <c r="A298">
        <v>297</v>
      </c>
      <c r="B298" t="s">
        <v>24</v>
      </c>
      <c r="C298" t="s">
        <v>25</v>
      </c>
      <c r="D298" t="s">
        <v>52</v>
      </c>
      <c r="E298" t="s">
        <v>36</v>
      </c>
      <c r="F298" t="s">
        <v>28</v>
      </c>
      <c r="G298">
        <v>1</v>
      </c>
      <c r="H298" t="s">
        <v>37</v>
      </c>
      <c r="I298" t="s">
        <v>42</v>
      </c>
      <c r="J298" t="s">
        <v>31</v>
      </c>
      <c r="K298" t="s">
        <v>33</v>
      </c>
      <c r="L298">
        <v>18</v>
      </c>
      <c r="M298">
        <v>3</v>
      </c>
      <c r="N298" t="s">
        <v>47</v>
      </c>
      <c r="O298">
        <v>3</v>
      </c>
      <c r="P298">
        <v>1</v>
      </c>
      <c r="Q298">
        <v>3</v>
      </c>
      <c r="R298">
        <v>1420</v>
      </c>
      <c r="S298">
        <v>0</v>
      </c>
      <c r="T298">
        <v>3</v>
      </c>
      <c r="U298">
        <v>0</v>
      </c>
      <c r="V298">
        <v>0</v>
      </c>
      <c r="W298">
        <v>0</v>
      </c>
      <c r="X298">
        <v>0</v>
      </c>
      <c r="Y298">
        <f>IF(HR_data[[#This Row],[Attrition]]= "Yes",1,0)</f>
        <v>1</v>
      </c>
    </row>
    <row r="299" spans="1:25">
      <c r="A299">
        <v>298</v>
      </c>
      <c r="B299" t="s">
        <v>33</v>
      </c>
      <c r="C299" t="s">
        <v>25</v>
      </c>
      <c r="D299" t="s">
        <v>26</v>
      </c>
      <c r="E299" t="s">
        <v>27</v>
      </c>
      <c r="F299" t="s">
        <v>56</v>
      </c>
      <c r="G299">
        <v>1</v>
      </c>
      <c r="H299" t="s">
        <v>37</v>
      </c>
      <c r="I299" t="s">
        <v>30</v>
      </c>
      <c r="J299" t="s">
        <v>39</v>
      </c>
      <c r="K299" t="s">
        <v>33</v>
      </c>
      <c r="L299">
        <v>35</v>
      </c>
      <c r="M299">
        <v>16</v>
      </c>
      <c r="N299" t="s">
        <v>47</v>
      </c>
      <c r="O299">
        <v>3</v>
      </c>
      <c r="P299">
        <v>3</v>
      </c>
      <c r="Q299">
        <v>2</v>
      </c>
      <c r="R299">
        <v>8020</v>
      </c>
      <c r="S299">
        <v>12</v>
      </c>
      <c r="T299">
        <v>2</v>
      </c>
      <c r="U299">
        <v>11</v>
      </c>
      <c r="V299">
        <v>9</v>
      </c>
      <c r="W299">
        <v>6</v>
      </c>
      <c r="X299">
        <v>9</v>
      </c>
      <c r="Y299">
        <f>IF(HR_data[[#This Row],[Attrition]]= "Yes",1,0)</f>
        <v>0</v>
      </c>
    </row>
    <row r="300" spans="1:25">
      <c r="A300">
        <v>299</v>
      </c>
      <c r="B300" t="s">
        <v>33</v>
      </c>
      <c r="C300" t="s">
        <v>34</v>
      </c>
      <c r="D300" t="s">
        <v>26</v>
      </c>
      <c r="E300" t="s">
        <v>36</v>
      </c>
      <c r="F300" t="s">
        <v>28</v>
      </c>
      <c r="G300">
        <v>1</v>
      </c>
      <c r="H300" t="s">
        <v>37</v>
      </c>
      <c r="I300" t="s">
        <v>42</v>
      </c>
      <c r="J300" t="s">
        <v>39</v>
      </c>
      <c r="K300" t="s">
        <v>33</v>
      </c>
      <c r="L300">
        <v>36</v>
      </c>
      <c r="M300">
        <v>18</v>
      </c>
      <c r="N300" t="s">
        <v>44</v>
      </c>
      <c r="O300">
        <v>3</v>
      </c>
      <c r="P300">
        <v>1</v>
      </c>
      <c r="Q300">
        <v>4</v>
      </c>
      <c r="R300">
        <v>3688</v>
      </c>
      <c r="S300">
        <v>4</v>
      </c>
      <c r="T300">
        <v>3</v>
      </c>
      <c r="U300">
        <v>1</v>
      </c>
      <c r="V300">
        <v>0</v>
      </c>
      <c r="W300">
        <v>0</v>
      </c>
      <c r="X300">
        <v>0</v>
      </c>
      <c r="Y300">
        <f>IF(HR_data[[#This Row],[Attrition]]= "Yes",1,0)</f>
        <v>0</v>
      </c>
    </row>
    <row r="301" spans="1:25">
      <c r="A301">
        <v>300</v>
      </c>
      <c r="B301" t="s">
        <v>33</v>
      </c>
      <c r="C301" t="s">
        <v>25</v>
      </c>
      <c r="D301" t="s">
        <v>35</v>
      </c>
      <c r="E301" t="s">
        <v>36</v>
      </c>
      <c r="F301" t="s">
        <v>45</v>
      </c>
      <c r="G301">
        <v>1</v>
      </c>
      <c r="H301" t="s">
        <v>37</v>
      </c>
      <c r="I301" t="s">
        <v>49</v>
      </c>
      <c r="J301" t="s">
        <v>48</v>
      </c>
      <c r="K301" t="s">
        <v>33</v>
      </c>
      <c r="L301">
        <v>51</v>
      </c>
      <c r="M301">
        <v>2</v>
      </c>
      <c r="N301" t="s">
        <v>47</v>
      </c>
      <c r="O301">
        <v>4</v>
      </c>
      <c r="P301">
        <v>2</v>
      </c>
      <c r="Q301">
        <v>2</v>
      </c>
      <c r="R301">
        <v>5482</v>
      </c>
      <c r="S301">
        <v>13</v>
      </c>
      <c r="T301">
        <v>3</v>
      </c>
      <c r="U301">
        <v>4</v>
      </c>
      <c r="V301">
        <v>1</v>
      </c>
      <c r="W301">
        <v>1</v>
      </c>
      <c r="X301">
        <v>2</v>
      </c>
      <c r="Y301">
        <f>IF(HR_data[[#This Row],[Attrition]]= "Yes",1,0)</f>
        <v>0</v>
      </c>
    </row>
    <row r="302" spans="1:25">
      <c r="A302">
        <v>301</v>
      </c>
      <c r="B302" t="s">
        <v>33</v>
      </c>
      <c r="C302" t="s">
        <v>25</v>
      </c>
      <c r="D302" t="s">
        <v>26</v>
      </c>
      <c r="E302" t="s">
        <v>27</v>
      </c>
      <c r="F302" t="s">
        <v>28</v>
      </c>
      <c r="G302">
        <v>1</v>
      </c>
      <c r="H302" t="s">
        <v>37</v>
      </c>
      <c r="I302" t="s">
        <v>53</v>
      </c>
      <c r="J302" t="s">
        <v>31</v>
      </c>
      <c r="K302" t="s">
        <v>33</v>
      </c>
      <c r="L302">
        <v>41</v>
      </c>
      <c r="M302">
        <v>2</v>
      </c>
      <c r="N302" t="s">
        <v>44</v>
      </c>
      <c r="O302">
        <v>4</v>
      </c>
      <c r="P302">
        <v>4</v>
      </c>
      <c r="Q302">
        <v>2</v>
      </c>
      <c r="R302">
        <v>16015</v>
      </c>
      <c r="S302">
        <v>22</v>
      </c>
      <c r="T302">
        <v>3</v>
      </c>
      <c r="U302">
        <v>22</v>
      </c>
      <c r="V302">
        <v>10</v>
      </c>
      <c r="W302">
        <v>0</v>
      </c>
      <c r="X302">
        <v>4</v>
      </c>
      <c r="Y302">
        <f>IF(HR_data[[#This Row],[Attrition]]= "Yes",1,0)</f>
        <v>0</v>
      </c>
    </row>
    <row r="303" spans="1:25">
      <c r="A303">
        <v>302</v>
      </c>
      <c r="B303" t="s">
        <v>33</v>
      </c>
      <c r="C303" t="s">
        <v>25</v>
      </c>
      <c r="D303" t="s">
        <v>52</v>
      </c>
      <c r="E303" t="s">
        <v>27</v>
      </c>
      <c r="F303" t="s">
        <v>45</v>
      </c>
      <c r="G303">
        <v>1</v>
      </c>
      <c r="H303" t="s">
        <v>29</v>
      </c>
      <c r="I303" t="s">
        <v>54</v>
      </c>
      <c r="J303" t="s">
        <v>31</v>
      </c>
      <c r="K303" t="s">
        <v>33</v>
      </c>
      <c r="L303">
        <v>18</v>
      </c>
      <c r="M303">
        <v>10</v>
      </c>
      <c r="N303" t="s">
        <v>47</v>
      </c>
      <c r="O303">
        <v>4</v>
      </c>
      <c r="P303">
        <v>1</v>
      </c>
      <c r="Q303">
        <v>3</v>
      </c>
      <c r="R303">
        <v>1200</v>
      </c>
      <c r="S303">
        <v>0</v>
      </c>
      <c r="T303">
        <v>3</v>
      </c>
      <c r="U303">
        <v>0</v>
      </c>
      <c r="V303">
        <v>0</v>
      </c>
      <c r="W303">
        <v>0</v>
      </c>
      <c r="X303">
        <v>0</v>
      </c>
      <c r="Y303">
        <f>IF(HR_data[[#This Row],[Attrition]]= "Yes",1,0)</f>
        <v>0</v>
      </c>
    </row>
    <row r="304" spans="1:25">
      <c r="A304">
        <v>303</v>
      </c>
      <c r="B304" t="s">
        <v>33</v>
      </c>
      <c r="C304" t="s">
        <v>25</v>
      </c>
      <c r="D304" t="s">
        <v>43</v>
      </c>
      <c r="E304" t="s">
        <v>36</v>
      </c>
      <c r="F304" t="s">
        <v>45</v>
      </c>
      <c r="G304">
        <v>1</v>
      </c>
      <c r="H304" t="s">
        <v>37</v>
      </c>
      <c r="I304" t="s">
        <v>50</v>
      </c>
      <c r="J304" t="s">
        <v>31</v>
      </c>
      <c r="K304" t="s">
        <v>33</v>
      </c>
      <c r="L304">
        <v>28</v>
      </c>
      <c r="M304">
        <v>16</v>
      </c>
      <c r="N304" t="s">
        <v>32</v>
      </c>
      <c r="O304">
        <v>2</v>
      </c>
      <c r="P304">
        <v>2</v>
      </c>
      <c r="Q304">
        <v>1</v>
      </c>
      <c r="R304">
        <v>5661</v>
      </c>
      <c r="S304">
        <v>9</v>
      </c>
      <c r="T304">
        <v>3</v>
      </c>
      <c r="U304">
        <v>8</v>
      </c>
      <c r="V304">
        <v>3</v>
      </c>
      <c r="W304">
        <v>0</v>
      </c>
      <c r="X304">
        <v>7</v>
      </c>
      <c r="Y304">
        <f>IF(HR_data[[#This Row],[Attrition]]= "Yes",1,0)</f>
        <v>0</v>
      </c>
    </row>
    <row r="305" spans="1:25">
      <c r="A305">
        <v>304</v>
      </c>
      <c r="B305" t="s">
        <v>33</v>
      </c>
      <c r="C305" t="s">
        <v>25</v>
      </c>
      <c r="D305" t="s">
        <v>43</v>
      </c>
      <c r="E305" t="s">
        <v>27</v>
      </c>
      <c r="F305" t="s">
        <v>57</v>
      </c>
      <c r="G305">
        <v>1</v>
      </c>
      <c r="H305" t="s">
        <v>37</v>
      </c>
      <c r="I305" t="s">
        <v>30</v>
      </c>
      <c r="J305" t="s">
        <v>39</v>
      </c>
      <c r="K305" t="s">
        <v>33</v>
      </c>
      <c r="L305">
        <v>31</v>
      </c>
      <c r="M305">
        <v>7</v>
      </c>
      <c r="N305" t="s">
        <v>47</v>
      </c>
      <c r="O305">
        <v>2</v>
      </c>
      <c r="P305">
        <v>2</v>
      </c>
      <c r="Q305">
        <v>4</v>
      </c>
      <c r="R305">
        <v>6929</v>
      </c>
      <c r="S305">
        <v>10</v>
      </c>
      <c r="T305">
        <v>2</v>
      </c>
      <c r="U305">
        <v>8</v>
      </c>
      <c r="V305">
        <v>7</v>
      </c>
      <c r="W305">
        <v>7</v>
      </c>
      <c r="X305">
        <v>7</v>
      </c>
      <c r="Y305">
        <f>IF(HR_data[[#This Row],[Attrition]]= "Yes",1,0)</f>
        <v>0</v>
      </c>
    </row>
    <row r="306" spans="1:25">
      <c r="A306">
        <v>305</v>
      </c>
      <c r="B306" t="s">
        <v>33</v>
      </c>
      <c r="C306" t="s">
        <v>25</v>
      </c>
      <c r="D306" t="s">
        <v>26</v>
      </c>
      <c r="E306" t="s">
        <v>36</v>
      </c>
      <c r="F306" t="s">
        <v>45</v>
      </c>
      <c r="G306">
        <v>1</v>
      </c>
      <c r="H306" t="s">
        <v>37</v>
      </c>
      <c r="I306" t="s">
        <v>50</v>
      </c>
      <c r="J306" t="s">
        <v>48</v>
      </c>
      <c r="K306" t="s">
        <v>33</v>
      </c>
      <c r="L306">
        <v>39</v>
      </c>
      <c r="M306">
        <v>1</v>
      </c>
      <c r="N306" t="s">
        <v>47</v>
      </c>
      <c r="O306">
        <v>3</v>
      </c>
      <c r="P306">
        <v>3</v>
      </c>
      <c r="Q306">
        <v>4</v>
      </c>
      <c r="R306">
        <v>9613</v>
      </c>
      <c r="S306">
        <v>19</v>
      </c>
      <c r="T306">
        <v>2</v>
      </c>
      <c r="U306">
        <v>18</v>
      </c>
      <c r="V306">
        <v>10</v>
      </c>
      <c r="W306">
        <v>3</v>
      </c>
      <c r="X306">
        <v>7</v>
      </c>
      <c r="Y306">
        <f>IF(HR_data[[#This Row],[Attrition]]= "Yes",1,0)</f>
        <v>0</v>
      </c>
    </row>
    <row r="307" spans="1:25">
      <c r="A307">
        <v>306</v>
      </c>
      <c r="B307" t="s">
        <v>33</v>
      </c>
      <c r="C307" t="s">
        <v>51</v>
      </c>
      <c r="D307" t="s">
        <v>26</v>
      </c>
      <c r="E307" t="s">
        <v>36</v>
      </c>
      <c r="F307" t="s">
        <v>28</v>
      </c>
      <c r="G307">
        <v>1</v>
      </c>
      <c r="H307" t="s">
        <v>29</v>
      </c>
      <c r="I307" t="s">
        <v>42</v>
      </c>
      <c r="J307" t="s">
        <v>39</v>
      </c>
      <c r="K307" t="s">
        <v>33</v>
      </c>
      <c r="L307">
        <v>36</v>
      </c>
      <c r="M307">
        <v>24</v>
      </c>
      <c r="N307" t="s">
        <v>44</v>
      </c>
      <c r="O307">
        <v>2</v>
      </c>
      <c r="P307">
        <v>2</v>
      </c>
      <c r="Q307">
        <v>2</v>
      </c>
      <c r="R307">
        <v>5674</v>
      </c>
      <c r="S307">
        <v>11</v>
      </c>
      <c r="T307">
        <v>3</v>
      </c>
      <c r="U307">
        <v>9</v>
      </c>
      <c r="V307">
        <v>8</v>
      </c>
      <c r="W307">
        <v>0</v>
      </c>
      <c r="X307">
        <v>8</v>
      </c>
      <c r="Y307">
        <f>IF(HR_data[[#This Row],[Attrition]]= "Yes",1,0)</f>
        <v>0</v>
      </c>
    </row>
    <row r="308" spans="1:25">
      <c r="A308">
        <v>307</v>
      </c>
      <c r="B308" t="s">
        <v>33</v>
      </c>
      <c r="C308" t="s">
        <v>25</v>
      </c>
      <c r="D308" t="s">
        <v>43</v>
      </c>
      <c r="E308" t="s">
        <v>27</v>
      </c>
      <c r="F308" t="s">
        <v>28</v>
      </c>
      <c r="G308">
        <v>1</v>
      </c>
      <c r="H308" t="s">
        <v>37</v>
      </c>
      <c r="I308" t="s">
        <v>30</v>
      </c>
      <c r="J308" t="s">
        <v>39</v>
      </c>
      <c r="K308" t="s">
        <v>33</v>
      </c>
      <c r="L308">
        <v>32</v>
      </c>
      <c r="M308">
        <v>7</v>
      </c>
      <c r="N308" t="s">
        <v>47</v>
      </c>
      <c r="O308">
        <v>4</v>
      </c>
      <c r="P308">
        <v>2</v>
      </c>
      <c r="Q308">
        <v>3</v>
      </c>
      <c r="R308">
        <v>5484</v>
      </c>
      <c r="S308">
        <v>13</v>
      </c>
      <c r="T308">
        <v>2</v>
      </c>
      <c r="U308">
        <v>13</v>
      </c>
      <c r="V308">
        <v>8</v>
      </c>
      <c r="W308">
        <v>4</v>
      </c>
      <c r="X308">
        <v>8</v>
      </c>
      <c r="Y308">
        <f>IF(HR_data[[#This Row],[Attrition]]= "Yes",1,0)</f>
        <v>0</v>
      </c>
    </row>
    <row r="309" spans="1:25">
      <c r="A309">
        <v>308</v>
      </c>
      <c r="B309" t="s">
        <v>33</v>
      </c>
      <c r="C309" t="s">
        <v>25</v>
      </c>
      <c r="D309" t="s">
        <v>26</v>
      </c>
      <c r="E309" t="s">
        <v>36</v>
      </c>
      <c r="F309" t="s">
        <v>28</v>
      </c>
      <c r="G309">
        <v>1</v>
      </c>
      <c r="H309" t="s">
        <v>29</v>
      </c>
      <c r="I309" t="s">
        <v>55</v>
      </c>
      <c r="J309" t="s">
        <v>39</v>
      </c>
      <c r="K309" t="s">
        <v>33</v>
      </c>
      <c r="L309">
        <v>38</v>
      </c>
      <c r="M309">
        <v>25</v>
      </c>
      <c r="N309" t="s">
        <v>32</v>
      </c>
      <c r="O309">
        <v>1</v>
      </c>
      <c r="P309">
        <v>3</v>
      </c>
      <c r="Q309">
        <v>2</v>
      </c>
      <c r="R309">
        <v>12061</v>
      </c>
      <c r="S309">
        <v>19</v>
      </c>
      <c r="T309">
        <v>3</v>
      </c>
      <c r="U309">
        <v>10</v>
      </c>
      <c r="V309">
        <v>8</v>
      </c>
      <c r="W309">
        <v>0</v>
      </c>
      <c r="X309">
        <v>1</v>
      </c>
      <c r="Y309">
        <f>IF(HR_data[[#This Row],[Attrition]]= "Yes",1,0)</f>
        <v>0</v>
      </c>
    </row>
    <row r="310" spans="1:25">
      <c r="A310">
        <v>309</v>
      </c>
      <c r="B310" t="s">
        <v>33</v>
      </c>
      <c r="C310" t="s">
        <v>51</v>
      </c>
      <c r="D310" t="s">
        <v>46</v>
      </c>
      <c r="E310" t="s">
        <v>36</v>
      </c>
      <c r="F310" t="s">
        <v>28</v>
      </c>
      <c r="G310">
        <v>1</v>
      </c>
      <c r="H310" t="s">
        <v>37</v>
      </c>
      <c r="I310" t="s">
        <v>50</v>
      </c>
      <c r="J310" t="s">
        <v>48</v>
      </c>
      <c r="K310" t="s">
        <v>24</v>
      </c>
      <c r="L310">
        <v>58</v>
      </c>
      <c r="M310">
        <v>1</v>
      </c>
      <c r="N310" t="s">
        <v>44</v>
      </c>
      <c r="O310">
        <v>4</v>
      </c>
      <c r="P310">
        <v>2</v>
      </c>
      <c r="Q310">
        <v>3</v>
      </c>
      <c r="R310">
        <v>5660</v>
      </c>
      <c r="S310">
        <v>12</v>
      </c>
      <c r="T310">
        <v>3</v>
      </c>
      <c r="U310">
        <v>5</v>
      </c>
      <c r="V310">
        <v>3</v>
      </c>
      <c r="W310">
        <v>1</v>
      </c>
      <c r="X310">
        <v>2</v>
      </c>
      <c r="Y310">
        <f>IF(HR_data[[#This Row],[Attrition]]= "Yes",1,0)</f>
        <v>0</v>
      </c>
    </row>
    <row r="311" spans="1:25">
      <c r="A311">
        <v>310</v>
      </c>
      <c r="B311" t="s">
        <v>33</v>
      </c>
      <c r="C311" t="s">
        <v>25</v>
      </c>
      <c r="D311" t="s">
        <v>43</v>
      </c>
      <c r="E311" t="s">
        <v>36</v>
      </c>
      <c r="F311" t="s">
        <v>57</v>
      </c>
      <c r="G311">
        <v>1</v>
      </c>
      <c r="H311" t="s">
        <v>37</v>
      </c>
      <c r="I311" t="s">
        <v>38</v>
      </c>
      <c r="J311" t="s">
        <v>39</v>
      </c>
      <c r="K311" t="s">
        <v>24</v>
      </c>
      <c r="L311">
        <v>31</v>
      </c>
      <c r="M311">
        <v>5</v>
      </c>
      <c r="N311" t="s">
        <v>44</v>
      </c>
      <c r="O311">
        <v>3</v>
      </c>
      <c r="P311">
        <v>1</v>
      </c>
      <c r="Q311">
        <v>4</v>
      </c>
      <c r="R311">
        <v>4821</v>
      </c>
      <c r="S311">
        <v>6</v>
      </c>
      <c r="T311">
        <v>3</v>
      </c>
      <c r="U311">
        <v>5</v>
      </c>
      <c r="V311">
        <v>2</v>
      </c>
      <c r="W311">
        <v>0</v>
      </c>
      <c r="X311">
        <v>3</v>
      </c>
      <c r="Y311">
        <f>IF(HR_data[[#This Row],[Attrition]]= "Yes",1,0)</f>
        <v>0</v>
      </c>
    </row>
    <row r="312" spans="1:25">
      <c r="A312">
        <v>311</v>
      </c>
      <c r="B312" t="s">
        <v>33</v>
      </c>
      <c r="C312" t="s">
        <v>25</v>
      </c>
      <c r="D312" t="s">
        <v>43</v>
      </c>
      <c r="E312" t="s">
        <v>59</v>
      </c>
      <c r="F312" t="s">
        <v>60</v>
      </c>
      <c r="G312">
        <v>1</v>
      </c>
      <c r="H312" t="s">
        <v>37</v>
      </c>
      <c r="I312" t="s">
        <v>60</v>
      </c>
      <c r="J312" t="s">
        <v>39</v>
      </c>
      <c r="K312" t="s">
        <v>33</v>
      </c>
      <c r="L312">
        <v>31</v>
      </c>
      <c r="M312">
        <v>2</v>
      </c>
      <c r="N312" t="s">
        <v>47</v>
      </c>
      <c r="O312">
        <v>1</v>
      </c>
      <c r="P312">
        <v>2</v>
      </c>
      <c r="Q312">
        <v>1</v>
      </c>
      <c r="R312">
        <v>6410</v>
      </c>
      <c r="S312">
        <v>9</v>
      </c>
      <c r="T312">
        <v>3</v>
      </c>
      <c r="U312">
        <v>2</v>
      </c>
      <c r="V312">
        <v>2</v>
      </c>
      <c r="W312">
        <v>1</v>
      </c>
      <c r="X312">
        <v>0</v>
      </c>
      <c r="Y312">
        <f>IF(HR_data[[#This Row],[Attrition]]= "Yes",1,0)</f>
        <v>0</v>
      </c>
    </row>
    <row r="313" spans="1:25">
      <c r="A313">
        <v>312</v>
      </c>
      <c r="B313" t="s">
        <v>33</v>
      </c>
      <c r="C313" t="s">
        <v>34</v>
      </c>
      <c r="D313" t="s">
        <v>35</v>
      </c>
      <c r="E313" t="s">
        <v>36</v>
      </c>
      <c r="F313" t="s">
        <v>28</v>
      </c>
      <c r="G313">
        <v>1</v>
      </c>
      <c r="H313" t="s">
        <v>37</v>
      </c>
      <c r="I313" t="s">
        <v>42</v>
      </c>
      <c r="J313" t="s">
        <v>48</v>
      </c>
      <c r="K313" t="s">
        <v>33</v>
      </c>
      <c r="L313">
        <v>45</v>
      </c>
      <c r="M313">
        <v>7</v>
      </c>
      <c r="N313" t="s">
        <v>47</v>
      </c>
      <c r="O313">
        <v>1</v>
      </c>
      <c r="P313">
        <v>3</v>
      </c>
      <c r="Q313">
        <v>1</v>
      </c>
      <c r="R313">
        <v>5210</v>
      </c>
      <c r="S313">
        <v>24</v>
      </c>
      <c r="T313">
        <v>3</v>
      </c>
      <c r="U313">
        <v>24</v>
      </c>
      <c r="V313">
        <v>9</v>
      </c>
      <c r="W313">
        <v>9</v>
      </c>
      <c r="X313">
        <v>11</v>
      </c>
      <c r="Y313">
        <f>IF(HR_data[[#This Row],[Attrition]]= "Yes",1,0)</f>
        <v>0</v>
      </c>
    </row>
    <row r="314" spans="1:25">
      <c r="A314">
        <v>313</v>
      </c>
      <c r="B314" t="s">
        <v>33</v>
      </c>
      <c r="C314" t="s">
        <v>25</v>
      </c>
      <c r="D314" t="s">
        <v>43</v>
      </c>
      <c r="E314" t="s">
        <v>36</v>
      </c>
      <c r="F314" t="s">
        <v>28</v>
      </c>
      <c r="G314">
        <v>1</v>
      </c>
      <c r="H314" t="s">
        <v>37</v>
      </c>
      <c r="I314" t="s">
        <v>38</v>
      </c>
      <c r="J314" t="s">
        <v>48</v>
      </c>
      <c r="K314" t="s">
        <v>24</v>
      </c>
      <c r="L314">
        <v>31</v>
      </c>
      <c r="M314">
        <v>2</v>
      </c>
      <c r="N314" t="s">
        <v>44</v>
      </c>
      <c r="O314">
        <v>3</v>
      </c>
      <c r="P314">
        <v>1</v>
      </c>
      <c r="Q314">
        <v>4</v>
      </c>
      <c r="R314">
        <v>2695</v>
      </c>
      <c r="S314">
        <v>3</v>
      </c>
      <c r="T314">
        <v>1</v>
      </c>
      <c r="U314">
        <v>2</v>
      </c>
      <c r="V314">
        <v>2</v>
      </c>
      <c r="W314">
        <v>2</v>
      </c>
      <c r="X314">
        <v>2</v>
      </c>
      <c r="Y314">
        <f>IF(HR_data[[#This Row],[Attrition]]= "Yes",1,0)</f>
        <v>0</v>
      </c>
    </row>
    <row r="315" spans="1:25">
      <c r="A315">
        <v>314</v>
      </c>
      <c r="B315" t="s">
        <v>33</v>
      </c>
      <c r="C315" t="s">
        <v>34</v>
      </c>
      <c r="D315" t="s">
        <v>43</v>
      </c>
      <c r="E315" t="s">
        <v>36</v>
      </c>
      <c r="F315" t="s">
        <v>28</v>
      </c>
      <c r="G315">
        <v>1</v>
      </c>
      <c r="H315" t="s">
        <v>29</v>
      </c>
      <c r="I315" t="s">
        <v>53</v>
      </c>
      <c r="J315" t="s">
        <v>39</v>
      </c>
      <c r="K315" t="s">
        <v>33</v>
      </c>
      <c r="L315">
        <v>33</v>
      </c>
      <c r="M315">
        <v>5</v>
      </c>
      <c r="N315" t="s">
        <v>44</v>
      </c>
      <c r="O315">
        <v>4</v>
      </c>
      <c r="P315">
        <v>3</v>
      </c>
      <c r="Q315">
        <v>2</v>
      </c>
      <c r="R315">
        <v>11878</v>
      </c>
      <c r="S315">
        <v>12</v>
      </c>
      <c r="T315">
        <v>3</v>
      </c>
      <c r="U315">
        <v>10</v>
      </c>
      <c r="V315">
        <v>6</v>
      </c>
      <c r="W315">
        <v>8</v>
      </c>
      <c r="X315">
        <v>8</v>
      </c>
      <c r="Y315">
        <f>IF(HR_data[[#This Row],[Attrition]]= "Yes",1,0)</f>
        <v>0</v>
      </c>
    </row>
    <row r="316" spans="1:25">
      <c r="A316">
        <v>315</v>
      </c>
      <c r="B316" t="s">
        <v>33</v>
      </c>
      <c r="C316" t="s">
        <v>25</v>
      </c>
      <c r="D316" t="s">
        <v>26</v>
      </c>
      <c r="E316" t="s">
        <v>36</v>
      </c>
      <c r="F316" t="s">
        <v>45</v>
      </c>
      <c r="G316">
        <v>1</v>
      </c>
      <c r="H316" t="s">
        <v>37</v>
      </c>
      <c r="I316" t="s">
        <v>53</v>
      </c>
      <c r="J316" t="s">
        <v>39</v>
      </c>
      <c r="K316" t="s">
        <v>24</v>
      </c>
      <c r="L316">
        <v>39</v>
      </c>
      <c r="M316">
        <v>10</v>
      </c>
      <c r="N316" t="s">
        <v>40</v>
      </c>
      <c r="O316">
        <v>3</v>
      </c>
      <c r="P316">
        <v>4</v>
      </c>
      <c r="Q316">
        <v>1</v>
      </c>
      <c r="R316">
        <v>17068</v>
      </c>
      <c r="S316">
        <v>21</v>
      </c>
      <c r="T316">
        <v>3</v>
      </c>
      <c r="U316">
        <v>21</v>
      </c>
      <c r="V316">
        <v>9</v>
      </c>
      <c r="W316">
        <v>11</v>
      </c>
      <c r="X316">
        <v>10</v>
      </c>
      <c r="Y316">
        <f>IF(HR_data[[#This Row],[Attrition]]= "Yes",1,0)</f>
        <v>0</v>
      </c>
    </row>
    <row r="317" spans="1:25">
      <c r="A317">
        <v>316</v>
      </c>
      <c r="B317" t="s">
        <v>33</v>
      </c>
      <c r="C317" t="s">
        <v>34</v>
      </c>
      <c r="D317" t="s">
        <v>26</v>
      </c>
      <c r="E317" t="s">
        <v>36</v>
      </c>
      <c r="F317" t="s">
        <v>28</v>
      </c>
      <c r="G317">
        <v>1</v>
      </c>
      <c r="H317" t="s">
        <v>29</v>
      </c>
      <c r="I317" t="s">
        <v>42</v>
      </c>
      <c r="J317" t="s">
        <v>31</v>
      </c>
      <c r="K317" t="s">
        <v>33</v>
      </c>
      <c r="L317">
        <v>43</v>
      </c>
      <c r="M317">
        <v>10</v>
      </c>
      <c r="N317" t="s">
        <v>44</v>
      </c>
      <c r="O317">
        <v>3</v>
      </c>
      <c r="P317">
        <v>1</v>
      </c>
      <c r="Q317">
        <v>4</v>
      </c>
      <c r="R317">
        <v>2455</v>
      </c>
      <c r="S317">
        <v>9</v>
      </c>
      <c r="T317">
        <v>3</v>
      </c>
      <c r="U317">
        <v>8</v>
      </c>
      <c r="V317">
        <v>7</v>
      </c>
      <c r="W317">
        <v>1</v>
      </c>
      <c r="X317">
        <v>7</v>
      </c>
      <c r="Y317">
        <f>IF(HR_data[[#This Row],[Attrition]]= "Yes",1,0)</f>
        <v>0</v>
      </c>
    </row>
    <row r="318" spans="1:25">
      <c r="A318">
        <v>317</v>
      </c>
      <c r="B318" t="s">
        <v>33</v>
      </c>
      <c r="C318" t="s">
        <v>25</v>
      </c>
      <c r="D318" t="s">
        <v>35</v>
      </c>
      <c r="E318" t="s">
        <v>36</v>
      </c>
      <c r="F318" t="s">
        <v>57</v>
      </c>
      <c r="G318">
        <v>1</v>
      </c>
      <c r="H318" t="s">
        <v>29</v>
      </c>
      <c r="I318" t="s">
        <v>50</v>
      </c>
      <c r="J318" t="s">
        <v>31</v>
      </c>
      <c r="K318" t="s">
        <v>24</v>
      </c>
      <c r="L318">
        <v>49</v>
      </c>
      <c r="M318">
        <v>1</v>
      </c>
      <c r="N318" t="s">
        <v>32</v>
      </c>
      <c r="O318">
        <v>3</v>
      </c>
      <c r="P318">
        <v>4</v>
      </c>
      <c r="Q318">
        <v>3</v>
      </c>
      <c r="R318">
        <v>13964</v>
      </c>
      <c r="S318">
        <v>25</v>
      </c>
      <c r="T318">
        <v>3</v>
      </c>
      <c r="U318">
        <v>7</v>
      </c>
      <c r="V318">
        <v>1</v>
      </c>
      <c r="W318">
        <v>0</v>
      </c>
      <c r="X318">
        <v>7</v>
      </c>
      <c r="Y318">
        <f>IF(HR_data[[#This Row],[Attrition]]= "Yes",1,0)</f>
        <v>0</v>
      </c>
    </row>
    <row r="319" spans="1:25">
      <c r="A319">
        <v>318</v>
      </c>
      <c r="B319" t="s">
        <v>24</v>
      </c>
      <c r="C319" t="s">
        <v>25</v>
      </c>
      <c r="D319" t="s">
        <v>35</v>
      </c>
      <c r="E319" t="s">
        <v>36</v>
      </c>
      <c r="F319" t="s">
        <v>45</v>
      </c>
      <c r="G319">
        <v>1</v>
      </c>
      <c r="H319" t="s">
        <v>37</v>
      </c>
      <c r="I319" t="s">
        <v>38</v>
      </c>
      <c r="J319" t="s">
        <v>39</v>
      </c>
      <c r="K319" t="s">
        <v>33</v>
      </c>
      <c r="L319">
        <v>52</v>
      </c>
      <c r="M319">
        <v>8</v>
      </c>
      <c r="N319" t="s">
        <v>44</v>
      </c>
      <c r="O319">
        <v>3</v>
      </c>
      <c r="P319">
        <v>2</v>
      </c>
      <c r="Q319">
        <v>2</v>
      </c>
      <c r="R319">
        <v>4941</v>
      </c>
      <c r="S319">
        <v>11</v>
      </c>
      <c r="T319">
        <v>2</v>
      </c>
      <c r="U319">
        <v>8</v>
      </c>
      <c r="V319">
        <v>2</v>
      </c>
      <c r="W319">
        <v>7</v>
      </c>
      <c r="X319">
        <v>7</v>
      </c>
      <c r="Y319">
        <f>IF(HR_data[[#This Row],[Attrition]]= "Yes",1,0)</f>
        <v>1</v>
      </c>
    </row>
    <row r="320" spans="1:25">
      <c r="A320">
        <v>319</v>
      </c>
      <c r="B320" t="s">
        <v>33</v>
      </c>
      <c r="C320" t="s">
        <v>25</v>
      </c>
      <c r="D320" t="s">
        <v>43</v>
      </c>
      <c r="E320" t="s">
        <v>36</v>
      </c>
      <c r="F320" t="s">
        <v>28</v>
      </c>
      <c r="G320">
        <v>1</v>
      </c>
      <c r="H320" t="s">
        <v>29</v>
      </c>
      <c r="I320" t="s">
        <v>38</v>
      </c>
      <c r="J320" t="s">
        <v>31</v>
      </c>
      <c r="K320" t="s">
        <v>24</v>
      </c>
      <c r="L320">
        <v>27</v>
      </c>
      <c r="M320">
        <v>5</v>
      </c>
      <c r="N320" t="s">
        <v>47</v>
      </c>
      <c r="O320">
        <v>3</v>
      </c>
      <c r="P320">
        <v>1</v>
      </c>
      <c r="Q320">
        <v>2</v>
      </c>
      <c r="R320">
        <v>2478</v>
      </c>
      <c r="S320">
        <v>4</v>
      </c>
      <c r="T320">
        <v>2</v>
      </c>
      <c r="U320">
        <v>4</v>
      </c>
      <c r="V320">
        <v>3</v>
      </c>
      <c r="W320">
        <v>1</v>
      </c>
      <c r="X320">
        <v>2</v>
      </c>
      <c r="Y320">
        <f>IF(HR_data[[#This Row],[Attrition]]= "Yes",1,0)</f>
        <v>0</v>
      </c>
    </row>
    <row r="321" spans="1:25">
      <c r="A321">
        <v>320</v>
      </c>
      <c r="B321" t="s">
        <v>33</v>
      </c>
      <c r="C321" t="s">
        <v>25</v>
      </c>
      <c r="D321" t="s">
        <v>43</v>
      </c>
      <c r="E321" t="s">
        <v>27</v>
      </c>
      <c r="F321" t="s">
        <v>57</v>
      </c>
      <c r="G321">
        <v>1</v>
      </c>
      <c r="H321" t="s">
        <v>29</v>
      </c>
      <c r="I321" t="s">
        <v>30</v>
      </c>
      <c r="J321" t="s">
        <v>39</v>
      </c>
      <c r="K321" t="s">
        <v>24</v>
      </c>
      <c r="L321">
        <v>32</v>
      </c>
      <c r="M321">
        <v>8</v>
      </c>
      <c r="N321" t="s">
        <v>32</v>
      </c>
      <c r="O321">
        <v>3</v>
      </c>
      <c r="P321">
        <v>2</v>
      </c>
      <c r="Q321">
        <v>2</v>
      </c>
      <c r="R321">
        <v>5228</v>
      </c>
      <c r="S321">
        <v>13</v>
      </c>
      <c r="T321">
        <v>3</v>
      </c>
      <c r="U321">
        <v>13</v>
      </c>
      <c r="V321">
        <v>12</v>
      </c>
      <c r="W321">
        <v>11</v>
      </c>
      <c r="X321">
        <v>9</v>
      </c>
      <c r="Y321">
        <f>IF(HR_data[[#This Row],[Attrition]]= "Yes",1,0)</f>
        <v>0</v>
      </c>
    </row>
    <row r="322" spans="1:25">
      <c r="A322">
        <v>321</v>
      </c>
      <c r="B322" t="s">
        <v>33</v>
      </c>
      <c r="C322" t="s">
        <v>25</v>
      </c>
      <c r="D322" t="s">
        <v>43</v>
      </c>
      <c r="E322" t="s">
        <v>27</v>
      </c>
      <c r="F322" t="s">
        <v>28</v>
      </c>
      <c r="G322">
        <v>1</v>
      </c>
      <c r="H322" t="s">
        <v>37</v>
      </c>
      <c r="I322" t="s">
        <v>30</v>
      </c>
      <c r="J322" t="s">
        <v>31</v>
      </c>
      <c r="K322" t="s">
        <v>24</v>
      </c>
      <c r="L322">
        <v>27</v>
      </c>
      <c r="M322">
        <v>2</v>
      </c>
      <c r="N322" t="s">
        <v>47</v>
      </c>
      <c r="O322">
        <v>4</v>
      </c>
      <c r="P322">
        <v>2</v>
      </c>
      <c r="Q322">
        <v>3</v>
      </c>
      <c r="R322">
        <v>4478</v>
      </c>
      <c r="S322">
        <v>5</v>
      </c>
      <c r="T322">
        <v>3</v>
      </c>
      <c r="U322">
        <v>5</v>
      </c>
      <c r="V322">
        <v>4</v>
      </c>
      <c r="W322">
        <v>0</v>
      </c>
      <c r="X322">
        <v>4</v>
      </c>
      <c r="Y322">
        <f>IF(HR_data[[#This Row],[Attrition]]= "Yes",1,0)</f>
        <v>0</v>
      </c>
    </row>
    <row r="323" spans="1:25">
      <c r="A323">
        <v>322</v>
      </c>
      <c r="B323" t="s">
        <v>33</v>
      </c>
      <c r="C323" t="s">
        <v>25</v>
      </c>
      <c r="D323" t="s">
        <v>43</v>
      </c>
      <c r="E323" t="s">
        <v>27</v>
      </c>
      <c r="F323" t="s">
        <v>56</v>
      </c>
      <c r="G323">
        <v>1</v>
      </c>
      <c r="H323" t="s">
        <v>37</v>
      </c>
      <c r="I323" t="s">
        <v>30</v>
      </c>
      <c r="J323" t="s">
        <v>48</v>
      </c>
      <c r="K323" t="s">
        <v>33</v>
      </c>
      <c r="L323">
        <v>31</v>
      </c>
      <c r="M323">
        <v>7</v>
      </c>
      <c r="N323" t="s">
        <v>47</v>
      </c>
      <c r="O323">
        <v>4</v>
      </c>
      <c r="P323">
        <v>2</v>
      </c>
      <c r="Q323">
        <v>4</v>
      </c>
      <c r="R323">
        <v>7547</v>
      </c>
      <c r="S323">
        <v>13</v>
      </c>
      <c r="T323">
        <v>3</v>
      </c>
      <c r="U323">
        <v>7</v>
      </c>
      <c r="V323">
        <v>7</v>
      </c>
      <c r="W323">
        <v>1</v>
      </c>
      <c r="X323">
        <v>7</v>
      </c>
      <c r="Y323">
        <f>IF(HR_data[[#This Row],[Attrition]]= "Yes",1,0)</f>
        <v>0</v>
      </c>
    </row>
    <row r="324" spans="1:25">
      <c r="A324">
        <v>323</v>
      </c>
      <c r="B324" t="s">
        <v>33</v>
      </c>
      <c r="C324" t="s">
        <v>25</v>
      </c>
      <c r="D324" t="s">
        <v>43</v>
      </c>
      <c r="E324" t="s">
        <v>36</v>
      </c>
      <c r="F324" t="s">
        <v>45</v>
      </c>
      <c r="G324">
        <v>1</v>
      </c>
      <c r="H324" t="s">
        <v>29</v>
      </c>
      <c r="I324" t="s">
        <v>38</v>
      </c>
      <c r="J324" t="s">
        <v>31</v>
      </c>
      <c r="K324" t="s">
        <v>33</v>
      </c>
      <c r="L324">
        <v>32</v>
      </c>
      <c r="M324">
        <v>2</v>
      </c>
      <c r="N324" t="s">
        <v>44</v>
      </c>
      <c r="O324">
        <v>1</v>
      </c>
      <c r="P324">
        <v>2</v>
      </c>
      <c r="Q324">
        <v>4</v>
      </c>
      <c r="R324">
        <v>5055</v>
      </c>
      <c r="S324">
        <v>10</v>
      </c>
      <c r="T324">
        <v>2</v>
      </c>
      <c r="U324">
        <v>7</v>
      </c>
      <c r="V324">
        <v>7</v>
      </c>
      <c r="W324">
        <v>0</v>
      </c>
      <c r="X324">
        <v>7</v>
      </c>
      <c r="Y324">
        <f>IF(HR_data[[#This Row],[Attrition]]= "Yes",1,0)</f>
        <v>0</v>
      </c>
    </row>
    <row r="325" spans="1:25">
      <c r="A325">
        <v>324</v>
      </c>
      <c r="B325" t="s">
        <v>24</v>
      </c>
      <c r="C325" t="s">
        <v>25</v>
      </c>
      <c r="D325" t="s">
        <v>43</v>
      </c>
      <c r="E325" t="s">
        <v>36</v>
      </c>
      <c r="F325" t="s">
        <v>45</v>
      </c>
      <c r="G325">
        <v>1</v>
      </c>
      <c r="H325" t="s">
        <v>37</v>
      </c>
      <c r="I325" t="s">
        <v>38</v>
      </c>
      <c r="J325" t="s">
        <v>39</v>
      </c>
      <c r="K325" t="s">
        <v>24</v>
      </c>
      <c r="L325">
        <v>28</v>
      </c>
      <c r="M325">
        <v>2</v>
      </c>
      <c r="N325" t="s">
        <v>44</v>
      </c>
      <c r="O325">
        <v>1</v>
      </c>
      <c r="P325">
        <v>1</v>
      </c>
      <c r="Q325">
        <v>4</v>
      </c>
      <c r="R325">
        <v>3464</v>
      </c>
      <c r="S325">
        <v>5</v>
      </c>
      <c r="T325">
        <v>2</v>
      </c>
      <c r="U325">
        <v>3</v>
      </c>
      <c r="V325">
        <v>2</v>
      </c>
      <c r="W325">
        <v>2</v>
      </c>
      <c r="X325">
        <v>2</v>
      </c>
      <c r="Y325">
        <f>IF(HR_data[[#This Row],[Attrition]]= "Yes",1,0)</f>
        <v>1</v>
      </c>
    </row>
    <row r="326" spans="1:25">
      <c r="A326">
        <v>325</v>
      </c>
      <c r="B326" t="s">
        <v>33</v>
      </c>
      <c r="C326" t="s">
        <v>25</v>
      </c>
      <c r="D326" t="s">
        <v>43</v>
      </c>
      <c r="E326" t="s">
        <v>36</v>
      </c>
      <c r="F326" t="s">
        <v>45</v>
      </c>
      <c r="G326">
        <v>1</v>
      </c>
      <c r="H326" t="s">
        <v>29</v>
      </c>
      <c r="I326" t="s">
        <v>38</v>
      </c>
      <c r="J326" t="s">
        <v>39</v>
      </c>
      <c r="K326" t="s">
        <v>33</v>
      </c>
      <c r="L326">
        <v>30</v>
      </c>
      <c r="M326">
        <v>28</v>
      </c>
      <c r="N326" t="s">
        <v>32</v>
      </c>
      <c r="O326">
        <v>4</v>
      </c>
      <c r="P326">
        <v>2</v>
      </c>
      <c r="Q326">
        <v>4</v>
      </c>
      <c r="R326">
        <v>5775</v>
      </c>
      <c r="S326">
        <v>11</v>
      </c>
      <c r="T326">
        <v>3</v>
      </c>
      <c r="U326">
        <v>10</v>
      </c>
      <c r="V326">
        <v>8</v>
      </c>
      <c r="W326">
        <v>1</v>
      </c>
      <c r="X326">
        <v>9</v>
      </c>
      <c r="Y326">
        <f>IF(HR_data[[#This Row],[Attrition]]= "Yes",1,0)</f>
        <v>0</v>
      </c>
    </row>
    <row r="327" spans="1:25">
      <c r="A327">
        <v>326</v>
      </c>
      <c r="B327" t="s">
        <v>33</v>
      </c>
      <c r="C327" t="s">
        <v>34</v>
      </c>
      <c r="D327" t="s">
        <v>43</v>
      </c>
      <c r="E327" t="s">
        <v>36</v>
      </c>
      <c r="F327" t="s">
        <v>28</v>
      </c>
      <c r="G327">
        <v>1</v>
      </c>
      <c r="H327" t="s">
        <v>29</v>
      </c>
      <c r="I327" t="s">
        <v>49</v>
      </c>
      <c r="J327" t="s">
        <v>39</v>
      </c>
      <c r="K327" t="s">
        <v>33</v>
      </c>
      <c r="L327">
        <v>31</v>
      </c>
      <c r="M327">
        <v>7</v>
      </c>
      <c r="N327" t="s">
        <v>32</v>
      </c>
      <c r="O327">
        <v>3</v>
      </c>
      <c r="P327">
        <v>3</v>
      </c>
      <c r="Q327">
        <v>3</v>
      </c>
      <c r="R327">
        <v>8943</v>
      </c>
      <c r="S327">
        <v>10</v>
      </c>
      <c r="T327">
        <v>3</v>
      </c>
      <c r="U327">
        <v>10</v>
      </c>
      <c r="V327">
        <v>9</v>
      </c>
      <c r="W327">
        <v>8</v>
      </c>
      <c r="X327">
        <v>9</v>
      </c>
      <c r="Y327">
        <f>IF(HR_data[[#This Row],[Attrition]]= "Yes",1,0)</f>
        <v>0</v>
      </c>
    </row>
    <row r="328" spans="1:25">
      <c r="A328">
        <v>327</v>
      </c>
      <c r="B328" t="s">
        <v>33</v>
      </c>
      <c r="C328" t="s">
        <v>34</v>
      </c>
      <c r="D328" t="s">
        <v>26</v>
      </c>
      <c r="E328" t="s">
        <v>36</v>
      </c>
      <c r="F328" t="s">
        <v>45</v>
      </c>
      <c r="G328">
        <v>1</v>
      </c>
      <c r="H328" t="s">
        <v>37</v>
      </c>
      <c r="I328" t="s">
        <v>53</v>
      </c>
      <c r="J328" t="s">
        <v>39</v>
      </c>
      <c r="K328" t="s">
        <v>33</v>
      </c>
      <c r="L328">
        <v>39</v>
      </c>
      <c r="M328">
        <v>7</v>
      </c>
      <c r="N328" t="s">
        <v>32</v>
      </c>
      <c r="O328">
        <v>3</v>
      </c>
      <c r="P328">
        <v>5</v>
      </c>
      <c r="Q328">
        <v>4</v>
      </c>
      <c r="R328">
        <v>19272</v>
      </c>
      <c r="S328">
        <v>21</v>
      </c>
      <c r="T328">
        <v>3</v>
      </c>
      <c r="U328">
        <v>21</v>
      </c>
      <c r="V328">
        <v>9</v>
      </c>
      <c r="W328">
        <v>13</v>
      </c>
      <c r="X328">
        <v>3</v>
      </c>
      <c r="Y328">
        <f>IF(HR_data[[#This Row],[Attrition]]= "Yes",1,0)</f>
        <v>0</v>
      </c>
    </row>
    <row r="329" spans="1:25">
      <c r="A329">
        <v>328</v>
      </c>
      <c r="B329" t="s">
        <v>24</v>
      </c>
      <c r="C329" t="s">
        <v>25</v>
      </c>
      <c r="D329" t="s">
        <v>26</v>
      </c>
      <c r="E329" t="s">
        <v>27</v>
      </c>
      <c r="F329" t="s">
        <v>45</v>
      </c>
      <c r="G329">
        <v>1</v>
      </c>
      <c r="H329" t="s">
        <v>29</v>
      </c>
      <c r="I329" t="s">
        <v>30</v>
      </c>
      <c r="J329" t="s">
        <v>39</v>
      </c>
      <c r="K329" t="s">
        <v>24</v>
      </c>
      <c r="L329">
        <v>39</v>
      </c>
      <c r="M329">
        <v>3</v>
      </c>
      <c r="N329" t="s">
        <v>32</v>
      </c>
      <c r="O329">
        <v>4</v>
      </c>
      <c r="P329">
        <v>2</v>
      </c>
      <c r="Q329">
        <v>3</v>
      </c>
      <c r="R329">
        <v>5238</v>
      </c>
      <c r="S329">
        <v>12</v>
      </c>
      <c r="T329">
        <v>2</v>
      </c>
      <c r="U329">
        <v>1</v>
      </c>
      <c r="V329">
        <v>0</v>
      </c>
      <c r="W329">
        <v>0</v>
      </c>
      <c r="X329">
        <v>0</v>
      </c>
      <c r="Y329">
        <f>IF(HR_data[[#This Row],[Attrition]]= "Yes",1,0)</f>
        <v>1</v>
      </c>
    </row>
    <row r="330" spans="1:25">
      <c r="A330">
        <v>329</v>
      </c>
      <c r="B330" t="s">
        <v>33</v>
      </c>
      <c r="C330" t="s">
        <v>34</v>
      </c>
      <c r="D330" t="s">
        <v>43</v>
      </c>
      <c r="E330" t="s">
        <v>27</v>
      </c>
      <c r="F330" t="s">
        <v>56</v>
      </c>
      <c r="G330">
        <v>1</v>
      </c>
      <c r="H330" t="s">
        <v>37</v>
      </c>
      <c r="I330" t="s">
        <v>30</v>
      </c>
      <c r="J330" t="s">
        <v>31</v>
      </c>
      <c r="K330" t="s">
        <v>33</v>
      </c>
      <c r="L330">
        <v>33</v>
      </c>
      <c r="M330">
        <v>10</v>
      </c>
      <c r="N330" t="s">
        <v>47</v>
      </c>
      <c r="O330">
        <v>2</v>
      </c>
      <c r="P330">
        <v>2</v>
      </c>
      <c r="Q330">
        <v>4</v>
      </c>
      <c r="R330">
        <v>4682</v>
      </c>
      <c r="S330">
        <v>9</v>
      </c>
      <c r="T330">
        <v>2</v>
      </c>
      <c r="U330">
        <v>7</v>
      </c>
      <c r="V330">
        <v>7</v>
      </c>
      <c r="W330">
        <v>0</v>
      </c>
      <c r="X330">
        <v>1</v>
      </c>
      <c r="Y330">
        <f>IF(HR_data[[#This Row],[Attrition]]= "Yes",1,0)</f>
        <v>0</v>
      </c>
    </row>
    <row r="331" spans="1:25">
      <c r="A331">
        <v>330</v>
      </c>
      <c r="B331" t="s">
        <v>33</v>
      </c>
      <c r="C331" t="s">
        <v>25</v>
      </c>
      <c r="D331" t="s">
        <v>35</v>
      </c>
      <c r="E331" t="s">
        <v>36</v>
      </c>
      <c r="F331" t="s">
        <v>28</v>
      </c>
      <c r="G331">
        <v>1</v>
      </c>
      <c r="H331" t="s">
        <v>37</v>
      </c>
      <c r="I331" t="s">
        <v>55</v>
      </c>
      <c r="J331" t="s">
        <v>39</v>
      </c>
      <c r="K331" t="s">
        <v>33</v>
      </c>
      <c r="L331">
        <v>47</v>
      </c>
      <c r="M331">
        <v>5</v>
      </c>
      <c r="N331" t="s">
        <v>58</v>
      </c>
      <c r="O331">
        <v>4</v>
      </c>
      <c r="P331">
        <v>5</v>
      </c>
      <c r="Q331">
        <v>3</v>
      </c>
      <c r="R331">
        <v>18300</v>
      </c>
      <c r="S331">
        <v>21</v>
      </c>
      <c r="T331">
        <v>3</v>
      </c>
      <c r="U331">
        <v>3</v>
      </c>
      <c r="V331">
        <v>2</v>
      </c>
      <c r="W331">
        <v>1</v>
      </c>
      <c r="X331">
        <v>1</v>
      </c>
      <c r="Y331">
        <f>IF(HR_data[[#This Row],[Attrition]]= "Yes",1,0)</f>
        <v>0</v>
      </c>
    </row>
    <row r="332" spans="1:25">
      <c r="A332">
        <v>331</v>
      </c>
      <c r="B332" t="s">
        <v>33</v>
      </c>
      <c r="C332" t="s">
        <v>34</v>
      </c>
      <c r="D332" t="s">
        <v>26</v>
      </c>
      <c r="E332" t="s">
        <v>36</v>
      </c>
      <c r="F332" t="s">
        <v>28</v>
      </c>
      <c r="G332">
        <v>1</v>
      </c>
      <c r="H332" t="s">
        <v>29</v>
      </c>
      <c r="I332" t="s">
        <v>42</v>
      </c>
      <c r="J332" t="s">
        <v>48</v>
      </c>
      <c r="K332" t="s">
        <v>33</v>
      </c>
      <c r="L332">
        <v>43</v>
      </c>
      <c r="M332">
        <v>10</v>
      </c>
      <c r="N332" t="s">
        <v>44</v>
      </c>
      <c r="O332">
        <v>3</v>
      </c>
      <c r="P332">
        <v>2</v>
      </c>
      <c r="Q332">
        <v>3</v>
      </c>
      <c r="R332">
        <v>5257</v>
      </c>
      <c r="S332">
        <v>9</v>
      </c>
      <c r="T332">
        <v>4</v>
      </c>
      <c r="U332">
        <v>9</v>
      </c>
      <c r="V332">
        <v>7</v>
      </c>
      <c r="W332">
        <v>0</v>
      </c>
      <c r="X332">
        <v>0</v>
      </c>
      <c r="Y332">
        <f>IF(HR_data[[#This Row],[Attrition]]= "Yes",1,0)</f>
        <v>0</v>
      </c>
    </row>
    <row r="333" spans="1:25">
      <c r="A333">
        <v>332</v>
      </c>
      <c r="B333" t="s">
        <v>33</v>
      </c>
      <c r="C333" t="s">
        <v>51</v>
      </c>
      <c r="D333" t="s">
        <v>43</v>
      </c>
      <c r="E333" t="s">
        <v>27</v>
      </c>
      <c r="F333" t="s">
        <v>56</v>
      </c>
      <c r="G333">
        <v>1</v>
      </c>
      <c r="H333" t="s">
        <v>37</v>
      </c>
      <c r="I333" t="s">
        <v>30</v>
      </c>
      <c r="J333" t="s">
        <v>39</v>
      </c>
      <c r="K333" t="s">
        <v>24</v>
      </c>
      <c r="L333">
        <v>27</v>
      </c>
      <c r="M333">
        <v>1</v>
      </c>
      <c r="N333" t="s">
        <v>40</v>
      </c>
      <c r="O333">
        <v>3</v>
      </c>
      <c r="P333">
        <v>2</v>
      </c>
      <c r="Q333">
        <v>2</v>
      </c>
      <c r="R333">
        <v>6349</v>
      </c>
      <c r="S333">
        <v>6</v>
      </c>
      <c r="T333">
        <v>3</v>
      </c>
      <c r="U333">
        <v>5</v>
      </c>
      <c r="V333">
        <v>4</v>
      </c>
      <c r="W333">
        <v>1</v>
      </c>
      <c r="X333">
        <v>4</v>
      </c>
      <c r="Y333">
        <f>IF(HR_data[[#This Row],[Attrition]]= "Yes",1,0)</f>
        <v>0</v>
      </c>
    </row>
    <row r="334" spans="1:25">
      <c r="A334">
        <v>333</v>
      </c>
      <c r="B334" t="s">
        <v>33</v>
      </c>
      <c r="C334" t="s">
        <v>34</v>
      </c>
      <c r="D334" t="s">
        <v>35</v>
      </c>
      <c r="E334" t="s">
        <v>36</v>
      </c>
      <c r="F334" t="s">
        <v>28</v>
      </c>
      <c r="G334">
        <v>1</v>
      </c>
      <c r="H334" t="s">
        <v>29</v>
      </c>
      <c r="I334" t="s">
        <v>38</v>
      </c>
      <c r="J334" t="s">
        <v>31</v>
      </c>
      <c r="K334" t="s">
        <v>33</v>
      </c>
      <c r="L334">
        <v>54</v>
      </c>
      <c r="M334">
        <v>20</v>
      </c>
      <c r="N334" t="s">
        <v>44</v>
      </c>
      <c r="O334">
        <v>4</v>
      </c>
      <c r="P334">
        <v>2</v>
      </c>
      <c r="Q334">
        <v>3</v>
      </c>
      <c r="R334">
        <v>4869</v>
      </c>
      <c r="S334">
        <v>20</v>
      </c>
      <c r="T334">
        <v>2</v>
      </c>
      <c r="U334">
        <v>4</v>
      </c>
      <c r="V334">
        <v>3</v>
      </c>
      <c r="W334">
        <v>0</v>
      </c>
      <c r="X334">
        <v>3</v>
      </c>
      <c r="Y334">
        <f>IF(HR_data[[#This Row],[Attrition]]= "Yes",1,0)</f>
        <v>0</v>
      </c>
    </row>
    <row r="335" spans="1:25">
      <c r="A335">
        <v>334</v>
      </c>
      <c r="B335" t="s">
        <v>33</v>
      </c>
      <c r="C335" t="s">
        <v>25</v>
      </c>
      <c r="D335" t="s">
        <v>26</v>
      </c>
      <c r="E335" t="s">
        <v>36</v>
      </c>
      <c r="F335" t="s">
        <v>28</v>
      </c>
      <c r="G335">
        <v>1</v>
      </c>
      <c r="H335" t="s">
        <v>29</v>
      </c>
      <c r="I335" t="s">
        <v>50</v>
      </c>
      <c r="J335" t="s">
        <v>39</v>
      </c>
      <c r="K335" t="s">
        <v>33</v>
      </c>
      <c r="L335">
        <v>43</v>
      </c>
      <c r="M335">
        <v>7</v>
      </c>
      <c r="N335" t="s">
        <v>47</v>
      </c>
      <c r="O335">
        <v>3</v>
      </c>
      <c r="P335">
        <v>3</v>
      </c>
      <c r="Q335">
        <v>1</v>
      </c>
      <c r="R335">
        <v>9985</v>
      </c>
      <c r="S335">
        <v>10</v>
      </c>
      <c r="T335">
        <v>2</v>
      </c>
      <c r="U335">
        <v>1</v>
      </c>
      <c r="V335">
        <v>0</v>
      </c>
      <c r="W335">
        <v>0</v>
      </c>
      <c r="X335">
        <v>0</v>
      </c>
      <c r="Y335">
        <f>IF(HR_data[[#This Row],[Attrition]]= "Yes",1,0)</f>
        <v>0</v>
      </c>
    </row>
    <row r="336" spans="1:25">
      <c r="A336">
        <v>335</v>
      </c>
      <c r="B336" t="s">
        <v>33</v>
      </c>
      <c r="C336" t="s">
        <v>25</v>
      </c>
      <c r="D336" t="s">
        <v>35</v>
      </c>
      <c r="E336" t="s">
        <v>36</v>
      </c>
      <c r="F336" t="s">
        <v>41</v>
      </c>
      <c r="G336">
        <v>1</v>
      </c>
      <c r="H336" t="s">
        <v>37</v>
      </c>
      <c r="I336" t="s">
        <v>38</v>
      </c>
      <c r="J336" t="s">
        <v>39</v>
      </c>
      <c r="K336" t="s">
        <v>33</v>
      </c>
      <c r="L336">
        <v>45</v>
      </c>
      <c r="M336">
        <v>8</v>
      </c>
      <c r="N336" t="s">
        <v>44</v>
      </c>
      <c r="O336">
        <v>4</v>
      </c>
      <c r="P336">
        <v>2</v>
      </c>
      <c r="Q336">
        <v>4</v>
      </c>
      <c r="R336">
        <v>3697</v>
      </c>
      <c r="S336">
        <v>12</v>
      </c>
      <c r="T336">
        <v>3</v>
      </c>
      <c r="U336">
        <v>10</v>
      </c>
      <c r="V336">
        <v>9</v>
      </c>
      <c r="W336">
        <v>9</v>
      </c>
      <c r="X336">
        <v>8</v>
      </c>
      <c r="Y336">
        <f>IF(HR_data[[#This Row],[Attrition]]= "Yes",1,0)</f>
        <v>0</v>
      </c>
    </row>
    <row r="337" spans="1:25">
      <c r="A337">
        <v>336</v>
      </c>
      <c r="B337" t="s">
        <v>33</v>
      </c>
      <c r="C337" t="s">
        <v>25</v>
      </c>
      <c r="D337" t="s">
        <v>26</v>
      </c>
      <c r="E337" t="s">
        <v>27</v>
      </c>
      <c r="F337" t="s">
        <v>45</v>
      </c>
      <c r="G337">
        <v>1</v>
      </c>
      <c r="H337" t="s">
        <v>37</v>
      </c>
      <c r="I337" t="s">
        <v>30</v>
      </c>
      <c r="J337" t="s">
        <v>39</v>
      </c>
      <c r="K337" t="s">
        <v>24</v>
      </c>
      <c r="L337">
        <v>40</v>
      </c>
      <c r="M337">
        <v>1</v>
      </c>
      <c r="N337" t="s">
        <v>32</v>
      </c>
      <c r="O337">
        <v>2</v>
      </c>
      <c r="P337">
        <v>2</v>
      </c>
      <c r="Q337">
        <v>4</v>
      </c>
      <c r="R337">
        <v>7457</v>
      </c>
      <c r="S337">
        <v>6</v>
      </c>
      <c r="T337">
        <v>2</v>
      </c>
      <c r="U337">
        <v>4</v>
      </c>
      <c r="V337">
        <v>3</v>
      </c>
      <c r="W337">
        <v>0</v>
      </c>
      <c r="X337">
        <v>2</v>
      </c>
      <c r="Y337">
        <f>IF(HR_data[[#This Row],[Attrition]]= "Yes",1,0)</f>
        <v>0</v>
      </c>
    </row>
    <row r="338" spans="1:25">
      <c r="A338">
        <v>337</v>
      </c>
      <c r="B338" t="s">
        <v>24</v>
      </c>
      <c r="C338" t="s">
        <v>25</v>
      </c>
      <c r="D338" t="s">
        <v>43</v>
      </c>
      <c r="E338" t="s">
        <v>36</v>
      </c>
      <c r="F338" t="s">
        <v>41</v>
      </c>
      <c r="G338">
        <v>1</v>
      </c>
      <c r="H338" t="s">
        <v>37</v>
      </c>
      <c r="I338" t="s">
        <v>42</v>
      </c>
      <c r="J338" t="s">
        <v>39</v>
      </c>
      <c r="K338" t="s">
        <v>24</v>
      </c>
      <c r="L338">
        <v>29</v>
      </c>
      <c r="M338">
        <v>8</v>
      </c>
      <c r="N338" t="s">
        <v>44</v>
      </c>
      <c r="O338">
        <v>2</v>
      </c>
      <c r="P338">
        <v>1</v>
      </c>
      <c r="Q338">
        <v>1</v>
      </c>
      <c r="R338">
        <v>2119</v>
      </c>
      <c r="S338">
        <v>7</v>
      </c>
      <c r="T338">
        <v>2</v>
      </c>
      <c r="U338">
        <v>7</v>
      </c>
      <c r="V338">
        <v>7</v>
      </c>
      <c r="W338">
        <v>0</v>
      </c>
      <c r="X338">
        <v>7</v>
      </c>
      <c r="Y338">
        <f>IF(HR_data[[#This Row],[Attrition]]= "Yes",1,0)</f>
        <v>1</v>
      </c>
    </row>
    <row r="339" spans="1:25">
      <c r="A339">
        <v>338</v>
      </c>
      <c r="B339" t="s">
        <v>33</v>
      </c>
      <c r="C339" t="s">
        <v>25</v>
      </c>
      <c r="D339" t="s">
        <v>43</v>
      </c>
      <c r="E339" t="s">
        <v>36</v>
      </c>
      <c r="F339" t="s">
        <v>41</v>
      </c>
      <c r="G339">
        <v>1</v>
      </c>
      <c r="H339" t="s">
        <v>37</v>
      </c>
      <c r="I339" t="s">
        <v>42</v>
      </c>
      <c r="J339" t="s">
        <v>31</v>
      </c>
      <c r="K339" t="s">
        <v>33</v>
      </c>
      <c r="L339">
        <v>29</v>
      </c>
      <c r="M339">
        <v>9</v>
      </c>
      <c r="N339" t="s">
        <v>58</v>
      </c>
      <c r="O339">
        <v>2</v>
      </c>
      <c r="P339">
        <v>1</v>
      </c>
      <c r="Q339">
        <v>4</v>
      </c>
      <c r="R339">
        <v>3983</v>
      </c>
      <c r="S339">
        <v>4</v>
      </c>
      <c r="T339">
        <v>3</v>
      </c>
      <c r="U339">
        <v>3</v>
      </c>
      <c r="V339">
        <v>2</v>
      </c>
      <c r="W339">
        <v>2</v>
      </c>
      <c r="X339">
        <v>2</v>
      </c>
      <c r="Y339">
        <f>IF(HR_data[[#This Row],[Attrition]]= "Yes",1,0)</f>
        <v>0</v>
      </c>
    </row>
    <row r="340" spans="1:25">
      <c r="A340">
        <v>339</v>
      </c>
      <c r="B340" t="s">
        <v>33</v>
      </c>
      <c r="C340" t="s">
        <v>25</v>
      </c>
      <c r="D340" t="s">
        <v>43</v>
      </c>
      <c r="E340" t="s">
        <v>27</v>
      </c>
      <c r="F340" t="s">
        <v>56</v>
      </c>
      <c r="G340">
        <v>1</v>
      </c>
      <c r="H340" t="s">
        <v>29</v>
      </c>
      <c r="I340" t="s">
        <v>30</v>
      </c>
      <c r="J340" t="s">
        <v>48</v>
      </c>
      <c r="K340" t="s">
        <v>33</v>
      </c>
      <c r="L340">
        <v>30</v>
      </c>
      <c r="M340">
        <v>5</v>
      </c>
      <c r="N340" t="s">
        <v>47</v>
      </c>
      <c r="O340">
        <v>4</v>
      </c>
      <c r="P340">
        <v>2</v>
      </c>
      <c r="Q340">
        <v>3</v>
      </c>
      <c r="R340">
        <v>6118</v>
      </c>
      <c r="S340">
        <v>10</v>
      </c>
      <c r="T340">
        <v>3</v>
      </c>
      <c r="U340">
        <v>10</v>
      </c>
      <c r="V340">
        <v>9</v>
      </c>
      <c r="W340">
        <v>1</v>
      </c>
      <c r="X340">
        <v>2</v>
      </c>
      <c r="Y340">
        <f>IF(HR_data[[#This Row],[Attrition]]= "Yes",1,0)</f>
        <v>0</v>
      </c>
    </row>
    <row r="341" spans="1:25">
      <c r="A341">
        <v>340</v>
      </c>
      <c r="B341" t="s">
        <v>33</v>
      </c>
      <c r="C341" t="s">
        <v>25</v>
      </c>
      <c r="D341" t="s">
        <v>43</v>
      </c>
      <c r="E341" t="s">
        <v>27</v>
      </c>
      <c r="F341" t="s">
        <v>56</v>
      </c>
      <c r="G341">
        <v>1</v>
      </c>
      <c r="H341" t="s">
        <v>29</v>
      </c>
      <c r="I341" t="s">
        <v>30</v>
      </c>
      <c r="J341" t="s">
        <v>39</v>
      </c>
      <c r="K341" t="s">
        <v>33</v>
      </c>
      <c r="L341">
        <v>27</v>
      </c>
      <c r="M341">
        <v>8</v>
      </c>
      <c r="N341" t="s">
        <v>44</v>
      </c>
      <c r="O341">
        <v>2</v>
      </c>
      <c r="P341">
        <v>2</v>
      </c>
      <c r="Q341">
        <v>2</v>
      </c>
      <c r="R341">
        <v>6214</v>
      </c>
      <c r="S341">
        <v>8</v>
      </c>
      <c r="T341">
        <v>3</v>
      </c>
      <c r="U341">
        <v>8</v>
      </c>
      <c r="V341">
        <v>7</v>
      </c>
      <c r="W341">
        <v>0</v>
      </c>
      <c r="X341">
        <v>7</v>
      </c>
      <c r="Y341">
        <f>IF(HR_data[[#This Row],[Attrition]]= "Yes",1,0)</f>
        <v>0</v>
      </c>
    </row>
    <row r="342" spans="1:25">
      <c r="A342">
        <v>341</v>
      </c>
      <c r="B342" t="s">
        <v>33</v>
      </c>
      <c r="C342" t="s">
        <v>25</v>
      </c>
      <c r="D342" t="s">
        <v>26</v>
      </c>
      <c r="E342" t="s">
        <v>36</v>
      </c>
      <c r="F342" t="s">
        <v>45</v>
      </c>
      <c r="G342">
        <v>1</v>
      </c>
      <c r="H342" t="s">
        <v>37</v>
      </c>
      <c r="I342" t="s">
        <v>49</v>
      </c>
      <c r="J342" t="s">
        <v>48</v>
      </c>
      <c r="K342" t="s">
        <v>33</v>
      </c>
      <c r="L342">
        <v>37</v>
      </c>
      <c r="M342">
        <v>5</v>
      </c>
      <c r="N342" t="s">
        <v>32</v>
      </c>
      <c r="O342">
        <v>4</v>
      </c>
      <c r="P342">
        <v>2</v>
      </c>
      <c r="Q342">
        <v>4</v>
      </c>
      <c r="R342">
        <v>6347</v>
      </c>
      <c r="S342">
        <v>8</v>
      </c>
      <c r="T342">
        <v>2</v>
      </c>
      <c r="U342">
        <v>6</v>
      </c>
      <c r="V342">
        <v>2</v>
      </c>
      <c r="W342">
        <v>0</v>
      </c>
      <c r="X342">
        <v>4</v>
      </c>
      <c r="Y342">
        <f>IF(HR_data[[#This Row],[Attrition]]= "Yes",1,0)</f>
        <v>0</v>
      </c>
    </row>
    <row r="343" spans="1:25">
      <c r="A343">
        <v>342</v>
      </c>
      <c r="B343" t="s">
        <v>33</v>
      </c>
      <c r="C343" t="s">
        <v>25</v>
      </c>
      <c r="D343" t="s">
        <v>26</v>
      </c>
      <c r="E343" t="s">
        <v>36</v>
      </c>
      <c r="F343" t="s">
        <v>28</v>
      </c>
      <c r="G343">
        <v>1</v>
      </c>
      <c r="H343" t="s">
        <v>37</v>
      </c>
      <c r="I343" t="s">
        <v>55</v>
      </c>
      <c r="J343" t="s">
        <v>48</v>
      </c>
      <c r="K343" t="s">
        <v>24</v>
      </c>
      <c r="L343">
        <v>38</v>
      </c>
      <c r="M343">
        <v>15</v>
      </c>
      <c r="N343" t="s">
        <v>32</v>
      </c>
      <c r="O343">
        <v>3</v>
      </c>
      <c r="P343">
        <v>3</v>
      </c>
      <c r="Q343">
        <v>4</v>
      </c>
      <c r="R343">
        <v>11510</v>
      </c>
      <c r="S343">
        <v>12</v>
      </c>
      <c r="T343">
        <v>3</v>
      </c>
      <c r="U343">
        <v>11</v>
      </c>
      <c r="V343">
        <v>10</v>
      </c>
      <c r="W343">
        <v>2</v>
      </c>
      <c r="X343">
        <v>9</v>
      </c>
      <c r="Y343">
        <f>IF(HR_data[[#This Row],[Attrition]]= "Yes",1,0)</f>
        <v>0</v>
      </c>
    </row>
    <row r="344" spans="1:25">
      <c r="A344">
        <v>343</v>
      </c>
      <c r="B344" t="s">
        <v>33</v>
      </c>
      <c r="C344" t="s">
        <v>25</v>
      </c>
      <c r="D344" t="s">
        <v>43</v>
      </c>
      <c r="E344" t="s">
        <v>36</v>
      </c>
      <c r="F344" t="s">
        <v>45</v>
      </c>
      <c r="G344">
        <v>1</v>
      </c>
      <c r="H344" t="s">
        <v>29</v>
      </c>
      <c r="I344" t="s">
        <v>49</v>
      </c>
      <c r="J344" t="s">
        <v>31</v>
      </c>
      <c r="K344" t="s">
        <v>24</v>
      </c>
      <c r="L344">
        <v>31</v>
      </c>
      <c r="M344">
        <v>7</v>
      </c>
      <c r="N344" t="s">
        <v>44</v>
      </c>
      <c r="O344">
        <v>3</v>
      </c>
      <c r="P344">
        <v>3</v>
      </c>
      <c r="Q344">
        <v>4</v>
      </c>
      <c r="R344">
        <v>7143</v>
      </c>
      <c r="S344">
        <v>11</v>
      </c>
      <c r="T344">
        <v>2</v>
      </c>
      <c r="U344">
        <v>11</v>
      </c>
      <c r="V344">
        <v>9</v>
      </c>
      <c r="W344">
        <v>4</v>
      </c>
      <c r="X344">
        <v>10</v>
      </c>
      <c r="Y344">
        <f>IF(HR_data[[#This Row],[Attrition]]= "Yes",1,0)</f>
        <v>0</v>
      </c>
    </row>
    <row r="345" spans="1:25">
      <c r="A345">
        <v>344</v>
      </c>
      <c r="B345" t="s">
        <v>33</v>
      </c>
      <c r="C345" t="s">
        <v>25</v>
      </c>
      <c r="D345" t="s">
        <v>43</v>
      </c>
      <c r="E345" t="s">
        <v>27</v>
      </c>
      <c r="F345" t="s">
        <v>56</v>
      </c>
      <c r="G345">
        <v>1</v>
      </c>
      <c r="H345" t="s">
        <v>29</v>
      </c>
      <c r="I345" t="s">
        <v>30</v>
      </c>
      <c r="J345" t="s">
        <v>48</v>
      </c>
      <c r="K345" t="s">
        <v>24</v>
      </c>
      <c r="L345">
        <v>29</v>
      </c>
      <c r="M345">
        <v>10</v>
      </c>
      <c r="N345" t="s">
        <v>40</v>
      </c>
      <c r="O345">
        <v>4</v>
      </c>
      <c r="P345">
        <v>2</v>
      </c>
      <c r="Q345">
        <v>2</v>
      </c>
      <c r="R345">
        <v>8268</v>
      </c>
      <c r="S345">
        <v>7</v>
      </c>
      <c r="T345">
        <v>3</v>
      </c>
      <c r="U345">
        <v>7</v>
      </c>
      <c r="V345">
        <v>7</v>
      </c>
      <c r="W345">
        <v>1</v>
      </c>
      <c r="X345">
        <v>7</v>
      </c>
      <c r="Y345">
        <f>IF(HR_data[[#This Row],[Attrition]]= "Yes",1,0)</f>
        <v>0</v>
      </c>
    </row>
    <row r="346" spans="1:25">
      <c r="A346">
        <v>345</v>
      </c>
      <c r="B346" t="s">
        <v>33</v>
      </c>
      <c r="C346" t="s">
        <v>25</v>
      </c>
      <c r="D346" t="s">
        <v>26</v>
      </c>
      <c r="E346" t="s">
        <v>36</v>
      </c>
      <c r="F346" t="s">
        <v>57</v>
      </c>
      <c r="G346">
        <v>1</v>
      </c>
      <c r="H346" t="s">
        <v>37</v>
      </c>
      <c r="I346" t="s">
        <v>49</v>
      </c>
      <c r="J346" t="s">
        <v>31</v>
      </c>
      <c r="K346" t="s">
        <v>33</v>
      </c>
      <c r="L346">
        <v>35</v>
      </c>
      <c r="M346">
        <v>5</v>
      </c>
      <c r="N346" t="s">
        <v>44</v>
      </c>
      <c r="O346">
        <v>3</v>
      </c>
      <c r="P346">
        <v>3</v>
      </c>
      <c r="Q346">
        <v>2</v>
      </c>
      <c r="R346">
        <v>8095</v>
      </c>
      <c r="S346">
        <v>17</v>
      </c>
      <c r="T346">
        <v>3</v>
      </c>
      <c r="U346">
        <v>16</v>
      </c>
      <c r="V346">
        <v>6</v>
      </c>
      <c r="W346">
        <v>0</v>
      </c>
      <c r="X346">
        <v>13</v>
      </c>
      <c r="Y346">
        <f>IF(HR_data[[#This Row],[Attrition]]= "Yes",1,0)</f>
        <v>0</v>
      </c>
    </row>
    <row r="347" spans="1:25">
      <c r="A347">
        <v>346</v>
      </c>
      <c r="B347" t="s">
        <v>33</v>
      </c>
      <c r="C347" t="s">
        <v>25</v>
      </c>
      <c r="D347" t="s">
        <v>52</v>
      </c>
      <c r="E347" t="s">
        <v>36</v>
      </c>
      <c r="F347" t="s">
        <v>28</v>
      </c>
      <c r="G347">
        <v>1</v>
      </c>
      <c r="H347" t="s">
        <v>37</v>
      </c>
      <c r="I347" t="s">
        <v>38</v>
      </c>
      <c r="J347" t="s">
        <v>48</v>
      </c>
      <c r="K347" t="s">
        <v>33</v>
      </c>
      <c r="L347">
        <v>23</v>
      </c>
      <c r="M347">
        <v>26</v>
      </c>
      <c r="N347" t="s">
        <v>40</v>
      </c>
      <c r="O347">
        <v>3</v>
      </c>
      <c r="P347">
        <v>1</v>
      </c>
      <c r="Q347">
        <v>4</v>
      </c>
      <c r="R347">
        <v>2904</v>
      </c>
      <c r="S347">
        <v>4</v>
      </c>
      <c r="T347">
        <v>2</v>
      </c>
      <c r="U347">
        <v>4</v>
      </c>
      <c r="V347">
        <v>2</v>
      </c>
      <c r="W347">
        <v>0</v>
      </c>
      <c r="X347">
        <v>2</v>
      </c>
      <c r="Y347">
        <f>IF(HR_data[[#This Row],[Attrition]]= "Yes",1,0)</f>
        <v>0</v>
      </c>
    </row>
    <row r="348" spans="1:25">
      <c r="A348">
        <v>347</v>
      </c>
      <c r="B348" t="s">
        <v>33</v>
      </c>
      <c r="C348" t="s">
        <v>25</v>
      </c>
      <c r="D348" t="s">
        <v>26</v>
      </c>
      <c r="E348" t="s">
        <v>36</v>
      </c>
      <c r="F348" t="s">
        <v>45</v>
      </c>
      <c r="G348">
        <v>1</v>
      </c>
      <c r="H348" t="s">
        <v>37</v>
      </c>
      <c r="I348" t="s">
        <v>49</v>
      </c>
      <c r="J348" t="s">
        <v>31</v>
      </c>
      <c r="K348" t="s">
        <v>24</v>
      </c>
      <c r="L348">
        <v>41</v>
      </c>
      <c r="M348">
        <v>6</v>
      </c>
      <c r="N348" t="s">
        <v>47</v>
      </c>
      <c r="O348">
        <v>4</v>
      </c>
      <c r="P348">
        <v>2</v>
      </c>
      <c r="Q348">
        <v>2</v>
      </c>
      <c r="R348">
        <v>6032</v>
      </c>
      <c r="S348">
        <v>8</v>
      </c>
      <c r="T348">
        <v>3</v>
      </c>
      <c r="U348">
        <v>5</v>
      </c>
      <c r="V348">
        <v>4</v>
      </c>
      <c r="W348">
        <v>1</v>
      </c>
      <c r="X348">
        <v>2</v>
      </c>
      <c r="Y348">
        <f>IF(HR_data[[#This Row],[Attrition]]= "Yes",1,0)</f>
        <v>0</v>
      </c>
    </row>
    <row r="349" spans="1:25">
      <c r="A349">
        <v>348</v>
      </c>
      <c r="B349" t="s">
        <v>33</v>
      </c>
      <c r="C349" t="s">
        <v>34</v>
      </c>
      <c r="D349" t="s">
        <v>35</v>
      </c>
      <c r="E349" t="s">
        <v>27</v>
      </c>
      <c r="F349" t="s">
        <v>45</v>
      </c>
      <c r="G349">
        <v>1</v>
      </c>
      <c r="H349" t="s">
        <v>37</v>
      </c>
      <c r="I349" t="s">
        <v>54</v>
      </c>
      <c r="J349" t="s">
        <v>31</v>
      </c>
      <c r="K349" t="s">
        <v>33</v>
      </c>
      <c r="L349">
        <v>47</v>
      </c>
      <c r="M349">
        <v>4</v>
      </c>
      <c r="N349" t="s">
        <v>40</v>
      </c>
      <c r="O349">
        <v>2</v>
      </c>
      <c r="P349">
        <v>2</v>
      </c>
      <c r="Q349">
        <v>3</v>
      </c>
      <c r="R349">
        <v>2976</v>
      </c>
      <c r="S349">
        <v>5</v>
      </c>
      <c r="T349">
        <v>3</v>
      </c>
      <c r="U349">
        <v>0</v>
      </c>
      <c r="V349">
        <v>0</v>
      </c>
      <c r="W349">
        <v>0</v>
      </c>
      <c r="X349">
        <v>0</v>
      </c>
      <c r="Y349">
        <f>IF(HR_data[[#This Row],[Attrition]]= "Yes",1,0)</f>
        <v>0</v>
      </c>
    </row>
    <row r="350" spans="1:25">
      <c r="A350">
        <v>349</v>
      </c>
      <c r="B350" t="s">
        <v>33</v>
      </c>
      <c r="C350" t="s">
        <v>25</v>
      </c>
      <c r="D350" t="s">
        <v>26</v>
      </c>
      <c r="E350" t="s">
        <v>36</v>
      </c>
      <c r="F350" t="s">
        <v>28</v>
      </c>
      <c r="G350">
        <v>1</v>
      </c>
      <c r="H350" t="s">
        <v>29</v>
      </c>
      <c r="I350" t="s">
        <v>55</v>
      </c>
      <c r="J350" t="s">
        <v>31</v>
      </c>
      <c r="K350" t="s">
        <v>33</v>
      </c>
      <c r="L350">
        <v>42</v>
      </c>
      <c r="M350">
        <v>23</v>
      </c>
      <c r="N350" t="s">
        <v>58</v>
      </c>
      <c r="O350">
        <v>1</v>
      </c>
      <c r="P350">
        <v>4</v>
      </c>
      <c r="Q350">
        <v>4</v>
      </c>
      <c r="R350">
        <v>15992</v>
      </c>
      <c r="S350">
        <v>16</v>
      </c>
      <c r="T350">
        <v>3</v>
      </c>
      <c r="U350">
        <v>1</v>
      </c>
      <c r="V350">
        <v>0</v>
      </c>
      <c r="W350">
        <v>0</v>
      </c>
      <c r="X350">
        <v>0</v>
      </c>
      <c r="Y350">
        <f>IF(HR_data[[#This Row],[Attrition]]= "Yes",1,0)</f>
        <v>0</v>
      </c>
    </row>
    <row r="351" spans="1:25">
      <c r="A351">
        <v>350</v>
      </c>
      <c r="B351" t="s">
        <v>33</v>
      </c>
      <c r="C351" t="s">
        <v>51</v>
      </c>
      <c r="D351" t="s">
        <v>43</v>
      </c>
      <c r="E351" t="s">
        <v>27</v>
      </c>
      <c r="F351" t="s">
        <v>28</v>
      </c>
      <c r="G351">
        <v>1</v>
      </c>
      <c r="H351" t="s">
        <v>37</v>
      </c>
      <c r="I351" t="s">
        <v>30</v>
      </c>
      <c r="J351" t="s">
        <v>39</v>
      </c>
      <c r="K351" t="s">
        <v>33</v>
      </c>
      <c r="L351">
        <v>29</v>
      </c>
      <c r="M351">
        <v>2</v>
      </c>
      <c r="N351" t="s">
        <v>47</v>
      </c>
      <c r="O351">
        <v>4</v>
      </c>
      <c r="P351">
        <v>2</v>
      </c>
      <c r="Q351">
        <v>3</v>
      </c>
      <c r="R351">
        <v>4649</v>
      </c>
      <c r="S351">
        <v>4</v>
      </c>
      <c r="T351">
        <v>2</v>
      </c>
      <c r="U351">
        <v>4</v>
      </c>
      <c r="V351">
        <v>3</v>
      </c>
      <c r="W351">
        <v>0</v>
      </c>
      <c r="X351">
        <v>2</v>
      </c>
      <c r="Y351">
        <f>IF(HR_data[[#This Row],[Attrition]]= "Yes",1,0)</f>
        <v>0</v>
      </c>
    </row>
    <row r="352" spans="1:25">
      <c r="A352">
        <v>351</v>
      </c>
      <c r="B352" t="s">
        <v>33</v>
      </c>
      <c r="C352" t="s">
        <v>25</v>
      </c>
      <c r="D352" t="s">
        <v>26</v>
      </c>
      <c r="E352" t="s">
        <v>59</v>
      </c>
      <c r="F352" t="s">
        <v>57</v>
      </c>
      <c r="G352">
        <v>1</v>
      </c>
      <c r="H352" t="s">
        <v>37</v>
      </c>
      <c r="I352" t="s">
        <v>60</v>
      </c>
      <c r="J352" t="s">
        <v>48</v>
      </c>
      <c r="K352" t="s">
        <v>24</v>
      </c>
      <c r="L352">
        <v>42</v>
      </c>
      <c r="M352">
        <v>2</v>
      </c>
      <c r="N352" t="s">
        <v>40</v>
      </c>
      <c r="O352">
        <v>3</v>
      </c>
      <c r="P352">
        <v>1</v>
      </c>
      <c r="Q352">
        <v>3</v>
      </c>
      <c r="R352">
        <v>2696</v>
      </c>
      <c r="S352">
        <v>4</v>
      </c>
      <c r="T352">
        <v>3</v>
      </c>
      <c r="U352">
        <v>3</v>
      </c>
      <c r="V352">
        <v>2</v>
      </c>
      <c r="W352">
        <v>1</v>
      </c>
      <c r="X352">
        <v>0</v>
      </c>
      <c r="Y352">
        <f>IF(HR_data[[#This Row],[Attrition]]= "Yes",1,0)</f>
        <v>0</v>
      </c>
    </row>
    <row r="353" spans="1:25">
      <c r="A353">
        <v>352</v>
      </c>
      <c r="B353" t="s">
        <v>33</v>
      </c>
      <c r="C353" t="s">
        <v>25</v>
      </c>
      <c r="D353" t="s">
        <v>43</v>
      </c>
      <c r="E353" t="s">
        <v>36</v>
      </c>
      <c r="F353" t="s">
        <v>45</v>
      </c>
      <c r="G353">
        <v>1</v>
      </c>
      <c r="H353" t="s">
        <v>29</v>
      </c>
      <c r="I353" t="s">
        <v>42</v>
      </c>
      <c r="J353" t="s">
        <v>39</v>
      </c>
      <c r="K353" t="s">
        <v>33</v>
      </c>
      <c r="L353">
        <v>32</v>
      </c>
      <c r="M353">
        <v>2</v>
      </c>
      <c r="N353" t="s">
        <v>47</v>
      </c>
      <c r="O353">
        <v>3</v>
      </c>
      <c r="P353">
        <v>1</v>
      </c>
      <c r="Q353">
        <v>2</v>
      </c>
      <c r="R353">
        <v>2370</v>
      </c>
      <c r="S353">
        <v>8</v>
      </c>
      <c r="T353">
        <v>3</v>
      </c>
      <c r="U353">
        <v>8</v>
      </c>
      <c r="V353">
        <v>0</v>
      </c>
      <c r="W353">
        <v>0</v>
      </c>
      <c r="X353">
        <v>7</v>
      </c>
      <c r="Y353">
        <f>IF(HR_data[[#This Row],[Attrition]]= "Yes",1,0)</f>
        <v>0</v>
      </c>
    </row>
    <row r="354" spans="1:25">
      <c r="A354">
        <v>353</v>
      </c>
      <c r="B354" t="s">
        <v>33</v>
      </c>
      <c r="C354" t="s">
        <v>25</v>
      </c>
      <c r="D354" t="s">
        <v>35</v>
      </c>
      <c r="E354" t="s">
        <v>27</v>
      </c>
      <c r="F354" t="s">
        <v>45</v>
      </c>
      <c r="G354">
        <v>1</v>
      </c>
      <c r="H354" t="s">
        <v>29</v>
      </c>
      <c r="I354" t="s">
        <v>53</v>
      </c>
      <c r="J354" t="s">
        <v>39</v>
      </c>
      <c r="K354" t="s">
        <v>33</v>
      </c>
      <c r="L354">
        <v>48</v>
      </c>
      <c r="M354">
        <v>29</v>
      </c>
      <c r="N354" t="s">
        <v>40</v>
      </c>
      <c r="O354">
        <v>1</v>
      </c>
      <c r="P354">
        <v>3</v>
      </c>
      <c r="Q354">
        <v>3</v>
      </c>
      <c r="R354">
        <v>12504</v>
      </c>
      <c r="S354">
        <v>15</v>
      </c>
      <c r="T354">
        <v>1</v>
      </c>
      <c r="U354">
        <v>0</v>
      </c>
      <c r="V354">
        <v>0</v>
      </c>
      <c r="W354">
        <v>0</v>
      </c>
      <c r="X354">
        <v>0</v>
      </c>
      <c r="Y354">
        <f>IF(HR_data[[#This Row],[Attrition]]= "Yes",1,0)</f>
        <v>0</v>
      </c>
    </row>
    <row r="355" spans="1:25">
      <c r="A355">
        <v>354</v>
      </c>
      <c r="B355" t="s">
        <v>33</v>
      </c>
      <c r="C355" t="s">
        <v>25</v>
      </c>
      <c r="D355" t="s">
        <v>26</v>
      </c>
      <c r="E355" t="s">
        <v>36</v>
      </c>
      <c r="F355" t="s">
        <v>45</v>
      </c>
      <c r="G355">
        <v>1</v>
      </c>
      <c r="H355" t="s">
        <v>37</v>
      </c>
      <c r="I355" t="s">
        <v>38</v>
      </c>
      <c r="J355" t="s">
        <v>48</v>
      </c>
      <c r="K355" t="s">
        <v>24</v>
      </c>
      <c r="L355">
        <v>37</v>
      </c>
      <c r="M355">
        <v>6</v>
      </c>
      <c r="N355" t="s">
        <v>47</v>
      </c>
      <c r="O355">
        <v>3</v>
      </c>
      <c r="P355">
        <v>2</v>
      </c>
      <c r="Q355">
        <v>1</v>
      </c>
      <c r="R355">
        <v>5974</v>
      </c>
      <c r="S355">
        <v>13</v>
      </c>
      <c r="T355">
        <v>3</v>
      </c>
      <c r="U355">
        <v>7</v>
      </c>
      <c r="V355">
        <v>7</v>
      </c>
      <c r="W355">
        <v>6</v>
      </c>
      <c r="X355">
        <v>7</v>
      </c>
      <c r="Y355">
        <f>IF(HR_data[[#This Row],[Attrition]]= "Yes",1,0)</f>
        <v>0</v>
      </c>
    </row>
    <row r="356" spans="1:25">
      <c r="A356">
        <v>355</v>
      </c>
      <c r="B356" t="s">
        <v>33</v>
      </c>
      <c r="C356" t="s">
        <v>51</v>
      </c>
      <c r="D356" t="s">
        <v>43</v>
      </c>
      <c r="E356" t="s">
        <v>27</v>
      </c>
      <c r="F356" t="s">
        <v>57</v>
      </c>
      <c r="G356">
        <v>1</v>
      </c>
      <c r="H356" t="s">
        <v>29</v>
      </c>
      <c r="I356" t="s">
        <v>30</v>
      </c>
      <c r="J356" t="s">
        <v>39</v>
      </c>
      <c r="K356" t="s">
        <v>24</v>
      </c>
      <c r="L356">
        <v>30</v>
      </c>
      <c r="M356">
        <v>25</v>
      </c>
      <c r="N356" t="s">
        <v>32</v>
      </c>
      <c r="O356">
        <v>4</v>
      </c>
      <c r="P356">
        <v>2</v>
      </c>
      <c r="Q356">
        <v>3</v>
      </c>
      <c r="R356">
        <v>4736</v>
      </c>
      <c r="S356">
        <v>4</v>
      </c>
      <c r="T356">
        <v>4</v>
      </c>
      <c r="U356">
        <v>2</v>
      </c>
      <c r="V356">
        <v>2</v>
      </c>
      <c r="W356">
        <v>2</v>
      </c>
      <c r="X356">
        <v>2</v>
      </c>
      <c r="Y356">
        <f>IF(HR_data[[#This Row],[Attrition]]= "Yes",1,0)</f>
        <v>0</v>
      </c>
    </row>
    <row r="357" spans="1:25">
      <c r="A357">
        <v>356</v>
      </c>
      <c r="B357" t="s">
        <v>33</v>
      </c>
      <c r="C357" t="s">
        <v>25</v>
      </c>
      <c r="D357" t="s">
        <v>43</v>
      </c>
      <c r="E357" t="s">
        <v>27</v>
      </c>
      <c r="F357" t="s">
        <v>28</v>
      </c>
      <c r="G357">
        <v>1</v>
      </c>
      <c r="H357" t="s">
        <v>37</v>
      </c>
      <c r="I357" t="s">
        <v>30</v>
      </c>
      <c r="J357" t="s">
        <v>39</v>
      </c>
      <c r="K357" t="s">
        <v>33</v>
      </c>
      <c r="L357">
        <v>26</v>
      </c>
      <c r="M357">
        <v>1</v>
      </c>
      <c r="N357" t="s">
        <v>47</v>
      </c>
      <c r="O357">
        <v>3</v>
      </c>
      <c r="P357">
        <v>2</v>
      </c>
      <c r="Q357">
        <v>3</v>
      </c>
      <c r="R357">
        <v>5296</v>
      </c>
      <c r="S357">
        <v>8</v>
      </c>
      <c r="T357">
        <v>3</v>
      </c>
      <c r="U357">
        <v>8</v>
      </c>
      <c r="V357">
        <v>7</v>
      </c>
      <c r="W357">
        <v>7</v>
      </c>
      <c r="X357">
        <v>7</v>
      </c>
      <c r="Y357">
        <f>IF(HR_data[[#This Row],[Attrition]]= "Yes",1,0)</f>
        <v>0</v>
      </c>
    </row>
    <row r="358" spans="1:25">
      <c r="A358">
        <v>357</v>
      </c>
      <c r="B358" t="s">
        <v>33</v>
      </c>
      <c r="C358" t="s">
        <v>25</v>
      </c>
      <c r="D358" t="s">
        <v>26</v>
      </c>
      <c r="E358" t="s">
        <v>36</v>
      </c>
      <c r="F358" t="s">
        <v>41</v>
      </c>
      <c r="G358">
        <v>1</v>
      </c>
      <c r="H358" t="s">
        <v>37</v>
      </c>
      <c r="I358" t="s">
        <v>50</v>
      </c>
      <c r="J358" t="s">
        <v>31</v>
      </c>
      <c r="K358" t="s">
        <v>33</v>
      </c>
      <c r="L358">
        <v>42</v>
      </c>
      <c r="M358">
        <v>2</v>
      </c>
      <c r="N358" t="s">
        <v>44</v>
      </c>
      <c r="O358">
        <v>1</v>
      </c>
      <c r="P358">
        <v>2</v>
      </c>
      <c r="Q358">
        <v>4</v>
      </c>
      <c r="R358">
        <v>6781</v>
      </c>
      <c r="S358">
        <v>14</v>
      </c>
      <c r="T358">
        <v>3</v>
      </c>
      <c r="U358">
        <v>1</v>
      </c>
      <c r="V358">
        <v>0</v>
      </c>
      <c r="W358">
        <v>0</v>
      </c>
      <c r="X358">
        <v>0</v>
      </c>
      <c r="Y358">
        <f>IF(HR_data[[#This Row],[Attrition]]= "Yes",1,0)</f>
        <v>0</v>
      </c>
    </row>
    <row r="359" spans="1:25">
      <c r="A359">
        <v>358</v>
      </c>
      <c r="B359" t="s">
        <v>24</v>
      </c>
      <c r="C359" t="s">
        <v>34</v>
      </c>
      <c r="D359" t="s">
        <v>52</v>
      </c>
      <c r="E359" t="s">
        <v>27</v>
      </c>
      <c r="F359" t="s">
        <v>57</v>
      </c>
      <c r="G359">
        <v>1</v>
      </c>
      <c r="H359" t="s">
        <v>29</v>
      </c>
      <c r="I359" t="s">
        <v>54</v>
      </c>
      <c r="J359" t="s">
        <v>31</v>
      </c>
      <c r="K359" t="s">
        <v>24</v>
      </c>
      <c r="L359">
        <v>21</v>
      </c>
      <c r="M359">
        <v>1</v>
      </c>
      <c r="N359" t="s">
        <v>40</v>
      </c>
      <c r="O359">
        <v>1</v>
      </c>
      <c r="P359">
        <v>1</v>
      </c>
      <c r="Q359">
        <v>2</v>
      </c>
      <c r="R359">
        <v>2174</v>
      </c>
      <c r="S359">
        <v>3</v>
      </c>
      <c r="T359">
        <v>3</v>
      </c>
      <c r="U359">
        <v>3</v>
      </c>
      <c r="V359">
        <v>2</v>
      </c>
      <c r="W359">
        <v>1</v>
      </c>
      <c r="X359">
        <v>2</v>
      </c>
      <c r="Y359">
        <f>IF(HR_data[[#This Row],[Attrition]]= "Yes",1,0)</f>
        <v>1</v>
      </c>
    </row>
    <row r="360" spans="1:25">
      <c r="A360">
        <v>359</v>
      </c>
      <c r="B360" t="s">
        <v>33</v>
      </c>
      <c r="C360" t="s">
        <v>51</v>
      </c>
      <c r="D360" t="s">
        <v>26</v>
      </c>
      <c r="E360" t="s">
        <v>27</v>
      </c>
      <c r="F360" t="s">
        <v>45</v>
      </c>
      <c r="G360">
        <v>1</v>
      </c>
      <c r="H360" t="s">
        <v>29</v>
      </c>
      <c r="I360" t="s">
        <v>30</v>
      </c>
      <c r="J360" t="s">
        <v>31</v>
      </c>
      <c r="K360" t="s">
        <v>33</v>
      </c>
      <c r="L360">
        <v>36</v>
      </c>
      <c r="M360">
        <v>1</v>
      </c>
      <c r="N360" t="s">
        <v>58</v>
      </c>
      <c r="O360">
        <v>4</v>
      </c>
      <c r="P360">
        <v>2</v>
      </c>
      <c r="Q360">
        <v>4</v>
      </c>
      <c r="R360">
        <v>6653</v>
      </c>
      <c r="S360">
        <v>7</v>
      </c>
      <c r="T360">
        <v>3</v>
      </c>
      <c r="U360">
        <v>1</v>
      </c>
      <c r="V360">
        <v>0</v>
      </c>
      <c r="W360">
        <v>0</v>
      </c>
      <c r="X360">
        <v>0</v>
      </c>
      <c r="Y360">
        <f>IF(HR_data[[#This Row],[Attrition]]= "Yes",1,0)</f>
        <v>0</v>
      </c>
    </row>
    <row r="361" spans="1:25">
      <c r="A361">
        <v>360</v>
      </c>
      <c r="B361" t="s">
        <v>33</v>
      </c>
      <c r="C361" t="s">
        <v>34</v>
      </c>
      <c r="D361" t="s">
        <v>26</v>
      </c>
      <c r="E361" t="s">
        <v>27</v>
      </c>
      <c r="F361" t="s">
        <v>45</v>
      </c>
      <c r="G361">
        <v>1</v>
      </c>
      <c r="H361" t="s">
        <v>37</v>
      </c>
      <c r="I361" t="s">
        <v>30</v>
      </c>
      <c r="J361" t="s">
        <v>39</v>
      </c>
      <c r="K361" t="s">
        <v>33</v>
      </c>
      <c r="L361">
        <v>36</v>
      </c>
      <c r="M361">
        <v>3</v>
      </c>
      <c r="N361" t="s">
        <v>44</v>
      </c>
      <c r="O361">
        <v>1</v>
      </c>
      <c r="P361">
        <v>3</v>
      </c>
      <c r="Q361">
        <v>4</v>
      </c>
      <c r="R361">
        <v>9699</v>
      </c>
      <c r="S361">
        <v>16</v>
      </c>
      <c r="T361">
        <v>3</v>
      </c>
      <c r="U361">
        <v>13</v>
      </c>
      <c r="V361">
        <v>9</v>
      </c>
      <c r="W361">
        <v>1</v>
      </c>
      <c r="X361">
        <v>12</v>
      </c>
      <c r="Y361">
        <f>IF(HR_data[[#This Row],[Attrition]]= "Yes",1,0)</f>
        <v>0</v>
      </c>
    </row>
    <row r="362" spans="1:25">
      <c r="A362">
        <v>361</v>
      </c>
      <c r="B362" t="s">
        <v>33</v>
      </c>
      <c r="C362" t="s">
        <v>25</v>
      </c>
      <c r="D362" t="s">
        <v>46</v>
      </c>
      <c r="E362" t="s">
        <v>36</v>
      </c>
      <c r="F362" t="s">
        <v>45</v>
      </c>
      <c r="G362">
        <v>1</v>
      </c>
      <c r="H362" t="s">
        <v>37</v>
      </c>
      <c r="I362" t="s">
        <v>50</v>
      </c>
      <c r="J362" t="s">
        <v>39</v>
      </c>
      <c r="K362" t="s">
        <v>33</v>
      </c>
      <c r="L362">
        <v>57</v>
      </c>
      <c r="M362">
        <v>1</v>
      </c>
      <c r="N362" t="s">
        <v>44</v>
      </c>
      <c r="O362">
        <v>4</v>
      </c>
      <c r="P362">
        <v>2</v>
      </c>
      <c r="Q362">
        <v>3</v>
      </c>
      <c r="R362">
        <v>6755</v>
      </c>
      <c r="S362">
        <v>15</v>
      </c>
      <c r="T362">
        <v>3</v>
      </c>
      <c r="U362">
        <v>3</v>
      </c>
      <c r="V362">
        <v>2</v>
      </c>
      <c r="W362">
        <v>1</v>
      </c>
      <c r="X362">
        <v>2</v>
      </c>
      <c r="Y362">
        <f>IF(HR_data[[#This Row],[Attrition]]= "Yes",1,0)</f>
        <v>0</v>
      </c>
    </row>
    <row r="363" spans="1:25">
      <c r="A363">
        <v>362</v>
      </c>
      <c r="B363" t="s">
        <v>33</v>
      </c>
      <c r="C363" t="s">
        <v>25</v>
      </c>
      <c r="D363" t="s">
        <v>26</v>
      </c>
      <c r="E363" t="s">
        <v>36</v>
      </c>
      <c r="F363" t="s">
        <v>28</v>
      </c>
      <c r="G363">
        <v>1</v>
      </c>
      <c r="H363" t="s">
        <v>29</v>
      </c>
      <c r="I363" t="s">
        <v>42</v>
      </c>
      <c r="J363" t="s">
        <v>39</v>
      </c>
      <c r="K363" t="s">
        <v>24</v>
      </c>
      <c r="L363">
        <v>40</v>
      </c>
      <c r="M363">
        <v>10</v>
      </c>
      <c r="N363" t="s">
        <v>44</v>
      </c>
      <c r="O363">
        <v>4</v>
      </c>
      <c r="P363">
        <v>1</v>
      </c>
      <c r="Q363">
        <v>3</v>
      </c>
      <c r="R363">
        <v>2213</v>
      </c>
      <c r="S363">
        <v>10</v>
      </c>
      <c r="T363">
        <v>3</v>
      </c>
      <c r="U363">
        <v>7</v>
      </c>
      <c r="V363">
        <v>7</v>
      </c>
      <c r="W363">
        <v>1</v>
      </c>
      <c r="X363">
        <v>7</v>
      </c>
      <c r="Y363">
        <f>IF(HR_data[[#This Row],[Attrition]]= "Yes",1,0)</f>
        <v>0</v>
      </c>
    </row>
    <row r="364" spans="1:25">
      <c r="A364">
        <v>363</v>
      </c>
      <c r="B364" t="s">
        <v>33</v>
      </c>
      <c r="C364" t="s">
        <v>51</v>
      </c>
      <c r="D364" t="s">
        <v>52</v>
      </c>
      <c r="E364" t="s">
        <v>27</v>
      </c>
      <c r="F364" t="s">
        <v>45</v>
      </c>
      <c r="G364">
        <v>1</v>
      </c>
      <c r="H364" t="s">
        <v>37</v>
      </c>
      <c r="I364" t="s">
        <v>54</v>
      </c>
      <c r="J364" t="s">
        <v>31</v>
      </c>
      <c r="K364" t="s">
        <v>33</v>
      </c>
      <c r="L364">
        <v>21</v>
      </c>
      <c r="M364">
        <v>9</v>
      </c>
      <c r="N364" t="s">
        <v>32</v>
      </c>
      <c r="O364">
        <v>1</v>
      </c>
      <c r="P364">
        <v>1</v>
      </c>
      <c r="Q364">
        <v>4</v>
      </c>
      <c r="R364">
        <v>2610</v>
      </c>
      <c r="S364">
        <v>3</v>
      </c>
      <c r="T364">
        <v>2</v>
      </c>
      <c r="U364">
        <v>3</v>
      </c>
      <c r="V364">
        <v>2</v>
      </c>
      <c r="W364">
        <v>2</v>
      </c>
      <c r="X364">
        <v>2</v>
      </c>
      <c r="Y364">
        <f>IF(HR_data[[#This Row],[Attrition]]= "Yes",1,0)</f>
        <v>0</v>
      </c>
    </row>
    <row r="365" spans="1:25">
      <c r="A365">
        <v>364</v>
      </c>
      <c r="B365" t="s">
        <v>24</v>
      </c>
      <c r="C365" t="s">
        <v>25</v>
      </c>
      <c r="D365" t="s">
        <v>43</v>
      </c>
      <c r="E365" t="s">
        <v>27</v>
      </c>
      <c r="F365" t="s">
        <v>56</v>
      </c>
      <c r="G365">
        <v>1</v>
      </c>
      <c r="H365" t="s">
        <v>29</v>
      </c>
      <c r="I365" t="s">
        <v>54</v>
      </c>
      <c r="J365" t="s">
        <v>31</v>
      </c>
      <c r="K365" t="s">
        <v>24</v>
      </c>
      <c r="L365">
        <v>33</v>
      </c>
      <c r="M365">
        <v>5</v>
      </c>
      <c r="N365" t="s">
        <v>47</v>
      </c>
      <c r="O365">
        <v>4</v>
      </c>
      <c r="P365">
        <v>1</v>
      </c>
      <c r="Q365">
        <v>3</v>
      </c>
      <c r="R365">
        <v>2851</v>
      </c>
      <c r="S365">
        <v>1</v>
      </c>
      <c r="T365">
        <v>3</v>
      </c>
      <c r="U365">
        <v>1</v>
      </c>
      <c r="V365">
        <v>0</v>
      </c>
      <c r="W365">
        <v>0</v>
      </c>
      <c r="X365">
        <v>0</v>
      </c>
      <c r="Y365">
        <f>IF(HR_data[[#This Row],[Attrition]]= "Yes",1,0)</f>
        <v>1</v>
      </c>
    </row>
    <row r="366" spans="1:25">
      <c r="A366">
        <v>365</v>
      </c>
      <c r="B366" t="s">
        <v>33</v>
      </c>
      <c r="C366" t="s">
        <v>25</v>
      </c>
      <c r="D366" t="s">
        <v>26</v>
      </c>
      <c r="E366" t="s">
        <v>36</v>
      </c>
      <c r="F366" t="s">
        <v>45</v>
      </c>
      <c r="G366">
        <v>1</v>
      </c>
      <c r="H366" t="s">
        <v>29</v>
      </c>
      <c r="I366" t="s">
        <v>42</v>
      </c>
      <c r="J366" t="s">
        <v>39</v>
      </c>
      <c r="K366" t="s">
        <v>33</v>
      </c>
      <c r="L366">
        <v>37</v>
      </c>
      <c r="M366">
        <v>10</v>
      </c>
      <c r="N366" t="s">
        <v>47</v>
      </c>
      <c r="O366">
        <v>3</v>
      </c>
      <c r="P366">
        <v>1</v>
      </c>
      <c r="Q366">
        <v>1</v>
      </c>
      <c r="R366">
        <v>3452</v>
      </c>
      <c r="S366">
        <v>17</v>
      </c>
      <c r="T366">
        <v>3</v>
      </c>
      <c r="U366">
        <v>5</v>
      </c>
      <c r="V366">
        <v>4</v>
      </c>
      <c r="W366">
        <v>0</v>
      </c>
      <c r="X366">
        <v>3</v>
      </c>
      <c r="Y366">
        <f>IF(HR_data[[#This Row],[Attrition]]= "Yes",1,0)</f>
        <v>0</v>
      </c>
    </row>
    <row r="367" spans="1:25">
      <c r="A367">
        <v>366</v>
      </c>
      <c r="B367" t="s">
        <v>33</v>
      </c>
      <c r="C367" t="s">
        <v>51</v>
      </c>
      <c r="D367" t="s">
        <v>35</v>
      </c>
      <c r="E367" t="s">
        <v>36</v>
      </c>
      <c r="F367" t="s">
        <v>45</v>
      </c>
      <c r="G367">
        <v>1</v>
      </c>
      <c r="H367" t="s">
        <v>29</v>
      </c>
      <c r="I367" t="s">
        <v>49</v>
      </c>
      <c r="J367" t="s">
        <v>39</v>
      </c>
      <c r="K367" t="s">
        <v>33</v>
      </c>
      <c r="L367">
        <v>46</v>
      </c>
      <c r="M367">
        <v>7</v>
      </c>
      <c r="N367" t="s">
        <v>44</v>
      </c>
      <c r="O367">
        <v>3</v>
      </c>
      <c r="P367">
        <v>2</v>
      </c>
      <c r="Q367">
        <v>3</v>
      </c>
      <c r="R367">
        <v>5258</v>
      </c>
      <c r="S367">
        <v>7</v>
      </c>
      <c r="T367">
        <v>4</v>
      </c>
      <c r="U367">
        <v>1</v>
      </c>
      <c r="V367">
        <v>0</v>
      </c>
      <c r="W367">
        <v>0</v>
      </c>
      <c r="X367">
        <v>0</v>
      </c>
      <c r="Y367">
        <f>IF(HR_data[[#This Row],[Attrition]]= "Yes",1,0)</f>
        <v>0</v>
      </c>
    </row>
    <row r="368" spans="1:25">
      <c r="A368">
        <v>367</v>
      </c>
      <c r="B368" t="s">
        <v>24</v>
      </c>
      <c r="C368" t="s">
        <v>34</v>
      </c>
      <c r="D368" t="s">
        <v>26</v>
      </c>
      <c r="E368" t="s">
        <v>27</v>
      </c>
      <c r="F368" t="s">
        <v>56</v>
      </c>
      <c r="G368">
        <v>1</v>
      </c>
      <c r="H368" t="s">
        <v>37</v>
      </c>
      <c r="I368" t="s">
        <v>30</v>
      </c>
      <c r="J368" t="s">
        <v>31</v>
      </c>
      <c r="K368" t="s">
        <v>33</v>
      </c>
      <c r="L368">
        <v>41</v>
      </c>
      <c r="M368">
        <v>4</v>
      </c>
      <c r="N368" t="s">
        <v>47</v>
      </c>
      <c r="O368">
        <v>1</v>
      </c>
      <c r="P368">
        <v>2</v>
      </c>
      <c r="Q368">
        <v>2</v>
      </c>
      <c r="R368">
        <v>9355</v>
      </c>
      <c r="S368">
        <v>8</v>
      </c>
      <c r="T368">
        <v>3</v>
      </c>
      <c r="U368">
        <v>8</v>
      </c>
      <c r="V368">
        <v>7</v>
      </c>
      <c r="W368">
        <v>7</v>
      </c>
      <c r="X368">
        <v>7</v>
      </c>
      <c r="Y368">
        <f>IF(HR_data[[#This Row],[Attrition]]= "Yes",1,0)</f>
        <v>1</v>
      </c>
    </row>
    <row r="369" spans="1:25">
      <c r="A369">
        <v>368</v>
      </c>
      <c r="B369" t="s">
        <v>33</v>
      </c>
      <c r="C369" t="s">
        <v>25</v>
      </c>
      <c r="D369" t="s">
        <v>35</v>
      </c>
      <c r="E369" t="s">
        <v>36</v>
      </c>
      <c r="F369" t="s">
        <v>57</v>
      </c>
      <c r="G369">
        <v>1</v>
      </c>
      <c r="H369" t="s">
        <v>37</v>
      </c>
      <c r="I369" t="s">
        <v>50</v>
      </c>
      <c r="J369" t="s">
        <v>31</v>
      </c>
      <c r="K369" t="s">
        <v>33</v>
      </c>
      <c r="L369">
        <v>50</v>
      </c>
      <c r="M369">
        <v>10</v>
      </c>
      <c r="N369" t="s">
        <v>47</v>
      </c>
      <c r="O369">
        <v>4</v>
      </c>
      <c r="P369">
        <v>3</v>
      </c>
      <c r="Q369">
        <v>4</v>
      </c>
      <c r="R369">
        <v>10496</v>
      </c>
      <c r="S369">
        <v>20</v>
      </c>
      <c r="T369">
        <v>3</v>
      </c>
      <c r="U369">
        <v>4</v>
      </c>
      <c r="V369">
        <v>3</v>
      </c>
      <c r="W369">
        <v>1</v>
      </c>
      <c r="X369">
        <v>3</v>
      </c>
      <c r="Y369">
        <f>IF(HR_data[[#This Row],[Attrition]]= "Yes",1,0)</f>
        <v>0</v>
      </c>
    </row>
    <row r="370" spans="1:25">
      <c r="A370">
        <v>369</v>
      </c>
      <c r="B370" t="s">
        <v>24</v>
      </c>
      <c r="C370" t="s">
        <v>25</v>
      </c>
      <c r="D370" t="s">
        <v>26</v>
      </c>
      <c r="E370" t="s">
        <v>27</v>
      </c>
      <c r="F370" t="s">
        <v>56</v>
      </c>
      <c r="G370">
        <v>1</v>
      </c>
      <c r="H370" t="s">
        <v>37</v>
      </c>
      <c r="I370" t="s">
        <v>30</v>
      </c>
      <c r="J370" t="s">
        <v>39</v>
      </c>
      <c r="K370" t="s">
        <v>24</v>
      </c>
      <c r="L370">
        <v>40</v>
      </c>
      <c r="M370">
        <v>22</v>
      </c>
      <c r="N370" t="s">
        <v>32</v>
      </c>
      <c r="O370">
        <v>3</v>
      </c>
      <c r="P370">
        <v>2</v>
      </c>
      <c r="Q370">
        <v>3</v>
      </c>
      <c r="R370">
        <v>6380</v>
      </c>
      <c r="S370">
        <v>8</v>
      </c>
      <c r="T370">
        <v>3</v>
      </c>
      <c r="U370">
        <v>6</v>
      </c>
      <c r="V370">
        <v>4</v>
      </c>
      <c r="W370">
        <v>1</v>
      </c>
      <c r="X370">
        <v>0</v>
      </c>
      <c r="Y370">
        <f>IF(HR_data[[#This Row],[Attrition]]= "Yes",1,0)</f>
        <v>1</v>
      </c>
    </row>
    <row r="371" spans="1:25">
      <c r="A371">
        <v>370</v>
      </c>
      <c r="B371" t="s">
        <v>33</v>
      </c>
      <c r="C371" t="s">
        <v>25</v>
      </c>
      <c r="D371" t="s">
        <v>43</v>
      </c>
      <c r="E371" t="s">
        <v>36</v>
      </c>
      <c r="F371" t="s">
        <v>28</v>
      </c>
      <c r="G371">
        <v>1</v>
      </c>
      <c r="H371" t="s">
        <v>37</v>
      </c>
      <c r="I371" t="s">
        <v>38</v>
      </c>
      <c r="J371" t="s">
        <v>31</v>
      </c>
      <c r="K371" t="s">
        <v>24</v>
      </c>
      <c r="L371">
        <v>31</v>
      </c>
      <c r="M371">
        <v>9</v>
      </c>
      <c r="N371" t="s">
        <v>44</v>
      </c>
      <c r="O371">
        <v>3</v>
      </c>
      <c r="P371">
        <v>1</v>
      </c>
      <c r="Q371">
        <v>2</v>
      </c>
      <c r="R371">
        <v>2657</v>
      </c>
      <c r="S371">
        <v>3</v>
      </c>
      <c r="T371">
        <v>3</v>
      </c>
      <c r="U371">
        <v>2</v>
      </c>
      <c r="V371">
        <v>2</v>
      </c>
      <c r="W371">
        <v>2</v>
      </c>
      <c r="X371">
        <v>2</v>
      </c>
      <c r="Y371">
        <f>IF(HR_data[[#This Row],[Attrition]]= "Yes",1,0)</f>
        <v>0</v>
      </c>
    </row>
    <row r="372" spans="1:25">
      <c r="A372">
        <v>371</v>
      </c>
      <c r="B372" t="s">
        <v>24</v>
      </c>
      <c r="C372" t="s">
        <v>25</v>
      </c>
      <c r="D372" t="s">
        <v>52</v>
      </c>
      <c r="E372" t="s">
        <v>27</v>
      </c>
      <c r="F372" t="s">
        <v>28</v>
      </c>
      <c r="G372">
        <v>1</v>
      </c>
      <c r="H372" t="s">
        <v>29</v>
      </c>
      <c r="I372" t="s">
        <v>54</v>
      </c>
      <c r="J372" t="s">
        <v>31</v>
      </c>
      <c r="K372" t="s">
        <v>33</v>
      </c>
      <c r="L372">
        <v>21</v>
      </c>
      <c r="M372">
        <v>12</v>
      </c>
      <c r="N372" t="s">
        <v>47</v>
      </c>
      <c r="O372">
        <v>3</v>
      </c>
      <c r="P372">
        <v>1</v>
      </c>
      <c r="Q372">
        <v>2</v>
      </c>
      <c r="R372">
        <v>2716</v>
      </c>
      <c r="S372">
        <v>1</v>
      </c>
      <c r="T372">
        <v>3</v>
      </c>
      <c r="U372">
        <v>1</v>
      </c>
      <c r="V372">
        <v>0</v>
      </c>
      <c r="W372">
        <v>0</v>
      </c>
      <c r="X372">
        <v>0</v>
      </c>
      <c r="Y372">
        <f>IF(HR_data[[#This Row],[Attrition]]= "Yes",1,0)</f>
        <v>1</v>
      </c>
    </row>
    <row r="373" spans="1:25">
      <c r="A373">
        <v>372</v>
      </c>
      <c r="B373" t="s">
        <v>33</v>
      </c>
      <c r="C373" t="s">
        <v>25</v>
      </c>
      <c r="D373" t="s">
        <v>43</v>
      </c>
      <c r="E373" t="s">
        <v>36</v>
      </c>
      <c r="F373" t="s">
        <v>28</v>
      </c>
      <c r="G373">
        <v>1</v>
      </c>
      <c r="H373" t="s">
        <v>37</v>
      </c>
      <c r="I373" t="s">
        <v>38</v>
      </c>
      <c r="J373" t="s">
        <v>31</v>
      </c>
      <c r="K373" t="s">
        <v>33</v>
      </c>
      <c r="L373">
        <v>29</v>
      </c>
      <c r="M373">
        <v>23</v>
      </c>
      <c r="N373" t="s">
        <v>47</v>
      </c>
      <c r="O373">
        <v>4</v>
      </c>
      <c r="P373">
        <v>1</v>
      </c>
      <c r="Q373">
        <v>4</v>
      </c>
      <c r="R373">
        <v>2201</v>
      </c>
      <c r="S373">
        <v>6</v>
      </c>
      <c r="T373">
        <v>3</v>
      </c>
      <c r="U373">
        <v>3</v>
      </c>
      <c r="V373">
        <v>2</v>
      </c>
      <c r="W373">
        <v>1</v>
      </c>
      <c r="X373">
        <v>2</v>
      </c>
      <c r="Y373">
        <f>IF(HR_data[[#This Row],[Attrition]]= "Yes",1,0)</f>
        <v>0</v>
      </c>
    </row>
    <row r="374" spans="1:25">
      <c r="A374">
        <v>373</v>
      </c>
      <c r="B374" t="s">
        <v>33</v>
      </c>
      <c r="C374" t="s">
        <v>25</v>
      </c>
      <c r="D374" t="s">
        <v>26</v>
      </c>
      <c r="E374" t="s">
        <v>36</v>
      </c>
      <c r="F374" t="s">
        <v>28</v>
      </c>
      <c r="G374">
        <v>1</v>
      </c>
      <c r="H374" t="s">
        <v>37</v>
      </c>
      <c r="I374" t="s">
        <v>50</v>
      </c>
      <c r="J374" t="s">
        <v>31</v>
      </c>
      <c r="K374" t="s">
        <v>33</v>
      </c>
      <c r="L374">
        <v>35</v>
      </c>
      <c r="M374">
        <v>9</v>
      </c>
      <c r="N374" t="s">
        <v>44</v>
      </c>
      <c r="O374">
        <v>3</v>
      </c>
      <c r="P374">
        <v>2</v>
      </c>
      <c r="Q374">
        <v>2</v>
      </c>
      <c r="R374">
        <v>6540</v>
      </c>
      <c r="S374">
        <v>10</v>
      </c>
      <c r="T374">
        <v>3</v>
      </c>
      <c r="U374">
        <v>1</v>
      </c>
      <c r="V374">
        <v>1</v>
      </c>
      <c r="W374">
        <v>0</v>
      </c>
      <c r="X374">
        <v>0</v>
      </c>
      <c r="Y374">
        <f>IF(HR_data[[#This Row],[Attrition]]= "Yes",1,0)</f>
        <v>0</v>
      </c>
    </row>
    <row r="375" spans="1:25">
      <c r="A375">
        <v>374</v>
      </c>
      <c r="B375" t="s">
        <v>33</v>
      </c>
      <c r="C375" t="s">
        <v>25</v>
      </c>
      <c r="D375" t="s">
        <v>43</v>
      </c>
      <c r="E375" t="s">
        <v>36</v>
      </c>
      <c r="F375" t="s">
        <v>45</v>
      </c>
      <c r="G375">
        <v>1</v>
      </c>
      <c r="H375" t="s">
        <v>37</v>
      </c>
      <c r="I375" t="s">
        <v>42</v>
      </c>
      <c r="J375" t="s">
        <v>48</v>
      </c>
      <c r="K375" t="s">
        <v>33</v>
      </c>
      <c r="L375">
        <v>27</v>
      </c>
      <c r="M375">
        <v>1</v>
      </c>
      <c r="N375" t="s">
        <v>32</v>
      </c>
      <c r="O375">
        <v>4</v>
      </c>
      <c r="P375">
        <v>1</v>
      </c>
      <c r="Q375">
        <v>2</v>
      </c>
      <c r="R375">
        <v>3816</v>
      </c>
      <c r="S375">
        <v>5</v>
      </c>
      <c r="T375">
        <v>3</v>
      </c>
      <c r="U375">
        <v>5</v>
      </c>
      <c r="V375">
        <v>2</v>
      </c>
      <c r="W375">
        <v>0</v>
      </c>
      <c r="X375">
        <v>4</v>
      </c>
      <c r="Y375">
        <f>IF(HR_data[[#This Row],[Attrition]]= "Yes",1,0)</f>
        <v>0</v>
      </c>
    </row>
    <row r="376" spans="1:25">
      <c r="A376">
        <v>375</v>
      </c>
      <c r="B376" t="s">
        <v>33</v>
      </c>
      <c r="C376" t="s">
        <v>25</v>
      </c>
      <c r="D376" t="s">
        <v>43</v>
      </c>
      <c r="E376" t="s">
        <v>27</v>
      </c>
      <c r="F376" t="s">
        <v>28</v>
      </c>
      <c r="G376">
        <v>1</v>
      </c>
      <c r="H376" t="s">
        <v>37</v>
      </c>
      <c r="I376" t="s">
        <v>30</v>
      </c>
      <c r="J376" t="s">
        <v>31</v>
      </c>
      <c r="K376" t="s">
        <v>33</v>
      </c>
      <c r="L376">
        <v>28</v>
      </c>
      <c r="M376">
        <v>9</v>
      </c>
      <c r="N376" t="s">
        <v>44</v>
      </c>
      <c r="O376">
        <v>2</v>
      </c>
      <c r="P376">
        <v>2</v>
      </c>
      <c r="Q376">
        <v>4</v>
      </c>
      <c r="R376">
        <v>5253</v>
      </c>
      <c r="S376">
        <v>7</v>
      </c>
      <c r="T376">
        <v>3</v>
      </c>
      <c r="U376">
        <v>7</v>
      </c>
      <c r="V376">
        <v>5</v>
      </c>
      <c r="W376">
        <v>0</v>
      </c>
      <c r="X376">
        <v>7</v>
      </c>
      <c r="Y376">
        <f>IF(HR_data[[#This Row],[Attrition]]= "Yes",1,0)</f>
        <v>0</v>
      </c>
    </row>
    <row r="377" spans="1:25">
      <c r="A377">
        <v>376</v>
      </c>
      <c r="B377" t="s">
        <v>33</v>
      </c>
      <c r="C377" t="s">
        <v>25</v>
      </c>
      <c r="D377" t="s">
        <v>35</v>
      </c>
      <c r="E377" t="s">
        <v>36</v>
      </c>
      <c r="F377" t="s">
        <v>41</v>
      </c>
      <c r="G377">
        <v>1</v>
      </c>
      <c r="H377" t="s">
        <v>37</v>
      </c>
      <c r="I377" t="s">
        <v>50</v>
      </c>
      <c r="J377" t="s">
        <v>31</v>
      </c>
      <c r="K377" t="s">
        <v>33</v>
      </c>
      <c r="L377">
        <v>49</v>
      </c>
      <c r="M377">
        <v>7</v>
      </c>
      <c r="N377" t="s">
        <v>47</v>
      </c>
      <c r="O377">
        <v>2</v>
      </c>
      <c r="P377">
        <v>3</v>
      </c>
      <c r="Q377">
        <v>3</v>
      </c>
      <c r="R377">
        <v>10965</v>
      </c>
      <c r="S377">
        <v>26</v>
      </c>
      <c r="T377">
        <v>3</v>
      </c>
      <c r="U377">
        <v>5</v>
      </c>
      <c r="V377">
        <v>2</v>
      </c>
      <c r="W377">
        <v>0</v>
      </c>
      <c r="X377">
        <v>0</v>
      </c>
      <c r="Y377">
        <f>IF(HR_data[[#This Row],[Attrition]]= "Yes",1,0)</f>
        <v>0</v>
      </c>
    </row>
    <row r="378" spans="1:25">
      <c r="A378">
        <v>377</v>
      </c>
      <c r="B378" t="s">
        <v>33</v>
      </c>
      <c r="C378" t="s">
        <v>25</v>
      </c>
      <c r="D378" t="s">
        <v>35</v>
      </c>
      <c r="E378" t="s">
        <v>27</v>
      </c>
      <c r="F378" t="s">
        <v>28</v>
      </c>
      <c r="G378">
        <v>1</v>
      </c>
      <c r="H378" t="s">
        <v>29</v>
      </c>
      <c r="I378" t="s">
        <v>30</v>
      </c>
      <c r="J378" t="s">
        <v>39</v>
      </c>
      <c r="K378" t="s">
        <v>33</v>
      </c>
      <c r="L378">
        <v>51</v>
      </c>
      <c r="M378">
        <v>14</v>
      </c>
      <c r="N378" t="s">
        <v>32</v>
      </c>
      <c r="O378">
        <v>3</v>
      </c>
      <c r="P378">
        <v>2</v>
      </c>
      <c r="Q378">
        <v>4</v>
      </c>
      <c r="R378">
        <v>4936</v>
      </c>
      <c r="S378">
        <v>18</v>
      </c>
      <c r="T378">
        <v>2</v>
      </c>
      <c r="U378">
        <v>7</v>
      </c>
      <c r="V378">
        <v>7</v>
      </c>
      <c r="W378">
        <v>0</v>
      </c>
      <c r="X378">
        <v>7</v>
      </c>
      <c r="Y378">
        <f>IF(HR_data[[#This Row],[Attrition]]= "Yes",1,0)</f>
        <v>0</v>
      </c>
    </row>
    <row r="379" spans="1:25">
      <c r="A379">
        <v>378</v>
      </c>
      <c r="B379" t="s">
        <v>33</v>
      </c>
      <c r="C379" t="s">
        <v>25</v>
      </c>
      <c r="D379" t="s">
        <v>26</v>
      </c>
      <c r="E379" t="s">
        <v>36</v>
      </c>
      <c r="F379" t="s">
        <v>28</v>
      </c>
      <c r="G379">
        <v>1</v>
      </c>
      <c r="H379" t="s">
        <v>29</v>
      </c>
      <c r="I379" t="s">
        <v>38</v>
      </c>
      <c r="J379" t="s">
        <v>39</v>
      </c>
      <c r="K379" t="s">
        <v>33</v>
      </c>
      <c r="L379">
        <v>36</v>
      </c>
      <c r="M379">
        <v>2</v>
      </c>
      <c r="N379" t="s">
        <v>47</v>
      </c>
      <c r="O379">
        <v>4</v>
      </c>
      <c r="P379">
        <v>1</v>
      </c>
      <c r="Q379">
        <v>3</v>
      </c>
      <c r="R379">
        <v>2543</v>
      </c>
      <c r="S379">
        <v>6</v>
      </c>
      <c r="T379">
        <v>3</v>
      </c>
      <c r="U379">
        <v>2</v>
      </c>
      <c r="V379">
        <v>2</v>
      </c>
      <c r="W379">
        <v>2</v>
      </c>
      <c r="X379">
        <v>2</v>
      </c>
      <c r="Y379">
        <f>IF(HR_data[[#This Row],[Attrition]]= "Yes",1,0)</f>
        <v>0</v>
      </c>
    </row>
    <row r="380" spans="1:25">
      <c r="A380">
        <v>379</v>
      </c>
      <c r="B380" t="s">
        <v>24</v>
      </c>
      <c r="C380" t="s">
        <v>51</v>
      </c>
      <c r="D380" t="s">
        <v>43</v>
      </c>
      <c r="E380" t="s">
        <v>27</v>
      </c>
      <c r="F380" t="s">
        <v>56</v>
      </c>
      <c r="G380">
        <v>1</v>
      </c>
      <c r="H380" t="s">
        <v>37</v>
      </c>
      <c r="I380" t="s">
        <v>30</v>
      </c>
      <c r="J380" t="s">
        <v>31</v>
      </c>
      <c r="K380" t="s">
        <v>24</v>
      </c>
      <c r="L380">
        <v>34</v>
      </c>
      <c r="M380">
        <v>19</v>
      </c>
      <c r="N380" t="s">
        <v>47</v>
      </c>
      <c r="O380">
        <v>1</v>
      </c>
      <c r="P380">
        <v>2</v>
      </c>
      <c r="Q380">
        <v>4</v>
      </c>
      <c r="R380">
        <v>5304</v>
      </c>
      <c r="S380">
        <v>9</v>
      </c>
      <c r="T380">
        <v>2</v>
      </c>
      <c r="U380">
        <v>5</v>
      </c>
      <c r="V380">
        <v>2</v>
      </c>
      <c r="W380">
        <v>0</v>
      </c>
      <c r="X380">
        <v>4</v>
      </c>
      <c r="Y380">
        <f>IF(HR_data[[#This Row],[Attrition]]= "Yes",1,0)</f>
        <v>1</v>
      </c>
    </row>
    <row r="381" spans="1:25">
      <c r="A381">
        <v>380</v>
      </c>
      <c r="B381" t="s">
        <v>33</v>
      </c>
      <c r="C381" t="s">
        <v>25</v>
      </c>
      <c r="D381" t="s">
        <v>46</v>
      </c>
      <c r="E381" t="s">
        <v>36</v>
      </c>
      <c r="F381" t="s">
        <v>28</v>
      </c>
      <c r="G381">
        <v>1</v>
      </c>
      <c r="H381" t="s">
        <v>29</v>
      </c>
      <c r="I381" t="s">
        <v>53</v>
      </c>
      <c r="J381" t="s">
        <v>31</v>
      </c>
      <c r="K381" t="s">
        <v>24</v>
      </c>
      <c r="L381">
        <v>55</v>
      </c>
      <c r="M381">
        <v>2</v>
      </c>
      <c r="N381" t="s">
        <v>47</v>
      </c>
      <c r="O381">
        <v>3</v>
      </c>
      <c r="P381">
        <v>4</v>
      </c>
      <c r="Q381">
        <v>4</v>
      </c>
      <c r="R381">
        <v>16659</v>
      </c>
      <c r="S381">
        <v>30</v>
      </c>
      <c r="T381">
        <v>3</v>
      </c>
      <c r="U381">
        <v>5</v>
      </c>
      <c r="V381">
        <v>4</v>
      </c>
      <c r="W381">
        <v>1</v>
      </c>
      <c r="X381">
        <v>2</v>
      </c>
      <c r="Y381">
        <f>IF(HR_data[[#This Row],[Attrition]]= "Yes",1,0)</f>
        <v>0</v>
      </c>
    </row>
    <row r="382" spans="1:25">
      <c r="A382">
        <v>381</v>
      </c>
      <c r="B382" t="s">
        <v>33</v>
      </c>
      <c r="C382" t="s">
        <v>25</v>
      </c>
      <c r="D382" t="s">
        <v>52</v>
      </c>
      <c r="E382" t="s">
        <v>27</v>
      </c>
      <c r="F382" t="s">
        <v>56</v>
      </c>
      <c r="G382">
        <v>1</v>
      </c>
      <c r="H382" t="s">
        <v>29</v>
      </c>
      <c r="I382" t="s">
        <v>30</v>
      </c>
      <c r="J382" t="s">
        <v>48</v>
      </c>
      <c r="K382" t="s">
        <v>24</v>
      </c>
      <c r="L382">
        <v>24</v>
      </c>
      <c r="M382">
        <v>10</v>
      </c>
      <c r="N382" t="s">
        <v>44</v>
      </c>
      <c r="O382">
        <v>4</v>
      </c>
      <c r="P382">
        <v>2</v>
      </c>
      <c r="Q382">
        <v>3</v>
      </c>
      <c r="R382">
        <v>4260</v>
      </c>
      <c r="S382">
        <v>5</v>
      </c>
      <c r="T382">
        <v>4</v>
      </c>
      <c r="U382">
        <v>5</v>
      </c>
      <c r="V382">
        <v>2</v>
      </c>
      <c r="W382">
        <v>0</v>
      </c>
      <c r="X382">
        <v>3</v>
      </c>
      <c r="Y382">
        <f>IF(HR_data[[#This Row],[Attrition]]= "Yes",1,0)</f>
        <v>0</v>
      </c>
    </row>
    <row r="383" spans="1:25">
      <c r="A383">
        <v>382</v>
      </c>
      <c r="B383" t="s">
        <v>33</v>
      </c>
      <c r="C383" t="s">
        <v>25</v>
      </c>
      <c r="D383" t="s">
        <v>43</v>
      </c>
      <c r="E383" t="s">
        <v>27</v>
      </c>
      <c r="F383" t="s">
        <v>57</v>
      </c>
      <c r="G383">
        <v>1</v>
      </c>
      <c r="H383" t="s">
        <v>37</v>
      </c>
      <c r="I383" t="s">
        <v>54</v>
      </c>
      <c r="J383" t="s">
        <v>39</v>
      </c>
      <c r="K383" t="s">
        <v>33</v>
      </c>
      <c r="L383">
        <v>30</v>
      </c>
      <c r="M383">
        <v>2</v>
      </c>
      <c r="N383" t="s">
        <v>40</v>
      </c>
      <c r="O383">
        <v>3</v>
      </c>
      <c r="P383">
        <v>1</v>
      </c>
      <c r="Q383">
        <v>2</v>
      </c>
      <c r="R383">
        <v>2476</v>
      </c>
      <c r="S383">
        <v>1</v>
      </c>
      <c r="T383">
        <v>3</v>
      </c>
      <c r="U383">
        <v>1</v>
      </c>
      <c r="V383">
        <v>0</v>
      </c>
      <c r="W383">
        <v>0</v>
      </c>
      <c r="X383">
        <v>0</v>
      </c>
      <c r="Y383">
        <f>IF(HR_data[[#This Row],[Attrition]]= "Yes",1,0)</f>
        <v>0</v>
      </c>
    </row>
    <row r="384" spans="1:25">
      <c r="A384">
        <v>383</v>
      </c>
      <c r="B384" t="s">
        <v>24</v>
      </c>
      <c r="C384" t="s">
        <v>34</v>
      </c>
      <c r="D384" t="s">
        <v>43</v>
      </c>
      <c r="E384" t="s">
        <v>36</v>
      </c>
      <c r="F384" t="s">
        <v>57</v>
      </c>
      <c r="G384">
        <v>1</v>
      </c>
      <c r="H384" t="s">
        <v>37</v>
      </c>
      <c r="I384" t="s">
        <v>38</v>
      </c>
      <c r="J384" t="s">
        <v>31</v>
      </c>
      <c r="K384" t="s">
        <v>33</v>
      </c>
      <c r="L384">
        <v>26</v>
      </c>
      <c r="M384">
        <v>3</v>
      </c>
      <c r="N384" t="s">
        <v>40</v>
      </c>
      <c r="O384">
        <v>3</v>
      </c>
      <c r="P384">
        <v>1</v>
      </c>
      <c r="Q384">
        <v>1</v>
      </c>
      <c r="R384">
        <v>3102</v>
      </c>
      <c r="S384">
        <v>7</v>
      </c>
      <c r="T384">
        <v>3</v>
      </c>
      <c r="U384">
        <v>6</v>
      </c>
      <c r="V384">
        <v>4</v>
      </c>
      <c r="W384">
        <v>0</v>
      </c>
      <c r="X384">
        <v>4</v>
      </c>
      <c r="Y384">
        <f>IF(HR_data[[#This Row],[Attrition]]= "Yes",1,0)</f>
        <v>1</v>
      </c>
    </row>
    <row r="385" spans="1:25">
      <c r="A385">
        <v>384</v>
      </c>
      <c r="B385" t="s">
        <v>33</v>
      </c>
      <c r="C385" t="s">
        <v>25</v>
      </c>
      <c r="D385" t="s">
        <v>52</v>
      </c>
      <c r="E385" t="s">
        <v>36</v>
      </c>
      <c r="F385" t="s">
        <v>45</v>
      </c>
      <c r="G385">
        <v>1</v>
      </c>
      <c r="H385" t="s">
        <v>29</v>
      </c>
      <c r="I385" t="s">
        <v>38</v>
      </c>
      <c r="J385" t="s">
        <v>39</v>
      </c>
      <c r="K385" t="s">
        <v>33</v>
      </c>
      <c r="L385">
        <v>22</v>
      </c>
      <c r="M385">
        <v>11</v>
      </c>
      <c r="N385" t="s">
        <v>47</v>
      </c>
      <c r="O385">
        <v>1</v>
      </c>
      <c r="P385">
        <v>1</v>
      </c>
      <c r="Q385">
        <v>2</v>
      </c>
      <c r="R385">
        <v>2244</v>
      </c>
      <c r="S385">
        <v>2</v>
      </c>
      <c r="T385">
        <v>3</v>
      </c>
      <c r="U385">
        <v>2</v>
      </c>
      <c r="V385">
        <v>1</v>
      </c>
      <c r="W385">
        <v>1</v>
      </c>
      <c r="X385">
        <v>2</v>
      </c>
      <c r="Y385">
        <f>IF(HR_data[[#This Row],[Attrition]]= "Yes",1,0)</f>
        <v>0</v>
      </c>
    </row>
    <row r="386" spans="1:25">
      <c r="A386">
        <v>385</v>
      </c>
      <c r="B386" t="s">
        <v>33</v>
      </c>
      <c r="C386" t="s">
        <v>25</v>
      </c>
      <c r="D386" t="s">
        <v>26</v>
      </c>
      <c r="E386" t="s">
        <v>27</v>
      </c>
      <c r="F386" t="s">
        <v>45</v>
      </c>
      <c r="G386">
        <v>1</v>
      </c>
      <c r="H386" t="s">
        <v>37</v>
      </c>
      <c r="I386" t="s">
        <v>30</v>
      </c>
      <c r="J386" t="s">
        <v>39</v>
      </c>
      <c r="K386" t="s">
        <v>33</v>
      </c>
      <c r="L386">
        <v>36</v>
      </c>
      <c r="M386">
        <v>2</v>
      </c>
      <c r="N386" t="s">
        <v>32</v>
      </c>
      <c r="O386">
        <v>2</v>
      </c>
      <c r="P386">
        <v>3</v>
      </c>
      <c r="Q386">
        <v>3</v>
      </c>
      <c r="R386">
        <v>7596</v>
      </c>
      <c r="S386">
        <v>10</v>
      </c>
      <c r="T386">
        <v>3</v>
      </c>
      <c r="U386">
        <v>10</v>
      </c>
      <c r="V386">
        <v>9</v>
      </c>
      <c r="W386">
        <v>9</v>
      </c>
      <c r="X386">
        <v>0</v>
      </c>
      <c r="Y386">
        <f>IF(HR_data[[#This Row],[Attrition]]= "Yes",1,0)</f>
        <v>0</v>
      </c>
    </row>
    <row r="387" spans="1:25">
      <c r="A387">
        <v>386</v>
      </c>
      <c r="B387" t="s">
        <v>24</v>
      </c>
      <c r="C387" t="s">
        <v>34</v>
      </c>
      <c r="D387" t="s">
        <v>43</v>
      </c>
      <c r="E387" t="s">
        <v>36</v>
      </c>
      <c r="F387" t="s">
        <v>57</v>
      </c>
      <c r="G387">
        <v>1</v>
      </c>
      <c r="H387" t="s">
        <v>37</v>
      </c>
      <c r="I387" t="s">
        <v>38</v>
      </c>
      <c r="J387" t="s">
        <v>31</v>
      </c>
      <c r="K387" t="s">
        <v>24</v>
      </c>
      <c r="L387">
        <v>30</v>
      </c>
      <c r="M387">
        <v>4</v>
      </c>
      <c r="N387" t="s">
        <v>47</v>
      </c>
      <c r="O387">
        <v>3</v>
      </c>
      <c r="P387">
        <v>1</v>
      </c>
      <c r="Q387">
        <v>4</v>
      </c>
      <c r="R387">
        <v>2285</v>
      </c>
      <c r="S387">
        <v>3</v>
      </c>
      <c r="T387">
        <v>3</v>
      </c>
      <c r="U387">
        <v>1</v>
      </c>
      <c r="V387">
        <v>0</v>
      </c>
      <c r="W387">
        <v>0</v>
      </c>
      <c r="X387">
        <v>0</v>
      </c>
      <c r="Y387">
        <f>IF(HR_data[[#This Row],[Attrition]]= "Yes",1,0)</f>
        <v>1</v>
      </c>
    </row>
    <row r="388" spans="1:25">
      <c r="A388">
        <v>387</v>
      </c>
      <c r="B388" t="s">
        <v>33</v>
      </c>
      <c r="C388" t="s">
        <v>25</v>
      </c>
      <c r="D388" t="s">
        <v>26</v>
      </c>
      <c r="E388" t="s">
        <v>36</v>
      </c>
      <c r="F388" t="s">
        <v>28</v>
      </c>
      <c r="G388">
        <v>1</v>
      </c>
      <c r="H388" t="s">
        <v>29</v>
      </c>
      <c r="I388" t="s">
        <v>42</v>
      </c>
      <c r="J388" t="s">
        <v>48</v>
      </c>
      <c r="K388" t="s">
        <v>33</v>
      </c>
      <c r="L388">
        <v>37</v>
      </c>
      <c r="M388">
        <v>14</v>
      </c>
      <c r="N388" t="s">
        <v>47</v>
      </c>
      <c r="O388">
        <v>4</v>
      </c>
      <c r="P388">
        <v>1</v>
      </c>
      <c r="Q388">
        <v>1</v>
      </c>
      <c r="R388">
        <v>3034</v>
      </c>
      <c r="S388">
        <v>18</v>
      </c>
      <c r="T388">
        <v>2</v>
      </c>
      <c r="U388">
        <v>18</v>
      </c>
      <c r="V388">
        <v>7</v>
      </c>
      <c r="W388">
        <v>12</v>
      </c>
      <c r="X388">
        <v>17</v>
      </c>
      <c r="Y388">
        <f>IF(HR_data[[#This Row],[Attrition]]= "Yes",1,0)</f>
        <v>0</v>
      </c>
    </row>
    <row r="389" spans="1:25">
      <c r="A389">
        <v>388</v>
      </c>
      <c r="B389" t="s">
        <v>33</v>
      </c>
      <c r="C389" t="s">
        <v>25</v>
      </c>
      <c r="D389" t="s">
        <v>26</v>
      </c>
      <c r="E389" t="s">
        <v>27</v>
      </c>
      <c r="F389" t="s">
        <v>56</v>
      </c>
      <c r="G389">
        <v>1</v>
      </c>
      <c r="H389" t="s">
        <v>29</v>
      </c>
      <c r="I389" t="s">
        <v>30</v>
      </c>
      <c r="J389" t="s">
        <v>48</v>
      </c>
      <c r="K389" t="s">
        <v>33</v>
      </c>
      <c r="L389">
        <v>40</v>
      </c>
      <c r="M389">
        <v>2</v>
      </c>
      <c r="N389" t="s">
        <v>32</v>
      </c>
      <c r="O389">
        <v>4</v>
      </c>
      <c r="P389">
        <v>2</v>
      </c>
      <c r="Q389">
        <v>2</v>
      </c>
      <c r="R389">
        <v>5715</v>
      </c>
      <c r="S389">
        <v>8</v>
      </c>
      <c r="T389">
        <v>3</v>
      </c>
      <c r="U389">
        <v>5</v>
      </c>
      <c r="V389">
        <v>4</v>
      </c>
      <c r="W389">
        <v>1</v>
      </c>
      <c r="X389">
        <v>3</v>
      </c>
      <c r="Y389">
        <f>IF(HR_data[[#This Row],[Attrition]]= "Yes",1,0)</f>
        <v>0</v>
      </c>
    </row>
    <row r="390" spans="1:25">
      <c r="A390">
        <v>389</v>
      </c>
      <c r="B390" t="s">
        <v>33</v>
      </c>
      <c r="C390" t="s">
        <v>25</v>
      </c>
      <c r="D390" t="s">
        <v>26</v>
      </c>
      <c r="E390" t="s">
        <v>36</v>
      </c>
      <c r="F390" t="s">
        <v>28</v>
      </c>
      <c r="G390">
        <v>1</v>
      </c>
      <c r="H390" t="s">
        <v>29</v>
      </c>
      <c r="I390" t="s">
        <v>42</v>
      </c>
      <c r="J390" t="s">
        <v>48</v>
      </c>
      <c r="K390" t="s">
        <v>33</v>
      </c>
      <c r="L390">
        <v>42</v>
      </c>
      <c r="M390">
        <v>1</v>
      </c>
      <c r="N390" t="s">
        <v>44</v>
      </c>
      <c r="O390">
        <v>2</v>
      </c>
      <c r="P390">
        <v>1</v>
      </c>
      <c r="Q390">
        <v>1</v>
      </c>
      <c r="R390">
        <v>2576</v>
      </c>
      <c r="S390">
        <v>8</v>
      </c>
      <c r="T390">
        <v>3</v>
      </c>
      <c r="U390">
        <v>5</v>
      </c>
      <c r="V390">
        <v>2</v>
      </c>
      <c r="W390">
        <v>1</v>
      </c>
      <c r="X390">
        <v>2</v>
      </c>
      <c r="Y390">
        <f>IF(HR_data[[#This Row],[Attrition]]= "Yes",1,0)</f>
        <v>0</v>
      </c>
    </row>
    <row r="391" spans="1:25">
      <c r="A391">
        <v>390</v>
      </c>
      <c r="B391" t="s">
        <v>33</v>
      </c>
      <c r="C391" t="s">
        <v>25</v>
      </c>
      <c r="D391" t="s">
        <v>26</v>
      </c>
      <c r="E391" t="s">
        <v>36</v>
      </c>
      <c r="F391" t="s">
        <v>28</v>
      </c>
      <c r="G391">
        <v>1</v>
      </c>
      <c r="H391" t="s">
        <v>37</v>
      </c>
      <c r="I391" t="s">
        <v>49</v>
      </c>
      <c r="J391" t="s">
        <v>31</v>
      </c>
      <c r="K391" t="s">
        <v>24</v>
      </c>
      <c r="L391">
        <v>37</v>
      </c>
      <c r="M391">
        <v>10</v>
      </c>
      <c r="N391" t="s">
        <v>44</v>
      </c>
      <c r="O391">
        <v>3</v>
      </c>
      <c r="P391">
        <v>2</v>
      </c>
      <c r="Q391">
        <v>2</v>
      </c>
      <c r="R391">
        <v>4197</v>
      </c>
      <c r="S391">
        <v>18</v>
      </c>
      <c r="T391">
        <v>2</v>
      </c>
      <c r="U391">
        <v>1</v>
      </c>
      <c r="V391">
        <v>0</v>
      </c>
      <c r="W391">
        <v>0</v>
      </c>
      <c r="X391">
        <v>1</v>
      </c>
      <c r="Y391">
        <f>IF(HR_data[[#This Row],[Attrition]]= "Yes",1,0)</f>
        <v>0</v>
      </c>
    </row>
    <row r="392" spans="1:25">
      <c r="A392">
        <v>391</v>
      </c>
      <c r="B392" t="s">
        <v>33</v>
      </c>
      <c r="C392" t="s">
        <v>25</v>
      </c>
      <c r="D392" t="s">
        <v>26</v>
      </c>
      <c r="E392" t="s">
        <v>36</v>
      </c>
      <c r="F392" t="s">
        <v>28</v>
      </c>
      <c r="G392">
        <v>1</v>
      </c>
      <c r="H392" t="s">
        <v>37</v>
      </c>
      <c r="I392" t="s">
        <v>55</v>
      </c>
      <c r="J392" t="s">
        <v>48</v>
      </c>
      <c r="K392" t="s">
        <v>33</v>
      </c>
      <c r="L392">
        <v>43</v>
      </c>
      <c r="M392">
        <v>12</v>
      </c>
      <c r="N392" t="s">
        <v>47</v>
      </c>
      <c r="O392">
        <v>1</v>
      </c>
      <c r="P392">
        <v>4</v>
      </c>
      <c r="Q392">
        <v>2</v>
      </c>
      <c r="R392">
        <v>14336</v>
      </c>
      <c r="S392">
        <v>25</v>
      </c>
      <c r="T392">
        <v>3</v>
      </c>
      <c r="U392">
        <v>25</v>
      </c>
      <c r="V392">
        <v>10</v>
      </c>
      <c r="W392">
        <v>3</v>
      </c>
      <c r="X392">
        <v>9</v>
      </c>
      <c r="Y392">
        <f>IF(HR_data[[#This Row],[Attrition]]= "Yes",1,0)</f>
        <v>0</v>
      </c>
    </row>
    <row r="393" spans="1:25">
      <c r="A393">
        <v>392</v>
      </c>
      <c r="B393" t="s">
        <v>33</v>
      </c>
      <c r="C393" t="s">
        <v>25</v>
      </c>
      <c r="D393" t="s">
        <v>26</v>
      </c>
      <c r="E393" t="s">
        <v>36</v>
      </c>
      <c r="F393" t="s">
        <v>45</v>
      </c>
      <c r="G393">
        <v>1</v>
      </c>
      <c r="H393" t="s">
        <v>29</v>
      </c>
      <c r="I393" t="s">
        <v>42</v>
      </c>
      <c r="J393" t="s">
        <v>39</v>
      </c>
      <c r="K393" t="s">
        <v>33</v>
      </c>
      <c r="L393">
        <v>40</v>
      </c>
      <c r="M393">
        <v>2</v>
      </c>
      <c r="N393" t="s">
        <v>47</v>
      </c>
      <c r="O393">
        <v>2</v>
      </c>
      <c r="P393">
        <v>2</v>
      </c>
      <c r="Q393">
        <v>3</v>
      </c>
      <c r="R393">
        <v>3448</v>
      </c>
      <c r="S393">
        <v>20</v>
      </c>
      <c r="T393">
        <v>3</v>
      </c>
      <c r="U393">
        <v>1</v>
      </c>
      <c r="V393">
        <v>0</v>
      </c>
      <c r="W393">
        <v>0</v>
      </c>
      <c r="X393">
        <v>0</v>
      </c>
      <c r="Y393">
        <f>IF(HR_data[[#This Row],[Attrition]]= "Yes",1,0)</f>
        <v>0</v>
      </c>
    </row>
    <row r="394" spans="1:25">
      <c r="A394">
        <v>393</v>
      </c>
      <c r="B394" t="s">
        <v>33</v>
      </c>
      <c r="C394" t="s">
        <v>25</v>
      </c>
      <c r="D394" t="s">
        <v>35</v>
      </c>
      <c r="E394" t="s">
        <v>36</v>
      </c>
      <c r="F394" t="s">
        <v>45</v>
      </c>
      <c r="G394">
        <v>1</v>
      </c>
      <c r="H394" t="s">
        <v>37</v>
      </c>
      <c r="I394" t="s">
        <v>55</v>
      </c>
      <c r="J394" t="s">
        <v>39</v>
      </c>
      <c r="K394" t="s">
        <v>33</v>
      </c>
      <c r="L394">
        <v>54</v>
      </c>
      <c r="M394">
        <v>5</v>
      </c>
      <c r="N394" t="s">
        <v>32</v>
      </c>
      <c r="O394">
        <v>1</v>
      </c>
      <c r="P394">
        <v>5</v>
      </c>
      <c r="Q394">
        <v>1</v>
      </c>
      <c r="R394">
        <v>19406</v>
      </c>
      <c r="S394">
        <v>24</v>
      </c>
      <c r="T394">
        <v>2</v>
      </c>
      <c r="U394">
        <v>4</v>
      </c>
      <c r="V394">
        <v>2</v>
      </c>
      <c r="W394">
        <v>1</v>
      </c>
      <c r="X394">
        <v>2</v>
      </c>
      <c r="Y394">
        <f>IF(HR_data[[#This Row],[Attrition]]= "Yes",1,0)</f>
        <v>0</v>
      </c>
    </row>
    <row r="395" spans="1:25">
      <c r="A395">
        <v>394</v>
      </c>
      <c r="B395" t="s">
        <v>33</v>
      </c>
      <c r="C395" t="s">
        <v>51</v>
      </c>
      <c r="D395" t="s">
        <v>43</v>
      </c>
      <c r="E395" t="s">
        <v>27</v>
      </c>
      <c r="F395" t="s">
        <v>56</v>
      </c>
      <c r="G395">
        <v>1</v>
      </c>
      <c r="H395" t="s">
        <v>29</v>
      </c>
      <c r="I395" t="s">
        <v>30</v>
      </c>
      <c r="J395" t="s">
        <v>39</v>
      </c>
      <c r="K395" t="s">
        <v>33</v>
      </c>
      <c r="L395">
        <v>34</v>
      </c>
      <c r="M395">
        <v>4</v>
      </c>
      <c r="N395" t="s">
        <v>44</v>
      </c>
      <c r="O395">
        <v>3</v>
      </c>
      <c r="P395">
        <v>2</v>
      </c>
      <c r="Q395">
        <v>3</v>
      </c>
      <c r="R395">
        <v>6538</v>
      </c>
      <c r="S395">
        <v>6</v>
      </c>
      <c r="T395">
        <v>3</v>
      </c>
      <c r="U395">
        <v>3</v>
      </c>
      <c r="V395">
        <v>2</v>
      </c>
      <c r="W395">
        <v>1</v>
      </c>
      <c r="X395">
        <v>2</v>
      </c>
      <c r="Y395">
        <f>IF(HR_data[[#This Row],[Attrition]]= "Yes",1,0)</f>
        <v>0</v>
      </c>
    </row>
    <row r="396" spans="1:25">
      <c r="A396">
        <v>395</v>
      </c>
      <c r="B396" t="s">
        <v>33</v>
      </c>
      <c r="C396" t="s">
        <v>25</v>
      </c>
      <c r="D396" t="s">
        <v>43</v>
      </c>
      <c r="E396" t="s">
        <v>36</v>
      </c>
      <c r="F396" t="s">
        <v>45</v>
      </c>
      <c r="G396">
        <v>1</v>
      </c>
      <c r="H396" t="s">
        <v>29</v>
      </c>
      <c r="I396" t="s">
        <v>49</v>
      </c>
      <c r="J396" t="s">
        <v>39</v>
      </c>
      <c r="K396" t="s">
        <v>33</v>
      </c>
      <c r="L396">
        <v>31</v>
      </c>
      <c r="M396">
        <v>7</v>
      </c>
      <c r="N396" t="s">
        <v>32</v>
      </c>
      <c r="O396">
        <v>2</v>
      </c>
      <c r="P396">
        <v>2</v>
      </c>
      <c r="Q396">
        <v>1</v>
      </c>
      <c r="R396">
        <v>4306</v>
      </c>
      <c r="S396">
        <v>13</v>
      </c>
      <c r="T396">
        <v>1</v>
      </c>
      <c r="U396">
        <v>13</v>
      </c>
      <c r="V396">
        <v>10</v>
      </c>
      <c r="W396">
        <v>3</v>
      </c>
      <c r="X396">
        <v>12</v>
      </c>
      <c r="Y396">
        <f>IF(HR_data[[#This Row],[Attrition]]= "Yes",1,0)</f>
        <v>0</v>
      </c>
    </row>
    <row r="397" spans="1:25">
      <c r="A397">
        <v>396</v>
      </c>
      <c r="B397" t="s">
        <v>33</v>
      </c>
      <c r="C397" t="s">
        <v>34</v>
      </c>
      <c r="D397" t="s">
        <v>26</v>
      </c>
      <c r="E397" t="s">
        <v>36</v>
      </c>
      <c r="F397" t="s">
        <v>45</v>
      </c>
      <c r="G397">
        <v>1</v>
      </c>
      <c r="H397" t="s">
        <v>37</v>
      </c>
      <c r="I397" t="s">
        <v>42</v>
      </c>
      <c r="J397" t="s">
        <v>39</v>
      </c>
      <c r="K397" t="s">
        <v>33</v>
      </c>
      <c r="L397">
        <v>43</v>
      </c>
      <c r="M397">
        <v>21</v>
      </c>
      <c r="N397" t="s">
        <v>47</v>
      </c>
      <c r="O397">
        <v>4</v>
      </c>
      <c r="P397">
        <v>1</v>
      </c>
      <c r="Q397">
        <v>4</v>
      </c>
      <c r="R397">
        <v>2258</v>
      </c>
      <c r="S397">
        <v>8</v>
      </c>
      <c r="T397">
        <v>3</v>
      </c>
      <c r="U397">
        <v>3</v>
      </c>
      <c r="V397">
        <v>2</v>
      </c>
      <c r="W397">
        <v>1</v>
      </c>
      <c r="X397">
        <v>2</v>
      </c>
      <c r="Y397">
        <f>IF(HR_data[[#This Row],[Attrition]]= "Yes",1,0)</f>
        <v>0</v>
      </c>
    </row>
    <row r="398" spans="1:25">
      <c r="A398">
        <v>397</v>
      </c>
      <c r="B398" t="s">
        <v>33</v>
      </c>
      <c r="C398" t="s">
        <v>25</v>
      </c>
      <c r="D398" t="s">
        <v>26</v>
      </c>
      <c r="E398" t="s">
        <v>36</v>
      </c>
      <c r="F398" t="s">
        <v>41</v>
      </c>
      <c r="G398">
        <v>1</v>
      </c>
      <c r="H398" t="s">
        <v>29</v>
      </c>
      <c r="I398" t="s">
        <v>50</v>
      </c>
      <c r="J398" t="s">
        <v>48</v>
      </c>
      <c r="K398" t="s">
        <v>24</v>
      </c>
      <c r="L398">
        <v>43</v>
      </c>
      <c r="M398">
        <v>8</v>
      </c>
      <c r="N398" t="s">
        <v>44</v>
      </c>
      <c r="O398">
        <v>3</v>
      </c>
      <c r="P398">
        <v>2</v>
      </c>
      <c r="Q398">
        <v>3</v>
      </c>
      <c r="R398">
        <v>4522</v>
      </c>
      <c r="S398">
        <v>8</v>
      </c>
      <c r="T398">
        <v>3</v>
      </c>
      <c r="U398">
        <v>5</v>
      </c>
      <c r="V398">
        <v>2</v>
      </c>
      <c r="W398">
        <v>0</v>
      </c>
      <c r="X398">
        <v>2</v>
      </c>
      <c r="Y398">
        <f>IF(HR_data[[#This Row],[Attrition]]= "Yes",1,0)</f>
        <v>0</v>
      </c>
    </row>
    <row r="399" spans="1:25">
      <c r="A399">
        <v>398</v>
      </c>
      <c r="B399" t="s">
        <v>33</v>
      </c>
      <c r="C399" t="s">
        <v>25</v>
      </c>
      <c r="D399" t="s">
        <v>43</v>
      </c>
      <c r="E399" t="s">
        <v>27</v>
      </c>
      <c r="F399" t="s">
        <v>28</v>
      </c>
      <c r="G399">
        <v>1</v>
      </c>
      <c r="H399" t="s">
        <v>29</v>
      </c>
      <c r="I399" t="s">
        <v>30</v>
      </c>
      <c r="J399" t="s">
        <v>31</v>
      </c>
      <c r="K399" t="s">
        <v>24</v>
      </c>
      <c r="L399">
        <v>25</v>
      </c>
      <c r="M399">
        <v>4</v>
      </c>
      <c r="N399" t="s">
        <v>32</v>
      </c>
      <c r="O399">
        <v>2</v>
      </c>
      <c r="P399">
        <v>2</v>
      </c>
      <c r="Q399">
        <v>4</v>
      </c>
      <c r="R399">
        <v>4487</v>
      </c>
      <c r="S399">
        <v>5</v>
      </c>
      <c r="T399">
        <v>3</v>
      </c>
      <c r="U399">
        <v>5</v>
      </c>
      <c r="V399">
        <v>4</v>
      </c>
      <c r="W399">
        <v>1</v>
      </c>
      <c r="X399">
        <v>3</v>
      </c>
      <c r="Y399">
        <f>IF(HR_data[[#This Row],[Attrition]]= "Yes",1,0)</f>
        <v>0</v>
      </c>
    </row>
    <row r="400" spans="1:25">
      <c r="A400">
        <v>399</v>
      </c>
      <c r="B400" t="s">
        <v>33</v>
      </c>
      <c r="C400" t="s">
        <v>51</v>
      </c>
      <c r="D400" t="s">
        <v>26</v>
      </c>
      <c r="E400" t="s">
        <v>36</v>
      </c>
      <c r="F400" t="s">
        <v>45</v>
      </c>
      <c r="G400">
        <v>1</v>
      </c>
      <c r="H400" t="s">
        <v>29</v>
      </c>
      <c r="I400" t="s">
        <v>38</v>
      </c>
      <c r="J400" t="s">
        <v>39</v>
      </c>
      <c r="K400" t="s">
        <v>24</v>
      </c>
      <c r="L400">
        <v>37</v>
      </c>
      <c r="M400">
        <v>25</v>
      </c>
      <c r="N400" t="s">
        <v>58</v>
      </c>
      <c r="O400">
        <v>2</v>
      </c>
      <c r="P400">
        <v>2</v>
      </c>
      <c r="Q400">
        <v>3</v>
      </c>
      <c r="R400">
        <v>4449</v>
      </c>
      <c r="S400">
        <v>15</v>
      </c>
      <c r="T400">
        <v>3</v>
      </c>
      <c r="U400">
        <v>13</v>
      </c>
      <c r="V400">
        <v>11</v>
      </c>
      <c r="W400">
        <v>10</v>
      </c>
      <c r="X400">
        <v>7</v>
      </c>
      <c r="Y400">
        <f>IF(HR_data[[#This Row],[Attrition]]= "Yes",1,0)</f>
        <v>0</v>
      </c>
    </row>
    <row r="401" spans="1:25">
      <c r="A401">
        <v>400</v>
      </c>
      <c r="B401" t="s">
        <v>33</v>
      </c>
      <c r="C401" t="s">
        <v>25</v>
      </c>
      <c r="D401" t="s">
        <v>43</v>
      </c>
      <c r="E401" t="s">
        <v>36</v>
      </c>
      <c r="F401" t="s">
        <v>28</v>
      </c>
      <c r="G401">
        <v>1</v>
      </c>
      <c r="H401" t="s">
        <v>37</v>
      </c>
      <c r="I401" t="s">
        <v>42</v>
      </c>
      <c r="J401" t="s">
        <v>39</v>
      </c>
      <c r="K401" t="s">
        <v>33</v>
      </c>
      <c r="L401">
        <v>31</v>
      </c>
      <c r="M401">
        <v>1</v>
      </c>
      <c r="N401" t="s">
        <v>32</v>
      </c>
      <c r="O401">
        <v>4</v>
      </c>
      <c r="P401">
        <v>1</v>
      </c>
      <c r="Q401">
        <v>1</v>
      </c>
      <c r="R401">
        <v>2218</v>
      </c>
      <c r="S401">
        <v>4</v>
      </c>
      <c r="T401">
        <v>3</v>
      </c>
      <c r="U401">
        <v>4</v>
      </c>
      <c r="V401">
        <v>2</v>
      </c>
      <c r="W401">
        <v>3</v>
      </c>
      <c r="X401">
        <v>2</v>
      </c>
      <c r="Y401">
        <f>IF(HR_data[[#This Row],[Attrition]]= "Yes",1,0)</f>
        <v>0</v>
      </c>
    </row>
    <row r="402" spans="1:25">
      <c r="A402">
        <v>401</v>
      </c>
      <c r="B402" t="s">
        <v>33</v>
      </c>
      <c r="C402" t="s">
        <v>34</v>
      </c>
      <c r="D402" t="s">
        <v>26</v>
      </c>
      <c r="E402" t="s">
        <v>36</v>
      </c>
      <c r="F402" t="s">
        <v>28</v>
      </c>
      <c r="G402">
        <v>1</v>
      </c>
      <c r="H402" t="s">
        <v>37</v>
      </c>
      <c r="I402" t="s">
        <v>53</v>
      </c>
      <c r="J402" t="s">
        <v>48</v>
      </c>
      <c r="K402" t="s">
        <v>24</v>
      </c>
      <c r="L402">
        <v>39</v>
      </c>
      <c r="M402">
        <v>1</v>
      </c>
      <c r="N402" t="s">
        <v>40</v>
      </c>
      <c r="O402">
        <v>2</v>
      </c>
      <c r="P402">
        <v>5</v>
      </c>
      <c r="Q402">
        <v>3</v>
      </c>
      <c r="R402">
        <v>19197</v>
      </c>
      <c r="S402">
        <v>21</v>
      </c>
      <c r="T402">
        <v>3</v>
      </c>
      <c r="U402">
        <v>21</v>
      </c>
      <c r="V402">
        <v>8</v>
      </c>
      <c r="W402">
        <v>1</v>
      </c>
      <c r="X402">
        <v>6</v>
      </c>
      <c r="Y402">
        <f>IF(HR_data[[#This Row],[Attrition]]= "Yes",1,0)</f>
        <v>0</v>
      </c>
    </row>
    <row r="403" spans="1:25">
      <c r="A403">
        <v>402</v>
      </c>
      <c r="B403" t="s">
        <v>33</v>
      </c>
      <c r="C403" t="s">
        <v>34</v>
      </c>
      <c r="D403" t="s">
        <v>46</v>
      </c>
      <c r="E403" t="s">
        <v>27</v>
      </c>
      <c r="F403" t="s">
        <v>28</v>
      </c>
      <c r="G403">
        <v>1</v>
      </c>
      <c r="H403" t="s">
        <v>29</v>
      </c>
      <c r="I403" t="s">
        <v>30</v>
      </c>
      <c r="J403" t="s">
        <v>39</v>
      </c>
      <c r="K403" t="s">
        <v>33</v>
      </c>
      <c r="L403">
        <v>56</v>
      </c>
      <c r="M403">
        <v>6</v>
      </c>
      <c r="N403" t="s">
        <v>47</v>
      </c>
      <c r="O403">
        <v>3</v>
      </c>
      <c r="P403">
        <v>4</v>
      </c>
      <c r="Q403">
        <v>1</v>
      </c>
      <c r="R403">
        <v>13212</v>
      </c>
      <c r="S403">
        <v>36</v>
      </c>
      <c r="T403">
        <v>2</v>
      </c>
      <c r="U403">
        <v>7</v>
      </c>
      <c r="V403">
        <v>7</v>
      </c>
      <c r="W403">
        <v>7</v>
      </c>
      <c r="X403">
        <v>7</v>
      </c>
      <c r="Y403">
        <f>IF(HR_data[[#This Row],[Attrition]]= "Yes",1,0)</f>
        <v>0</v>
      </c>
    </row>
    <row r="404" spans="1:25">
      <c r="A404">
        <v>403</v>
      </c>
      <c r="B404" t="s">
        <v>33</v>
      </c>
      <c r="C404" t="s">
        <v>25</v>
      </c>
      <c r="D404" t="s">
        <v>43</v>
      </c>
      <c r="E404" t="s">
        <v>27</v>
      </c>
      <c r="F404" t="s">
        <v>57</v>
      </c>
      <c r="G404">
        <v>1</v>
      </c>
      <c r="H404" t="s">
        <v>29</v>
      </c>
      <c r="I404" t="s">
        <v>30</v>
      </c>
      <c r="J404" t="s">
        <v>31</v>
      </c>
      <c r="K404" t="s">
        <v>33</v>
      </c>
      <c r="L404">
        <v>30</v>
      </c>
      <c r="M404">
        <v>12</v>
      </c>
      <c r="N404" t="s">
        <v>47</v>
      </c>
      <c r="O404">
        <v>2</v>
      </c>
      <c r="P404">
        <v>2</v>
      </c>
      <c r="Q404">
        <v>3</v>
      </c>
      <c r="R404">
        <v>6577</v>
      </c>
      <c r="S404">
        <v>6</v>
      </c>
      <c r="T404">
        <v>3</v>
      </c>
      <c r="U404">
        <v>5</v>
      </c>
      <c r="V404">
        <v>4</v>
      </c>
      <c r="W404">
        <v>4</v>
      </c>
      <c r="X404">
        <v>4</v>
      </c>
      <c r="Y404">
        <f>IF(HR_data[[#This Row],[Attrition]]= "Yes",1,0)</f>
        <v>0</v>
      </c>
    </row>
    <row r="405" spans="1:25">
      <c r="A405">
        <v>404</v>
      </c>
      <c r="B405" t="s">
        <v>33</v>
      </c>
      <c r="C405" t="s">
        <v>25</v>
      </c>
      <c r="D405" t="s">
        <v>26</v>
      </c>
      <c r="E405" t="s">
        <v>27</v>
      </c>
      <c r="F405" t="s">
        <v>56</v>
      </c>
      <c r="G405">
        <v>1</v>
      </c>
      <c r="H405" t="s">
        <v>37</v>
      </c>
      <c r="I405" t="s">
        <v>30</v>
      </c>
      <c r="J405" t="s">
        <v>39</v>
      </c>
      <c r="K405" t="s">
        <v>33</v>
      </c>
      <c r="L405">
        <v>41</v>
      </c>
      <c r="M405">
        <v>1</v>
      </c>
      <c r="N405" t="s">
        <v>47</v>
      </c>
      <c r="O405">
        <v>2</v>
      </c>
      <c r="P405">
        <v>3</v>
      </c>
      <c r="Q405">
        <v>1</v>
      </c>
      <c r="R405">
        <v>8392</v>
      </c>
      <c r="S405">
        <v>10</v>
      </c>
      <c r="T405">
        <v>3</v>
      </c>
      <c r="U405">
        <v>10</v>
      </c>
      <c r="V405">
        <v>7</v>
      </c>
      <c r="W405">
        <v>0</v>
      </c>
      <c r="X405">
        <v>7</v>
      </c>
      <c r="Y405">
        <f>IF(HR_data[[#This Row],[Attrition]]= "Yes",1,0)</f>
        <v>0</v>
      </c>
    </row>
    <row r="406" spans="1:25">
      <c r="A406">
        <v>405</v>
      </c>
      <c r="B406" t="s">
        <v>33</v>
      </c>
      <c r="C406" t="s">
        <v>25</v>
      </c>
      <c r="D406" t="s">
        <v>43</v>
      </c>
      <c r="E406" t="s">
        <v>36</v>
      </c>
      <c r="F406" t="s">
        <v>45</v>
      </c>
      <c r="G406">
        <v>1</v>
      </c>
      <c r="H406" t="s">
        <v>37</v>
      </c>
      <c r="I406" t="s">
        <v>42</v>
      </c>
      <c r="J406" t="s">
        <v>48</v>
      </c>
      <c r="K406" t="s">
        <v>33</v>
      </c>
      <c r="L406">
        <v>28</v>
      </c>
      <c r="M406">
        <v>17</v>
      </c>
      <c r="N406" t="s">
        <v>32</v>
      </c>
      <c r="O406">
        <v>3</v>
      </c>
      <c r="P406">
        <v>2</v>
      </c>
      <c r="Q406">
        <v>1</v>
      </c>
      <c r="R406">
        <v>4558</v>
      </c>
      <c r="S406">
        <v>10</v>
      </c>
      <c r="T406">
        <v>3</v>
      </c>
      <c r="U406">
        <v>10</v>
      </c>
      <c r="V406">
        <v>0</v>
      </c>
      <c r="W406">
        <v>1</v>
      </c>
      <c r="X406">
        <v>8</v>
      </c>
      <c r="Y406">
        <f>IF(HR_data[[#This Row],[Attrition]]= "Yes",1,0)</f>
        <v>0</v>
      </c>
    </row>
    <row r="407" spans="1:25">
      <c r="A407">
        <v>406</v>
      </c>
      <c r="B407" t="s">
        <v>24</v>
      </c>
      <c r="C407" t="s">
        <v>25</v>
      </c>
      <c r="D407" t="s">
        <v>43</v>
      </c>
      <c r="E407" t="s">
        <v>36</v>
      </c>
      <c r="F407" t="s">
        <v>45</v>
      </c>
      <c r="G407">
        <v>1</v>
      </c>
      <c r="H407" t="s">
        <v>37</v>
      </c>
      <c r="I407" t="s">
        <v>42</v>
      </c>
      <c r="J407" t="s">
        <v>39</v>
      </c>
      <c r="K407" t="s">
        <v>33</v>
      </c>
      <c r="L407">
        <v>25</v>
      </c>
      <c r="M407">
        <v>3</v>
      </c>
      <c r="N407" t="s">
        <v>47</v>
      </c>
      <c r="O407">
        <v>1</v>
      </c>
      <c r="P407">
        <v>1</v>
      </c>
      <c r="Q407">
        <v>1</v>
      </c>
      <c r="R407">
        <v>4031</v>
      </c>
      <c r="S407">
        <v>6</v>
      </c>
      <c r="T407">
        <v>3</v>
      </c>
      <c r="U407">
        <v>2</v>
      </c>
      <c r="V407">
        <v>2</v>
      </c>
      <c r="W407">
        <v>0</v>
      </c>
      <c r="X407">
        <v>2</v>
      </c>
      <c r="Y407">
        <f>IF(HR_data[[#This Row],[Attrition]]= "Yes",1,0)</f>
        <v>1</v>
      </c>
    </row>
    <row r="408" spans="1:25">
      <c r="A408">
        <v>407</v>
      </c>
      <c r="B408" t="s">
        <v>33</v>
      </c>
      <c r="C408" t="s">
        <v>25</v>
      </c>
      <c r="D408" t="s">
        <v>35</v>
      </c>
      <c r="E408" t="s">
        <v>36</v>
      </c>
      <c r="F408" t="s">
        <v>45</v>
      </c>
      <c r="G408">
        <v>1</v>
      </c>
      <c r="H408" t="s">
        <v>37</v>
      </c>
      <c r="I408" t="s">
        <v>49</v>
      </c>
      <c r="J408" t="s">
        <v>39</v>
      </c>
      <c r="K408" t="s">
        <v>24</v>
      </c>
      <c r="L408">
        <v>52</v>
      </c>
      <c r="M408">
        <v>3</v>
      </c>
      <c r="N408" t="s">
        <v>47</v>
      </c>
      <c r="O408">
        <v>4</v>
      </c>
      <c r="P408">
        <v>3</v>
      </c>
      <c r="Q408">
        <v>3</v>
      </c>
      <c r="R408">
        <v>7969</v>
      </c>
      <c r="S408">
        <v>28</v>
      </c>
      <c r="T408">
        <v>3</v>
      </c>
      <c r="U408">
        <v>5</v>
      </c>
      <c r="V408">
        <v>4</v>
      </c>
      <c r="W408">
        <v>0</v>
      </c>
      <c r="X408">
        <v>4</v>
      </c>
      <c r="Y408">
        <f>IF(HR_data[[#This Row],[Attrition]]= "Yes",1,0)</f>
        <v>0</v>
      </c>
    </row>
    <row r="409" spans="1:25">
      <c r="A409">
        <v>408</v>
      </c>
      <c r="B409" t="s">
        <v>33</v>
      </c>
      <c r="C409" t="s">
        <v>25</v>
      </c>
      <c r="D409" t="s">
        <v>35</v>
      </c>
      <c r="E409" t="s">
        <v>36</v>
      </c>
      <c r="F409" t="s">
        <v>28</v>
      </c>
      <c r="G409">
        <v>1</v>
      </c>
      <c r="H409" t="s">
        <v>37</v>
      </c>
      <c r="I409" t="s">
        <v>38</v>
      </c>
      <c r="J409" t="s">
        <v>39</v>
      </c>
      <c r="K409" t="s">
        <v>33</v>
      </c>
      <c r="L409">
        <v>45</v>
      </c>
      <c r="M409">
        <v>10</v>
      </c>
      <c r="N409" t="s">
        <v>32</v>
      </c>
      <c r="O409">
        <v>1</v>
      </c>
      <c r="P409">
        <v>1</v>
      </c>
      <c r="Q409">
        <v>4</v>
      </c>
      <c r="R409">
        <v>2654</v>
      </c>
      <c r="S409">
        <v>8</v>
      </c>
      <c r="T409">
        <v>2</v>
      </c>
      <c r="U409">
        <v>2</v>
      </c>
      <c r="V409">
        <v>2</v>
      </c>
      <c r="W409">
        <v>0</v>
      </c>
      <c r="X409">
        <v>2</v>
      </c>
      <c r="Y409">
        <f>IF(HR_data[[#This Row],[Attrition]]= "Yes",1,0)</f>
        <v>0</v>
      </c>
    </row>
    <row r="410" spans="1:25">
      <c r="A410">
        <v>409</v>
      </c>
      <c r="B410" t="s">
        <v>33</v>
      </c>
      <c r="C410" t="s">
        <v>25</v>
      </c>
      <c r="D410" t="s">
        <v>35</v>
      </c>
      <c r="E410" t="s">
        <v>36</v>
      </c>
      <c r="F410" t="s">
        <v>28</v>
      </c>
      <c r="G410">
        <v>1</v>
      </c>
      <c r="H410" t="s">
        <v>29</v>
      </c>
      <c r="I410" t="s">
        <v>53</v>
      </c>
      <c r="J410" t="s">
        <v>39</v>
      </c>
      <c r="K410" t="s">
        <v>33</v>
      </c>
      <c r="L410">
        <v>52</v>
      </c>
      <c r="M410">
        <v>4</v>
      </c>
      <c r="N410" t="s">
        <v>32</v>
      </c>
      <c r="O410">
        <v>4</v>
      </c>
      <c r="P410">
        <v>4</v>
      </c>
      <c r="Q410">
        <v>4</v>
      </c>
      <c r="R410">
        <v>16555</v>
      </c>
      <c r="S410">
        <v>31</v>
      </c>
      <c r="T410">
        <v>1</v>
      </c>
      <c r="U410">
        <v>5</v>
      </c>
      <c r="V410">
        <v>2</v>
      </c>
      <c r="W410">
        <v>1</v>
      </c>
      <c r="X410">
        <v>4</v>
      </c>
      <c r="Y410">
        <f>IF(HR_data[[#This Row],[Attrition]]= "Yes",1,0)</f>
        <v>0</v>
      </c>
    </row>
    <row r="411" spans="1:25">
      <c r="A411">
        <v>410</v>
      </c>
      <c r="B411" t="s">
        <v>33</v>
      </c>
      <c r="C411" t="s">
        <v>34</v>
      </c>
      <c r="D411" t="s">
        <v>26</v>
      </c>
      <c r="E411" t="s">
        <v>36</v>
      </c>
      <c r="F411" t="s">
        <v>28</v>
      </c>
      <c r="G411">
        <v>1</v>
      </c>
      <c r="H411" t="s">
        <v>29</v>
      </c>
      <c r="I411" t="s">
        <v>38</v>
      </c>
      <c r="J411" t="s">
        <v>48</v>
      </c>
      <c r="K411" t="s">
        <v>33</v>
      </c>
      <c r="L411">
        <v>42</v>
      </c>
      <c r="M411">
        <v>29</v>
      </c>
      <c r="N411" t="s">
        <v>32</v>
      </c>
      <c r="O411">
        <v>1</v>
      </c>
      <c r="P411">
        <v>2</v>
      </c>
      <c r="Q411">
        <v>3</v>
      </c>
      <c r="R411">
        <v>4556</v>
      </c>
      <c r="S411">
        <v>19</v>
      </c>
      <c r="T411">
        <v>3</v>
      </c>
      <c r="U411">
        <v>5</v>
      </c>
      <c r="V411">
        <v>4</v>
      </c>
      <c r="W411">
        <v>0</v>
      </c>
      <c r="X411">
        <v>2</v>
      </c>
      <c r="Y411">
        <f>IF(HR_data[[#This Row],[Attrition]]= "Yes",1,0)</f>
        <v>0</v>
      </c>
    </row>
    <row r="412" spans="1:25">
      <c r="A412">
        <v>411</v>
      </c>
      <c r="B412" t="s">
        <v>33</v>
      </c>
      <c r="C412" t="s">
        <v>25</v>
      </c>
      <c r="D412" t="s">
        <v>43</v>
      </c>
      <c r="E412" t="s">
        <v>36</v>
      </c>
      <c r="F412" t="s">
        <v>28</v>
      </c>
      <c r="G412">
        <v>1</v>
      </c>
      <c r="H412" t="s">
        <v>29</v>
      </c>
      <c r="I412" t="s">
        <v>49</v>
      </c>
      <c r="J412" t="s">
        <v>31</v>
      </c>
      <c r="K412" t="s">
        <v>33</v>
      </c>
      <c r="L412">
        <v>30</v>
      </c>
      <c r="M412">
        <v>2</v>
      </c>
      <c r="N412" t="s">
        <v>47</v>
      </c>
      <c r="O412">
        <v>3</v>
      </c>
      <c r="P412">
        <v>2</v>
      </c>
      <c r="Q412">
        <v>4</v>
      </c>
      <c r="R412">
        <v>6091</v>
      </c>
      <c r="S412">
        <v>11</v>
      </c>
      <c r="T412">
        <v>3</v>
      </c>
      <c r="U412">
        <v>5</v>
      </c>
      <c r="V412">
        <v>4</v>
      </c>
      <c r="W412">
        <v>0</v>
      </c>
      <c r="X412">
        <v>2</v>
      </c>
      <c r="Y412">
        <f>IF(HR_data[[#This Row],[Attrition]]= "Yes",1,0)</f>
        <v>0</v>
      </c>
    </row>
    <row r="413" spans="1:25">
      <c r="A413">
        <v>412</v>
      </c>
      <c r="B413" t="s">
        <v>33</v>
      </c>
      <c r="C413" t="s">
        <v>25</v>
      </c>
      <c r="D413" t="s">
        <v>46</v>
      </c>
      <c r="E413" t="s">
        <v>36</v>
      </c>
      <c r="F413" t="s">
        <v>28</v>
      </c>
      <c r="G413">
        <v>1</v>
      </c>
      <c r="H413" t="s">
        <v>29</v>
      </c>
      <c r="I413" t="s">
        <v>53</v>
      </c>
      <c r="J413" t="s">
        <v>39</v>
      </c>
      <c r="K413" t="s">
        <v>33</v>
      </c>
      <c r="L413">
        <v>60</v>
      </c>
      <c r="M413">
        <v>7</v>
      </c>
      <c r="N413" t="s">
        <v>47</v>
      </c>
      <c r="O413">
        <v>1</v>
      </c>
      <c r="P413">
        <v>5</v>
      </c>
      <c r="Q413">
        <v>1</v>
      </c>
      <c r="R413">
        <v>19566</v>
      </c>
      <c r="S413">
        <v>33</v>
      </c>
      <c r="T413">
        <v>1</v>
      </c>
      <c r="U413">
        <v>29</v>
      </c>
      <c r="V413">
        <v>8</v>
      </c>
      <c r="W413">
        <v>11</v>
      </c>
      <c r="X413">
        <v>10</v>
      </c>
      <c r="Y413">
        <f>IF(HR_data[[#This Row],[Attrition]]= "Yes",1,0)</f>
        <v>0</v>
      </c>
    </row>
    <row r="414" spans="1:25">
      <c r="A414">
        <v>413</v>
      </c>
      <c r="B414" t="s">
        <v>33</v>
      </c>
      <c r="C414" t="s">
        <v>25</v>
      </c>
      <c r="D414" t="s">
        <v>35</v>
      </c>
      <c r="E414" t="s">
        <v>36</v>
      </c>
      <c r="F414" t="s">
        <v>45</v>
      </c>
      <c r="G414">
        <v>1</v>
      </c>
      <c r="H414" t="s">
        <v>29</v>
      </c>
      <c r="I414" t="s">
        <v>49</v>
      </c>
      <c r="J414" t="s">
        <v>48</v>
      </c>
      <c r="K414" t="s">
        <v>33</v>
      </c>
      <c r="L414">
        <v>46</v>
      </c>
      <c r="M414">
        <v>18</v>
      </c>
      <c r="N414" t="s">
        <v>47</v>
      </c>
      <c r="O414">
        <v>3</v>
      </c>
      <c r="P414">
        <v>2</v>
      </c>
      <c r="Q414">
        <v>3</v>
      </c>
      <c r="R414">
        <v>4810</v>
      </c>
      <c r="S414">
        <v>19</v>
      </c>
      <c r="T414">
        <v>2</v>
      </c>
      <c r="U414">
        <v>10</v>
      </c>
      <c r="V414">
        <v>7</v>
      </c>
      <c r="W414">
        <v>0</v>
      </c>
      <c r="X414">
        <v>8</v>
      </c>
      <c r="Y414">
        <f>IF(HR_data[[#This Row],[Attrition]]= "Yes",1,0)</f>
        <v>0</v>
      </c>
    </row>
    <row r="415" spans="1:25">
      <c r="A415">
        <v>414</v>
      </c>
      <c r="B415" t="s">
        <v>33</v>
      </c>
      <c r="C415" t="s">
        <v>34</v>
      </c>
      <c r="D415" t="s">
        <v>26</v>
      </c>
      <c r="E415" t="s">
        <v>36</v>
      </c>
      <c r="F415" t="s">
        <v>57</v>
      </c>
      <c r="G415">
        <v>1</v>
      </c>
      <c r="H415" t="s">
        <v>29</v>
      </c>
      <c r="I415" t="s">
        <v>50</v>
      </c>
      <c r="J415" t="s">
        <v>39</v>
      </c>
      <c r="K415" t="s">
        <v>33</v>
      </c>
      <c r="L415">
        <v>42</v>
      </c>
      <c r="M415">
        <v>28</v>
      </c>
      <c r="N415" t="s">
        <v>44</v>
      </c>
      <c r="O415">
        <v>4</v>
      </c>
      <c r="P415">
        <v>2</v>
      </c>
      <c r="Q415">
        <v>4</v>
      </c>
      <c r="R415">
        <v>4523</v>
      </c>
      <c r="S415">
        <v>7</v>
      </c>
      <c r="T415">
        <v>4</v>
      </c>
      <c r="U415">
        <v>6</v>
      </c>
      <c r="V415">
        <v>5</v>
      </c>
      <c r="W415">
        <v>0</v>
      </c>
      <c r="X415">
        <v>4</v>
      </c>
      <c r="Y415">
        <f>IF(HR_data[[#This Row],[Attrition]]= "Yes",1,0)</f>
        <v>0</v>
      </c>
    </row>
    <row r="416" spans="1:25">
      <c r="A416">
        <v>415</v>
      </c>
      <c r="B416" t="s">
        <v>24</v>
      </c>
      <c r="C416" t="s">
        <v>25</v>
      </c>
      <c r="D416" t="s">
        <v>52</v>
      </c>
      <c r="E416" t="s">
        <v>27</v>
      </c>
      <c r="F416" t="s">
        <v>57</v>
      </c>
      <c r="G416">
        <v>1</v>
      </c>
      <c r="H416" t="s">
        <v>29</v>
      </c>
      <c r="I416" t="s">
        <v>54</v>
      </c>
      <c r="J416" t="s">
        <v>31</v>
      </c>
      <c r="K416" t="s">
        <v>24</v>
      </c>
      <c r="L416">
        <v>24</v>
      </c>
      <c r="M416">
        <v>1</v>
      </c>
      <c r="N416" t="s">
        <v>40</v>
      </c>
      <c r="O416">
        <v>1</v>
      </c>
      <c r="P416">
        <v>1</v>
      </c>
      <c r="Q416">
        <v>2</v>
      </c>
      <c r="R416">
        <v>3202</v>
      </c>
      <c r="S416">
        <v>6</v>
      </c>
      <c r="T416">
        <v>3</v>
      </c>
      <c r="U416">
        <v>5</v>
      </c>
      <c r="V416">
        <v>3</v>
      </c>
      <c r="W416">
        <v>1</v>
      </c>
      <c r="X416">
        <v>4</v>
      </c>
      <c r="Y416">
        <f>IF(HR_data[[#This Row],[Attrition]]= "Yes",1,0)</f>
        <v>1</v>
      </c>
    </row>
    <row r="417" spans="1:25">
      <c r="A417">
        <v>416</v>
      </c>
      <c r="B417" t="s">
        <v>24</v>
      </c>
      <c r="C417" t="s">
        <v>34</v>
      </c>
      <c r="D417" t="s">
        <v>43</v>
      </c>
      <c r="E417" t="s">
        <v>27</v>
      </c>
      <c r="F417" t="s">
        <v>56</v>
      </c>
      <c r="G417">
        <v>1</v>
      </c>
      <c r="H417" t="s">
        <v>29</v>
      </c>
      <c r="I417" t="s">
        <v>54</v>
      </c>
      <c r="J417" t="s">
        <v>48</v>
      </c>
      <c r="K417" t="s">
        <v>33</v>
      </c>
      <c r="L417">
        <v>34</v>
      </c>
      <c r="M417">
        <v>6</v>
      </c>
      <c r="N417" t="s">
        <v>32</v>
      </c>
      <c r="O417">
        <v>4</v>
      </c>
      <c r="P417">
        <v>1</v>
      </c>
      <c r="Q417">
        <v>3</v>
      </c>
      <c r="R417">
        <v>2351</v>
      </c>
      <c r="S417">
        <v>3</v>
      </c>
      <c r="T417">
        <v>2</v>
      </c>
      <c r="U417">
        <v>2</v>
      </c>
      <c r="V417">
        <v>2</v>
      </c>
      <c r="W417">
        <v>1</v>
      </c>
      <c r="X417">
        <v>0</v>
      </c>
      <c r="Y417">
        <f>IF(HR_data[[#This Row],[Attrition]]= "Yes",1,0)</f>
        <v>1</v>
      </c>
    </row>
    <row r="418" spans="1:25">
      <c r="A418">
        <v>417</v>
      </c>
      <c r="B418" t="s">
        <v>33</v>
      </c>
      <c r="C418" t="s">
        <v>34</v>
      </c>
      <c r="D418" t="s">
        <v>26</v>
      </c>
      <c r="E418" t="s">
        <v>36</v>
      </c>
      <c r="F418" t="s">
        <v>28</v>
      </c>
      <c r="G418">
        <v>1</v>
      </c>
      <c r="H418" t="s">
        <v>37</v>
      </c>
      <c r="I418" t="s">
        <v>42</v>
      </c>
      <c r="J418" t="s">
        <v>39</v>
      </c>
      <c r="K418" t="s">
        <v>24</v>
      </c>
      <c r="L418">
        <v>38</v>
      </c>
      <c r="M418">
        <v>2</v>
      </c>
      <c r="N418" t="s">
        <v>32</v>
      </c>
      <c r="O418">
        <v>4</v>
      </c>
      <c r="P418">
        <v>1</v>
      </c>
      <c r="Q418">
        <v>4</v>
      </c>
      <c r="R418">
        <v>1702</v>
      </c>
      <c r="S418">
        <v>1</v>
      </c>
      <c r="T418">
        <v>3</v>
      </c>
      <c r="U418">
        <v>1</v>
      </c>
      <c r="V418">
        <v>0</v>
      </c>
      <c r="W418">
        <v>0</v>
      </c>
      <c r="X418">
        <v>0</v>
      </c>
      <c r="Y418">
        <f>IF(HR_data[[#This Row],[Attrition]]= "Yes",1,0)</f>
        <v>0</v>
      </c>
    </row>
    <row r="419" spans="1:25">
      <c r="A419">
        <v>418</v>
      </c>
      <c r="B419" t="s">
        <v>33</v>
      </c>
      <c r="C419" t="s">
        <v>25</v>
      </c>
      <c r="D419" t="s">
        <v>26</v>
      </c>
      <c r="E419" t="s">
        <v>27</v>
      </c>
      <c r="F419" t="s">
        <v>28</v>
      </c>
      <c r="G419">
        <v>1</v>
      </c>
      <c r="H419" t="s">
        <v>29</v>
      </c>
      <c r="I419" t="s">
        <v>53</v>
      </c>
      <c r="J419" t="s">
        <v>39</v>
      </c>
      <c r="K419" t="s">
        <v>33</v>
      </c>
      <c r="L419">
        <v>40</v>
      </c>
      <c r="M419">
        <v>2</v>
      </c>
      <c r="N419" t="s">
        <v>44</v>
      </c>
      <c r="O419">
        <v>3</v>
      </c>
      <c r="P419">
        <v>5</v>
      </c>
      <c r="Q419">
        <v>3</v>
      </c>
      <c r="R419">
        <v>18041</v>
      </c>
      <c r="S419">
        <v>21</v>
      </c>
      <c r="T419">
        <v>3</v>
      </c>
      <c r="U419">
        <v>20</v>
      </c>
      <c r="V419">
        <v>15</v>
      </c>
      <c r="W419">
        <v>1</v>
      </c>
      <c r="X419">
        <v>12</v>
      </c>
      <c r="Y419">
        <f>IF(HR_data[[#This Row],[Attrition]]= "Yes",1,0)</f>
        <v>0</v>
      </c>
    </row>
    <row r="420" spans="1:25">
      <c r="A420">
        <v>419</v>
      </c>
      <c r="B420" t="s">
        <v>33</v>
      </c>
      <c r="C420" t="s">
        <v>25</v>
      </c>
      <c r="D420" t="s">
        <v>43</v>
      </c>
      <c r="E420" t="s">
        <v>36</v>
      </c>
      <c r="F420" t="s">
        <v>28</v>
      </c>
      <c r="G420">
        <v>1</v>
      </c>
      <c r="H420" t="s">
        <v>29</v>
      </c>
      <c r="I420" t="s">
        <v>38</v>
      </c>
      <c r="J420" t="s">
        <v>48</v>
      </c>
      <c r="K420" t="s">
        <v>33</v>
      </c>
      <c r="L420">
        <v>26</v>
      </c>
      <c r="M420">
        <v>23</v>
      </c>
      <c r="N420" t="s">
        <v>47</v>
      </c>
      <c r="O420">
        <v>1</v>
      </c>
      <c r="P420">
        <v>1</v>
      </c>
      <c r="Q420">
        <v>4</v>
      </c>
      <c r="R420">
        <v>2886</v>
      </c>
      <c r="S420">
        <v>3</v>
      </c>
      <c r="T420">
        <v>1</v>
      </c>
      <c r="U420">
        <v>3</v>
      </c>
      <c r="V420">
        <v>2</v>
      </c>
      <c r="W420">
        <v>0</v>
      </c>
      <c r="X420">
        <v>2</v>
      </c>
      <c r="Y420">
        <f>IF(HR_data[[#This Row],[Attrition]]= "Yes",1,0)</f>
        <v>0</v>
      </c>
    </row>
    <row r="421" spans="1:25">
      <c r="A421">
        <v>420</v>
      </c>
      <c r="B421" t="s">
        <v>33</v>
      </c>
      <c r="C421" t="s">
        <v>51</v>
      </c>
      <c r="D421" t="s">
        <v>43</v>
      </c>
      <c r="E421" t="s">
        <v>36</v>
      </c>
      <c r="F421" t="s">
        <v>28</v>
      </c>
      <c r="G421">
        <v>1</v>
      </c>
      <c r="H421" t="s">
        <v>37</v>
      </c>
      <c r="I421" t="s">
        <v>42</v>
      </c>
      <c r="J421" t="s">
        <v>39</v>
      </c>
      <c r="K421" t="s">
        <v>33</v>
      </c>
      <c r="L421">
        <v>30</v>
      </c>
      <c r="M421">
        <v>3</v>
      </c>
      <c r="N421" t="s">
        <v>47</v>
      </c>
      <c r="O421">
        <v>3</v>
      </c>
      <c r="P421">
        <v>1</v>
      </c>
      <c r="Q421">
        <v>4</v>
      </c>
      <c r="R421">
        <v>2097</v>
      </c>
      <c r="S421">
        <v>9</v>
      </c>
      <c r="T421">
        <v>1</v>
      </c>
      <c r="U421">
        <v>5</v>
      </c>
      <c r="V421">
        <v>3</v>
      </c>
      <c r="W421">
        <v>1</v>
      </c>
      <c r="X421">
        <v>4</v>
      </c>
      <c r="Y421">
        <f>IF(HR_data[[#This Row],[Attrition]]= "Yes",1,0)</f>
        <v>0</v>
      </c>
    </row>
    <row r="422" spans="1:25">
      <c r="A422">
        <v>421</v>
      </c>
      <c r="B422" t="s">
        <v>33</v>
      </c>
      <c r="C422" t="s">
        <v>25</v>
      </c>
      <c r="D422" t="s">
        <v>43</v>
      </c>
      <c r="E422" t="s">
        <v>36</v>
      </c>
      <c r="F422" t="s">
        <v>45</v>
      </c>
      <c r="G422">
        <v>1</v>
      </c>
      <c r="H422" t="s">
        <v>37</v>
      </c>
      <c r="I422" t="s">
        <v>55</v>
      </c>
      <c r="J422" t="s">
        <v>39</v>
      </c>
      <c r="K422" t="s">
        <v>33</v>
      </c>
      <c r="L422">
        <v>29</v>
      </c>
      <c r="M422">
        <v>3</v>
      </c>
      <c r="N422" t="s">
        <v>44</v>
      </c>
      <c r="O422">
        <v>2</v>
      </c>
      <c r="P422">
        <v>3</v>
      </c>
      <c r="Q422">
        <v>3</v>
      </c>
      <c r="R422">
        <v>11935</v>
      </c>
      <c r="S422">
        <v>10</v>
      </c>
      <c r="T422">
        <v>3</v>
      </c>
      <c r="U422">
        <v>10</v>
      </c>
      <c r="V422">
        <v>2</v>
      </c>
      <c r="W422">
        <v>0</v>
      </c>
      <c r="X422">
        <v>7</v>
      </c>
      <c r="Y422">
        <f>IF(HR_data[[#This Row],[Attrition]]= "Yes",1,0)</f>
        <v>0</v>
      </c>
    </row>
    <row r="423" spans="1:25">
      <c r="A423">
        <v>422</v>
      </c>
      <c r="B423" t="s">
        <v>24</v>
      </c>
      <c r="C423" t="s">
        <v>25</v>
      </c>
      <c r="D423" t="s">
        <v>43</v>
      </c>
      <c r="E423" t="s">
        <v>36</v>
      </c>
      <c r="F423" t="s">
        <v>57</v>
      </c>
      <c r="G423">
        <v>1</v>
      </c>
      <c r="H423" t="s">
        <v>29</v>
      </c>
      <c r="I423" t="s">
        <v>38</v>
      </c>
      <c r="J423" t="s">
        <v>39</v>
      </c>
      <c r="K423" t="s">
        <v>33</v>
      </c>
      <c r="L423">
        <v>29</v>
      </c>
      <c r="M423">
        <v>25</v>
      </c>
      <c r="N423" t="s">
        <v>58</v>
      </c>
      <c r="O423">
        <v>3</v>
      </c>
      <c r="P423">
        <v>1</v>
      </c>
      <c r="Q423">
        <v>2</v>
      </c>
      <c r="R423">
        <v>2546</v>
      </c>
      <c r="S423">
        <v>6</v>
      </c>
      <c r="T423">
        <v>4</v>
      </c>
      <c r="U423">
        <v>2</v>
      </c>
      <c r="V423">
        <v>2</v>
      </c>
      <c r="W423">
        <v>1</v>
      </c>
      <c r="X423">
        <v>1</v>
      </c>
      <c r="Y423">
        <f>IF(HR_data[[#This Row],[Attrition]]= "Yes",1,0)</f>
        <v>1</v>
      </c>
    </row>
    <row r="424" spans="1:25">
      <c r="A424">
        <v>423</v>
      </c>
      <c r="B424" t="s">
        <v>24</v>
      </c>
      <c r="C424" t="s">
        <v>25</v>
      </c>
      <c r="D424" t="s">
        <v>52</v>
      </c>
      <c r="E424" t="s">
        <v>59</v>
      </c>
      <c r="F424" t="s">
        <v>57</v>
      </c>
      <c r="G424">
        <v>1</v>
      </c>
      <c r="H424" t="s">
        <v>37</v>
      </c>
      <c r="I424" t="s">
        <v>60</v>
      </c>
      <c r="J424" t="s">
        <v>31</v>
      </c>
      <c r="K424" t="s">
        <v>33</v>
      </c>
      <c r="L424">
        <v>19</v>
      </c>
      <c r="M424">
        <v>2</v>
      </c>
      <c r="N424" t="s">
        <v>32</v>
      </c>
      <c r="O424">
        <v>1</v>
      </c>
      <c r="P424">
        <v>1</v>
      </c>
      <c r="Q424">
        <v>4</v>
      </c>
      <c r="R424">
        <v>2564</v>
      </c>
      <c r="S424">
        <v>1</v>
      </c>
      <c r="T424">
        <v>4</v>
      </c>
      <c r="U424">
        <v>1</v>
      </c>
      <c r="V424">
        <v>0</v>
      </c>
      <c r="W424">
        <v>0</v>
      </c>
      <c r="X424">
        <v>0</v>
      </c>
      <c r="Y424">
        <f>IF(HR_data[[#This Row],[Attrition]]= "Yes",1,0)</f>
        <v>1</v>
      </c>
    </row>
    <row r="425" spans="1:25">
      <c r="A425">
        <v>424</v>
      </c>
      <c r="B425" t="s">
        <v>33</v>
      </c>
      <c r="C425" t="s">
        <v>51</v>
      </c>
      <c r="D425" t="s">
        <v>43</v>
      </c>
      <c r="E425" t="s">
        <v>27</v>
      </c>
      <c r="F425" t="s">
        <v>41</v>
      </c>
      <c r="G425">
        <v>1</v>
      </c>
      <c r="H425" t="s">
        <v>29</v>
      </c>
      <c r="I425" t="s">
        <v>30</v>
      </c>
      <c r="J425" t="s">
        <v>39</v>
      </c>
      <c r="K425" t="s">
        <v>33</v>
      </c>
      <c r="L425">
        <v>30</v>
      </c>
      <c r="M425">
        <v>22</v>
      </c>
      <c r="N425" t="s">
        <v>44</v>
      </c>
      <c r="O425">
        <v>3</v>
      </c>
      <c r="P425">
        <v>3</v>
      </c>
      <c r="Q425">
        <v>1</v>
      </c>
      <c r="R425">
        <v>8412</v>
      </c>
      <c r="S425">
        <v>10</v>
      </c>
      <c r="T425">
        <v>3</v>
      </c>
      <c r="U425">
        <v>9</v>
      </c>
      <c r="V425">
        <v>8</v>
      </c>
      <c r="W425">
        <v>7</v>
      </c>
      <c r="X425">
        <v>8</v>
      </c>
      <c r="Y425">
        <f>IF(HR_data[[#This Row],[Attrition]]= "Yes",1,0)</f>
        <v>0</v>
      </c>
    </row>
    <row r="426" spans="1:25">
      <c r="A426">
        <v>425</v>
      </c>
      <c r="B426" t="s">
        <v>33</v>
      </c>
      <c r="C426" t="s">
        <v>25</v>
      </c>
      <c r="D426" t="s">
        <v>46</v>
      </c>
      <c r="E426" t="s">
        <v>27</v>
      </c>
      <c r="F426" t="s">
        <v>56</v>
      </c>
      <c r="G426">
        <v>1</v>
      </c>
      <c r="H426" t="s">
        <v>37</v>
      </c>
      <c r="I426" t="s">
        <v>53</v>
      </c>
      <c r="J426" t="s">
        <v>48</v>
      </c>
      <c r="K426" t="s">
        <v>33</v>
      </c>
      <c r="L426">
        <v>57</v>
      </c>
      <c r="M426">
        <v>29</v>
      </c>
      <c r="N426" t="s">
        <v>47</v>
      </c>
      <c r="O426">
        <v>1</v>
      </c>
      <c r="P426">
        <v>4</v>
      </c>
      <c r="Q426">
        <v>4</v>
      </c>
      <c r="R426">
        <v>14118</v>
      </c>
      <c r="S426">
        <v>32</v>
      </c>
      <c r="T426">
        <v>2</v>
      </c>
      <c r="U426">
        <v>1</v>
      </c>
      <c r="V426">
        <v>0</v>
      </c>
      <c r="W426">
        <v>0</v>
      </c>
      <c r="X426">
        <v>0</v>
      </c>
      <c r="Y426">
        <f>IF(HR_data[[#This Row],[Attrition]]= "Yes",1,0)</f>
        <v>0</v>
      </c>
    </row>
    <row r="427" spans="1:25">
      <c r="A427">
        <v>426</v>
      </c>
      <c r="B427" t="s">
        <v>33</v>
      </c>
      <c r="C427" t="s">
        <v>25</v>
      </c>
      <c r="D427" t="s">
        <v>35</v>
      </c>
      <c r="E427" t="s">
        <v>36</v>
      </c>
      <c r="F427" t="s">
        <v>28</v>
      </c>
      <c r="G427">
        <v>1</v>
      </c>
      <c r="H427" t="s">
        <v>37</v>
      </c>
      <c r="I427" t="s">
        <v>53</v>
      </c>
      <c r="J427" t="s">
        <v>39</v>
      </c>
      <c r="K427" t="s">
        <v>33</v>
      </c>
      <c r="L427">
        <v>50</v>
      </c>
      <c r="M427">
        <v>29</v>
      </c>
      <c r="N427" t="s">
        <v>44</v>
      </c>
      <c r="O427">
        <v>2</v>
      </c>
      <c r="P427">
        <v>4</v>
      </c>
      <c r="Q427">
        <v>3</v>
      </c>
      <c r="R427">
        <v>17046</v>
      </c>
      <c r="S427">
        <v>28</v>
      </c>
      <c r="T427">
        <v>3</v>
      </c>
      <c r="U427">
        <v>27</v>
      </c>
      <c r="V427">
        <v>10</v>
      </c>
      <c r="W427">
        <v>15</v>
      </c>
      <c r="X427">
        <v>7</v>
      </c>
      <c r="Y427">
        <f>IF(HR_data[[#This Row],[Attrition]]= "Yes",1,0)</f>
        <v>0</v>
      </c>
    </row>
    <row r="428" spans="1:25">
      <c r="A428">
        <v>427</v>
      </c>
      <c r="B428" t="s">
        <v>33</v>
      </c>
      <c r="C428" t="s">
        <v>51</v>
      </c>
      <c r="D428" t="s">
        <v>43</v>
      </c>
      <c r="E428" t="s">
        <v>36</v>
      </c>
      <c r="F428" t="s">
        <v>45</v>
      </c>
      <c r="G428">
        <v>1</v>
      </c>
      <c r="H428" t="s">
        <v>29</v>
      </c>
      <c r="I428" t="s">
        <v>42</v>
      </c>
      <c r="J428" t="s">
        <v>31</v>
      </c>
      <c r="K428" t="s">
        <v>33</v>
      </c>
      <c r="L428">
        <v>30</v>
      </c>
      <c r="M428">
        <v>2</v>
      </c>
      <c r="N428" t="s">
        <v>47</v>
      </c>
      <c r="O428">
        <v>3</v>
      </c>
      <c r="P428">
        <v>1</v>
      </c>
      <c r="Q428">
        <v>4</v>
      </c>
      <c r="R428">
        <v>2564</v>
      </c>
      <c r="S428">
        <v>12</v>
      </c>
      <c r="T428">
        <v>2</v>
      </c>
      <c r="U428">
        <v>11</v>
      </c>
      <c r="V428">
        <v>7</v>
      </c>
      <c r="W428">
        <v>6</v>
      </c>
      <c r="X428">
        <v>7</v>
      </c>
      <c r="Y428">
        <f>IF(HR_data[[#This Row],[Attrition]]= "Yes",1,0)</f>
        <v>0</v>
      </c>
    </row>
    <row r="429" spans="1:25">
      <c r="A429">
        <v>428</v>
      </c>
      <c r="B429" t="s">
        <v>33</v>
      </c>
      <c r="C429" t="s">
        <v>34</v>
      </c>
      <c r="D429" t="s">
        <v>46</v>
      </c>
      <c r="E429" t="s">
        <v>27</v>
      </c>
      <c r="F429" t="s">
        <v>56</v>
      </c>
      <c r="G429">
        <v>1</v>
      </c>
      <c r="H429" t="s">
        <v>29</v>
      </c>
      <c r="I429" t="s">
        <v>30</v>
      </c>
      <c r="J429" t="s">
        <v>39</v>
      </c>
      <c r="K429" t="s">
        <v>33</v>
      </c>
      <c r="L429">
        <v>60</v>
      </c>
      <c r="M429">
        <v>28</v>
      </c>
      <c r="N429" t="s">
        <v>47</v>
      </c>
      <c r="O429">
        <v>3</v>
      </c>
      <c r="P429">
        <v>3</v>
      </c>
      <c r="Q429">
        <v>1</v>
      </c>
      <c r="R429">
        <v>10266</v>
      </c>
      <c r="S429">
        <v>22</v>
      </c>
      <c r="T429">
        <v>4</v>
      </c>
      <c r="U429">
        <v>18</v>
      </c>
      <c r="V429">
        <v>13</v>
      </c>
      <c r="W429">
        <v>13</v>
      </c>
      <c r="X429">
        <v>11</v>
      </c>
      <c r="Y429">
        <f>IF(HR_data[[#This Row],[Attrition]]= "Yes",1,0)</f>
        <v>0</v>
      </c>
    </row>
    <row r="430" spans="1:25">
      <c r="A430">
        <v>429</v>
      </c>
      <c r="B430" t="s">
        <v>33</v>
      </c>
      <c r="C430" t="s">
        <v>25</v>
      </c>
      <c r="D430" t="s">
        <v>35</v>
      </c>
      <c r="E430" t="s">
        <v>36</v>
      </c>
      <c r="F430" t="s">
        <v>45</v>
      </c>
      <c r="G430">
        <v>1</v>
      </c>
      <c r="H430" t="s">
        <v>29</v>
      </c>
      <c r="I430" t="s">
        <v>49</v>
      </c>
      <c r="J430" t="s">
        <v>48</v>
      </c>
      <c r="K430" t="s">
        <v>33</v>
      </c>
      <c r="L430">
        <v>47</v>
      </c>
      <c r="M430">
        <v>2</v>
      </c>
      <c r="N430" t="s">
        <v>32</v>
      </c>
      <c r="O430">
        <v>1</v>
      </c>
      <c r="P430">
        <v>2</v>
      </c>
      <c r="Q430">
        <v>4</v>
      </c>
      <c r="R430">
        <v>5070</v>
      </c>
      <c r="S430">
        <v>20</v>
      </c>
      <c r="T430">
        <v>3</v>
      </c>
      <c r="U430">
        <v>5</v>
      </c>
      <c r="V430">
        <v>0</v>
      </c>
      <c r="W430">
        <v>0</v>
      </c>
      <c r="X430">
        <v>4</v>
      </c>
      <c r="Y430">
        <f>IF(HR_data[[#This Row],[Attrition]]= "Yes",1,0)</f>
        <v>0</v>
      </c>
    </row>
    <row r="431" spans="1:25">
      <c r="A431">
        <v>430</v>
      </c>
      <c r="B431" t="s">
        <v>33</v>
      </c>
      <c r="C431" t="s">
        <v>25</v>
      </c>
      <c r="D431" t="s">
        <v>35</v>
      </c>
      <c r="E431" t="s">
        <v>36</v>
      </c>
      <c r="F431" t="s">
        <v>28</v>
      </c>
      <c r="G431">
        <v>1</v>
      </c>
      <c r="H431" t="s">
        <v>37</v>
      </c>
      <c r="I431" t="s">
        <v>55</v>
      </c>
      <c r="J431" t="s">
        <v>39</v>
      </c>
      <c r="K431" t="s">
        <v>33</v>
      </c>
      <c r="L431">
        <v>46</v>
      </c>
      <c r="M431">
        <v>2</v>
      </c>
      <c r="N431" t="s">
        <v>47</v>
      </c>
      <c r="O431">
        <v>1</v>
      </c>
      <c r="P431">
        <v>4</v>
      </c>
      <c r="Q431">
        <v>3</v>
      </c>
      <c r="R431">
        <v>17861</v>
      </c>
      <c r="S431">
        <v>26</v>
      </c>
      <c r="T431">
        <v>1</v>
      </c>
      <c r="U431">
        <v>3</v>
      </c>
      <c r="V431">
        <v>2</v>
      </c>
      <c r="W431">
        <v>0</v>
      </c>
      <c r="X431">
        <v>1</v>
      </c>
      <c r="Y431">
        <f>IF(HR_data[[#This Row],[Attrition]]= "Yes",1,0)</f>
        <v>0</v>
      </c>
    </row>
    <row r="432" spans="1:25">
      <c r="A432">
        <v>431</v>
      </c>
      <c r="B432" t="s">
        <v>33</v>
      </c>
      <c r="C432" t="s">
        <v>25</v>
      </c>
      <c r="D432" t="s">
        <v>26</v>
      </c>
      <c r="E432" t="s">
        <v>36</v>
      </c>
      <c r="F432" t="s">
        <v>28</v>
      </c>
      <c r="G432">
        <v>1</v>
      </c>
      <c r="H432" t="s">
        <v>37</v>
      </c>
      <c r="I432" t="s">
        <v>42</v>
      </c>
      <c r="J432" t="s">
        <v>31</v>
      </c>
      <c r="K432" t="s">
        <v>33</v>
      </c>
      <c r="L432">
        <v>35</v>
      </c>
      <c r="M432">
        <v>22</v>
      </c>
      <c r="N432" t="s">
        <v>47</v>
      </c>
      <c r="O432">
        <v>4</v>
      </c>
      <c r="P432">
        <v>1</v>
      </c>
      <c r="Q432">
        <v>3</v>
      </c>
      <c r="R432">
        <v>4230</v>
      </c>
      <c r="S432">
        <v>6</v>
      </c>
      <c r="T432">
        <v>3</v>
      </c>
      <c r="U432">
        <v>5</v>
      </c>
      <c r="V432">
        <v>4</v>
      </c>
      <c r="W432">
        <v>4</v>
      </c>
      <c r="X432">
        <v>3</v>
      </c>
      <c r="Y432">
        <f>IF(HR_data[[#This Row],[Attrition]]= "Yes",1,0)</f>
        <v>0</v>
      </c>
    </row>
    <row r="433" spans="1:25">
      <c r="A433">
        <v>432</v>
      </c>
      <c r="B433" t="s">
        <v>33</v>
      </c>
      <c r="C433" t="s">
        <v>25</v>
      </c>
      <c r="D433" t="s">
        <v>35</v>
      </c>
      <c r="E433" t="s">
        <v>36</v>
      </c>
      <c r="F433" t="s">
        <v>28</v>
      </c>
      <c r="G433">
        <v>1</v>
      </c>
      <c r="H433" t="s">
        <v>29</v>
      </c>
      <c r="I433" t="s">
        <v>42</v>
      </c>
      <c r="J433" t="s">
        <v>31</v>
      </c>
      <c r="K433" t="s">
        <v>33</v>
      </c>
      <c r="L433">
        <v>54</v>
      </c>
      <c r="M433">
        <v>8</v>
      </c>
      <c r="N433" t="s">
        <v>44</v>
      </c>
      <c r="O433">
        <v>3</v>
      </c>
      <c r="P433">
        <v>2</v>
      </c>
      <c r="Q433">
        <v>3</v>
      </c>
      <c r="R433">
        <v>3780</v>
      </c>
      <c r="S433">
        <v>19</v>
      </c>
      <c r="T433">
        <v>3</v>
      </c>
      <c r="U433">
        <v>1</v>
      </c>
      <c r="V433">
        <v>0</v>
      </c>
      <c r="W433">
        <v>0</v>
      </c>
      <c r="X433">
        <v>0</v>
      </c>
      <c r="Y433">
        <f>IF(HR_data[[#This Row],[Attrition]]= "Yes",1,0)</f>
        <v>0</v>
      </c>
    </row>
    <row r="434" spans="1:25">
      <c r="A434">
        <v>433</v>
      </c>
      <c r="B434" t="s">
        <v>33</v>
      </c>
      <c r="C434" t="s">
        <v>25</v>
      </c>
      <c r="D434" t="s">
        <v>43</v>
      </c>
      <c r="E434" t="s">
        <v>36</v>
      </c>
      <c r="F434" t="s">
        <v>28</v>
      </c>
      <c r="G434">
        <v>1</v>
      </c>
      <c r="H434" t="s">
        <v>37</v>
      </c>
      <c r="I434" t="s">
        <v>38</v>
      </c>
      <c r="J434" t="s">
        <v>48</v>
      </c>
      <c r="K434" t="s">
        <v>33</v>
      </c>
      <c r="L434">
        <v>34</v>
      </c>
      <c r="M434">
        <v>2</v>
      </c>
      <c r="N434" t="s">
        <v>44</v>
      </c>
      <c r="O434">
        <v>4</v>
      </c>
      <c r="P434">
        <v>1</v>
      </c>
      <c r="Q434">
        <v>3</v>
      </c>
      <c r="R434">
        <v>2768</v>
      </c>
      <c r="S434">
        <v>14</v>
      </c>
      <c r="T434">
        <v>3</v>
      </c>
      <c r="U434">
        <v>7</v>
      </c>
      <c r="V434">
        <v>3</v>
      </c>
      <c r="W434">
        <v>5</v>
      </c>
      <c r="X434">
        <v>7</v>
      </c>
      <c r="Y434">
        <f>IF(HR_data[[#This Row],[Attrition]]= "Yes",1,0)</f>
        <v>0</v>
      </c>
    </row>
    <row r="435" spans="1:25">
      <c r="A435">
        <v>434</v>
      </c>
      <c r="B435" t="s">
        <v>33</v>
      </c>
      <c r="C435" t="s">
        <v>25</v>
      </c>
      <c r="D435" t="s">
        <v>35</v>
      </c>
      <c r="E435" t="s">
        <v>27</v>
      </c>
      <c r="F435" t="s">
        <v>56</v>
      </c>
      <c r="G435">
        <v>1</v>
      </c>
      <c r="H435" t="s">
        <v>29</v>
      </c>
      <c r="I435" t="s">
        <v>30</v>
      </c>
      <c r="J435" t="s">
        <v>39</v>
      </c>
      <c r="K435" t="s">
        <v>24</v>
      </c>
      <c r="L435">
        <v>46</v>
      </c>
      <c r="M435">
        <v>10</v>
      </c>
      <c r="N435" t="s">
        <v>47</v>
      </c>
      <c r="O435">
        <v>3</v>
      </c>
      <c r="P435">
        <v>3</v>
      </c>
      <c r="Q435">
        <v>4</v>
      </c>
      <c r="R435">
        <v>9071</v>
      </c>
      <c r="S435">
        <v>15</v>
      </c>
      <c r="T435">
        <v>3</v>
      </c>
      <c r="U435">
        <v>3</v>
      </c>
      <c r="V435">
        <v>2</v>
      </c>
      <c r="W435">
        <v>1</v>
      </c>
      <c r="X435">
        <v>2</v>
      </c>
      <c r="Y435">
        <f>IF(HR_data[[#This Row],[Attrition]]= "Yes",1,0)</f>
        <v>0</v>
      </c>
    </row>
    <row r="436" spans="1:25">
      <c r="A436">
        <v>435</v>
      </c>
      <c r="B436" t="s">
        <v>33</v>
      </c>
      <c r="C436" t="s">
        <v>25</v>
      </c>
      <c r="D436" t="s">
        <v>43</v>
      </c>
      <c r="E436" t="s">
        <v>36</v>
      </c>
      <c r="F436" t="s">
        <v>28</v>
      </c>
      <c r="G436">
        <v>1</v>
      </c>
      <c r="H436" t="s">
        <v>37</v>
      </c>
      <c r="I436" t="s">
        <v>49</v>
      </c>
      <c r="J436" t="s">
        <v>48</v>
      </c>
      <c r="K436" t="s">
        <v>33</v>
      </c>
      <c r="L436">
        <v>31</v>
      </c>
      <c r="M436">
        <v>9</v>
      </c>
      <c r="N436" t="s">
        <v>40</v>
      </c>
      <c r="O436">
        <v>3</v>
      </c>
      <c r="P436">
        <v>3</v>
      </c>
      <c r="Q436">
        <v>2</v>
      </c>
      <c r="R436">
        <v>10648</v>
      </c>
      <c r="S436">
        <v>13</v>
      </c>
      <c r="T436">
        <v>4</v>
      </c>
      <c r="U436">
        <v>13</v>
      </c>
      <c r="V436">
        <v>8</v>
      </c>
      <c r="W436">
        <v>0</v>
      </c>
      <c r="X436">
        <v>8</v>
      </c>
      <c r="Y436">
        <f>IF(HR_data[[#This Row],[Attrition]]= "Yes",1,0)</f>
        <v>0</v>
      </c>
    </row>
    <row r="437" spans="1:25">
      <c r="A437">
        <v>436</v>
      </c>
      <c r="B437" t="s">
        <v>24</v>
      </c>
      <c r="C437" t="s">
        <v>25</v>
      </c>
      <c r="D437" t="s">
        <v>43</v>
      </c>
      <c r="E437" t="s">
        <v>36</v>
      </c>
      <c r="F437" t="s">
        <v>45</v>
      </c>
      <c r="G437">
        <v>1</v>
      </c>
      <c r="H437" t="s">
        <v>37</v>
      </c>
      <c r="I437" t="s">
        <v>53</v>
      </c>
      <c r="J437" t="s">
        <v>39</v>
      </c>
      <c r="K437" t="s">
        <v>24</v>
      </c>
      <c r="L437">
        <v>33</v>
      </c>
      <c r="M437">
        <v>15</v>
      </c>
      <c r="N437" t="s">
        <v>40</v>
      </c>
      <c r="O437">
        <v>2</v>
      </c>
      <c r="P437">
        <v>3</v>
      </c>
      <c r="Q437">
        <v>3</v>
      </c>
      <c r="R437">
        <v>13610</v>
      </c>
      <c r="S437">
        <v>15</v>
      </c>
      <c r="T437">
        <v>4</v>
      </c>
      <c r="U437">
        <v>7</v>
      </c>
      <c r="V437">
        <v>6</v>
      </c>
      <c r="W437">
        <v>7</v>
      </c>
      <c r="X437">
        <v>7</v>
      </c>
      <c r="Y437">
        <f>IF(HR_data[[#This Row],[Attrition]]= "Yes",1,0)</f>
        <v>1</v>
      </c>
    </row>
    <row r="438" spans="1:25">
      <c r="A438">
        <v>437</v>
      </c>
      <c r="B438" t="s">
        <v>24</v>
      </c>
      <c r="C438" t="s">
        <v>25</v>
      </c>
      <c r="D438" t="s">
        <v>43</v>
      </c>
      <c r="E438" t="s">
        <v>36</v>
      </c>
      <c r="F438" t="s">
        <v>45</v>
      </c>
      <c r="G438">
        <v>1</v>
      </c>
      <c r="H438" t="s">
        <v>37</v>
      </c>
      <c r="I438" t="s">
        <v>42</v>
      </c>
      <c r="J438" t="s">
        <v>48</v>
      </c>
      <c r="K438" t="s">
        <v>33</v>
      </c>
      <c r="L438">
        <v>33</v>
      </c>
      <c r="M438">
        <v>10</v>
      </c>
      <c r="N438" t="s">
        <v>40</v>
      </c>
      <c r="O438">
        <v>1</v>
      </c>
      <c r="P438">
        <v>1</v>
      </c>
      <c r="Q438">
        <v>4</v>
      </c>
      <c r="R438">
        <v>3408</v>
      </c>
      <c r="S438">
        <v>8</v>
      </c>
      <c r="T438">
        <v>3</v>
      </c>
      <c r="U438">
        <v>4</v>
      </c>
      <c r="V438">
        <v>3</v>
      </c>
      <c r="W438">
        <v>1</v>
      </c>
      <c r="X438">
        <v>3</v>
      </c>
      <c r="Y438">
        <f>IF(HR_data[[#This Row],[Attrition]]= "Yes",1,0)</f>
        <v>1</v>
      </c>
    </row>
    <row r="439" spans="1:25">
      <c r="A439">
        <v>438</v>
      </c>
      <c r="B439" t="s">
        <v>33</v>
      </c>
      <c r="C439" t="s">
        <v>25</v>
      </c>
      <c r="D439" t="s">
        <v>43</v>
      </c>
      <c r="E439" t="s">
        <v>27</v>
      </c>
      <c r="F439" t="s">
        <v>56</v>
      </c>
      <c r="G439">
        <v>1</v>
      </c>
      <c r="H439" t="s">
        <v>37</v>
      </c>
      <c r="I439" t="s">
        <v>54</v>
      </c>
      <c r="J439" t="s">
        <v>31</v>
      </c>
      <c r="K439" t="s">
        <v>33</v>
      </c>
      <c r="L439">
        <v>30</v>
      </c>
      <c r="M439">
        <v>7</v>
      </c>
      <c r="N439" t="s">
        <v>40</v>
      </c>
      <c r="O439">
        <v>4</v>
      </c>
      <c r="P439">
        <v>1</v>
      </c>
      <c r="Q439">
        <v>2</v>
      </c>
      <c r="R439">
        <v>2983</v>
      </c>
      <c r="S439">
        <v>4</v>
      </c>
      <c r="T439">
        <v>3</v>
      </c>
      <c r="U439">
        <v>3</v>
      </c>
      <c r="V439">
        <v>2</v>
      </c>
      <c r="W439">
        <v>1</v>
      </c>
      <c r="X439">
        <v>2</v>
      </c>
      <c r="Y439">
        <f>IF(HR_data[[#This Row],[Attrition]]= "Yes",1,0)</f>
        <v>0</v>
      </c>
    </row>
    <row r="440" spans="1:25">
      <c r="A440">
        <v>439</v>
      </c>
      <c r="B440" t="s">
        <v>33</v>
      </c>
      <c r="C440" t="s">
        <v>25</v>
      </c>
      <c r="D440" t="s">
        <v>26</v>
      </c>
      <c r="E440" t="s">
        <v>36</v>
      </c>
      <c r="F440" t="s">
        <v>28</v>
      </c>
      <c r="G440">
        <v>1</v>
      </c>
      <c r="H440" t="s">
        <v>37</v>
      </c>
      <c r="I440" t="s">
        <v>50</v>
      </c>
      <c r="J440" t="s">
        <v>39</v>
      </c>
      <c r="K440" t="s">
        <v>24</v>
      </c>
      <c r="L440">
        <v>35</v>
      </c>
      <c r="M440">
        <v>16</v>
      </c>
      <c r="N440" t="s">
        <v>47</v>
      </c>
      <c r="O440">
        <v>4</v>
      </c>
      <c r="P440">
        <v>3</v>
      </c>
      <c r="Q440">
        <v>3</v>
      </c>
      <c r="R440">
        <v>7632</v>
      </c>
      <c r="S440">
        <v>10</v>
      </c>
      <c r="T440">
        <v>3</v>
      </c>
      <c r="U440">
        <v>8</v>
      </c>
      <c r="V440">
        <v>7</v>
      </c>
      <c r="W440">
        <v>0</v>
      </c>
      <c r="X440">
        <v>0</v>
      </c>
      <c r="Y440">
        <f>IF(HR_data[[#This Row],[Attrition]]= "Yes",1,0)</f>
        <v>0</v>
      </c>
    </row>
    <row r="441" spans="1:25">
      <c r="A441">
        <v>440</v>
      </c>
      <c r="B441" t="s">
        <v>24</v>
      </c>
      <c r="C441" t="s">
        <v>34</v>
      </c>
      <c r="D441" t="s">
        <v>43</v>
      </c>
      <c r="E441" t="s">
        <v>36</v>
      </c>
      <c r="F441" t="s">
        <v>28</v>
      </c>
      <c r="G441">
        <v>1</v>
      </c>
      <c r="H441" t="s">
        <v>37</v>
      </c>
      <c r="I441" t="s">
        <v>50</v>
      </c>
      <c r="J441" t="s">
        <v>39</v>
      </c>
      <c r="K441" t="s">
        <v>33</v>
      </c>
      <c r="L441">
        <v>31</v>
      </c>
      <c r="M441">
        <v>20</v>
      </c>
      <c r="N441" t="s">
        <v>47</v>
      </c>
      <c r="O441">
        <v>1</v>
      </c>
      <c r="P441">
        <v>3</v>
      </c>
      <c r="Q441">
        <v>3</v>
      </c>
      <c r="R441">
        <v>9824</v>
      </c>
      <c r="S441">
        <v>12</v>
      </c>
      <c r="T441">
        <v>3</v>
      </c>
      <c r="U441">
        <v>1</v>
      </c>
      <c r="V441">
        <v>0</v>
      </c>
      <c r="W441">
        <v>0</v>
      </c>
      <c r="X441">
        <v>0</v>
      </c>
      <c r="Y441">
        <f>IF(HR_data[[#This Row],[Attrition]]= "Yes",1,0)</f>
        <v>1</v>
      </c>
    </row>
    <row r="442" spans="1:25">
      <c r="A442">
        <v>441</v>
      </c>
      <c r="B442" t="s">
        <v>24</v>
      </c>
      <c r="C442" t="s">
        <v>34</v>
      </c>
      <c r="D442" t="s">
        <v>43</v>
      </c>
      <c r="E442" t="s">
        <v>59</v>
      </c>
      <c r="F442" t="s">
        <v>60</v>
      </c>
      <c r="G442">
        <v>1</v>
      </c>
      <c r="H442" t="s">
        <v>29</v>
      </c>
      <c r="I442" t="s">
        <v>60</v>
      </c>
      <c r="J442" t="s">
        <v>48</v>
      </c>
      <c r="K442" t="s">
        <v>24</v>
      </c>
      <c r="L442">
        <v>34</v>
      </c>
      <c r="M442">
        <v>23</v>
      </c>
      <c r="N442" t="s">
        <v>47</v>
      </c>
      <c r="O442">
        <v>2</v>
      </c>
      <c r="P442">
        <v>3</v>
      </c>
      <c r="Q442">
        <v>1</v>
      </c>
      <c r="R442">
        <v>9950</v>
      </c>
      <c r="S442">
        <v>11</v>
      </c>
      <c r="T442">
        <v>3</v>
      </c>
      <c r="U442">
        <v>3</v>
      </c>
      <c r="V442">
        <v>2</v>
      </c>
      <c r="W442">
        <v>0</v>
      </c>
      <c r="X442">
        <v>2</v>
      </c>
      <c r="Y442">
        <f>IF(HR_data[[#This Row],[Attrition]]= "Yes",1,0)</f>
        <v>1</v>
      </c>
    </row>
    <row r="443" spans="1:25">
      <c r="A443">
        <v>442</v>
      </c>
      <c r="B443" t="s">
        <v>33</v>
      </c>
      <c r="C443" t="s">
        <v>34</v>
      </c>
      <c r="D443" t="s">
        <v>26</v>
      </c>
      <c r="E443" t="s">
        <v>36</v>
      </c>
      <c r="F443" t="s">
        <v>41</v>
      </c>
      <c r="G443">
        <v>1</v>
      </c>
      <c r="H443" t="s">
        <v>37</v>
      </c>
      <c r="I443" t="s">
        <v>42</v>
      </c>
      <c r="J443" t="s">
        <v>39</v>
      </c>
      <c r="K443" t="s">
        <v>33</v>
      </c>
      <c r="L443">
        <v>42</v>
      </c>
      <c r="M443">
        <v>5</v>
      </c>
      <c r="N443" t="s">
        <v>32</v>
      </c>
      <c r="O443">
        <v>2</v>
      </c>
      <c r="P443">
        <v>1</v>
      </c>
      <c r="Q443">
        <v>3</v>
      </c>
      <c r="R443">
        <v>2093</v>
      </c>
      <c r="S443">
        <v>8</v>
      </c>
      <c r="T443">
        <v>3</v>
      </c>
      <c r="U443">
        <v>2</v>
      </c>
      <c r="V443">
        <v>2</v>
      </c>
      <c r="W443">
        <v>2</v>
      </c>
      <c r="X443">
        <v>0</v>
      </c>
      <c r="Y443">
        <f>IF(HR_data[[#This Row],[Attrition]]= "Yes",1,0)</f>
        <v>0</v>
      </c>
    </row>
    <row r="444" spans="1:25">
      <c r="A444">
        <v>443</v>
      </c>
      <c r="B444" t="s">
        <v>33</v>
      </c>
      <c r="C444" t="s">
        <v>51</v>
      </c>
      <c r="D444" t="s">
        <v>26</v>
      </c>
      <c r="E444" t="s">
        <v>27</v>
      </c>
      <c r="F444" t="s">
        <v>45</v>
      </c>
      <c r="G444">
        <v>1</v>
      </c>
      <c r="H444" t="s">
        <v>37</v>
      </c>
      <c r="I444" t="s">
        <v>30</v>
      </c>
      <c r="J444" t="s">
        <v>31</v>
      </c>
      <c r="K444" t="s">
        <v>33</v>
      </c>
      <c r="L444">
        <v>36</v>
      </c>
      <c r="M444">
        <v>10</v>
      </c>
      <c r="N444" t="s">
        <v>44</v>
      </c>
      <c r="O444">
        <v>2</v>
      </c>
      <c r="P444">
        <v>3</v>
      </c>
      <c r="Q444">
        <v>4</v>
      </c>
      <c r="R444">
        <v>9980</v>
      </c>
      <c r="S444">
        <v>10</v>
      </c>
      <c r="T444">
        <v>2</v>
      </c>
      <c r="U444">
        <v>10</v>
      </c>
      <c r="V444">
        <v>3</v>
      </c>
      <c r="W444">
        <v>9</v>
      </c>
      <c r="X444">
        <v>7</v>
      </c>
      <c r="Y444">
        <f>IF(HR_data[[#This Row],[Attrition]]= "Yes",1,0)</f>
        <v>0</v>
      </c>
    </row>
    <row r="445" spans="1:25">
      <c r="A445">
        <v>444</v>
      </c>
      <c r="B445" t="s">
        <v>24</v>
      </c>
      <c r="C445" t="s">
        <v>34</v>
      </c>
      <c r="D445" t="s">
        <v>52</v>
      </c>
      <c r="E445" t="s">
        <v>36</v>
      </c>
      <c r="F445" t="s">
        <v>57</v>
      </c>
      <c r="G445">
        <v>1</v>
      </c>
      <c r="H445" t="s">
        <v>37</v>
      </c>
      <c r="I445" t="s">
        <v>42</v>
      </c>
      <c r="J445" t="s">
        <v>31</v>
      </c>
      <c r="K445" t="s">
        <v>33</v>
      </c>
      <c r="L445">
        <v>22</v>
      </c>
      <c r="M445">
        <v>4</v>
      </c>
      <c r="N445" t="s">
        <v>40</v>
      </c>
      <c r="O445">
        <v>3</v>
      </c>
      <c r="P445">
        <v>1</v>
      </c>
      <c r="Q445">
        <v>3</v>
      </c>
      <c r="R445">
        <v>3894</v>
      </c>
      <c r="S445">
        <v>4</v>
      </c>
      <c r="T445">
        <v>3</v>
      </c>
      <c r="U445">
        <v>2</v>
      </c>
      <c r="V445">
        <v>2</v>
      </c>
      <c r="W445">
        <v>1</v>
      </c>
      <c r="X445">
        <v>2</v>
      </c>
      <c r="Y445">
        <f>IF(HR_data[[#This Row],[Attrition]]= "Yes",1,0)</f>
        <v>1</v>
      </c>
    </row>
    <row r="446" spans="1:25">
      <c r="A446">
        <v>445</v>
      </c>
      <c r="B446" t="s">
        <v>33</v>
      </c>
      <c r="C446" t="s">
        <v>25</v>
      </c>
      <c r="D446" t="s">
        <v>35</v>
      </c>
      <c r="E446" t="s">
        <v>27</v>
      </c>
      <c r="F446" t="s">
        <v>56</v>
      </c>
      <c r="G446">
        <v>1</v>
      </c>
      <c r="H446" t="s">
        <v>29</v>
      </c>
      <c r="I446" t="s">
        <v>30</v>
      </c>
      <c r="J446" t="s">
        <v>39</v>
      </c>
      <c r="K446" t="s">
        <v>33</v>
      </c>
      <c r="L446">
        <v>48</v>
      </c>
      <c r="M446">
        <v>2</v>
      </c>
      <c r="N446" t="s">
        <v>58</v>
      </c>
      <c r="O446">
        <v>2</v>
      </c>
      <c r="P446">
        <v>2</v>
      </c>
      <c r="Q446">
        <v>4</v>
      </c>
      <c r="R446">
        <v>4051</v>
      </c>
      <c r="S446">
        <v>14</v>
      </c>
      <c r="T446">
        <v>3</v>
      </c>
      <c r="U446">
        <v>9</v>
      </c>
      <c r="V446">
        <v>7</v>
      </c>
      <c r="W446">
        <v>6</v>
      </c>
      <c r="X446">
        <v>7</v>
      </c>
      <c r="Y446">
        <f>IF(HR_data[[#This Row],[Attrition]]= "Yes",1,0)</f>
        <v>0</v>
      </c>
    </row>
    <row r="447" spans="1:25">
      <c r="A447">
        <v>446</v>
      </c>
      <c r="B447" t="s">
        <v>33</v>
      </c>
      <c r="C447" t="s">
        <v>25</v>
      </c>
      <c r="D447" t="s">
        <v>46</v>
      </c>
      <c r="E447" t="s">
        <v>27</v>
      </c>
      <c r="F447" t="s">
        <v>28</v>
      </c>
      <c r="G447">
        <v>1</v>
      </c>
      <c r="H447" t="s">
        <v>29</v>
      </c>
      <c r="I447" t="s">
        <v>53</v>
      </c>
      <c r="J447" t="s">
        <v>31</v>
      </c>
      <c r="K447" t="s">
        <v>33</v>
      </c>
      <c r="L447">
        <v>55</v>
      </c>
      <c r="M447">
        <v>18</v>
      </c>
      <c r="N447" t="s">
        <v>58</v>
      </c>
      <c r="O447">
        <v>1</v>
      </c>
      <c r="P447">
        <v>4</v>
      </c>
      <c r="Q447">
        <v>2</v>
      </c>
      <c r="R447">
        <v>16835</v>
      </c>
      <c r="S447">
        <v>37</v>
      </c>
      <c r="T447">
        <v>3</v>
      </c>
      <c r="U447">
        <v>10</v>
      </c>
      <c r="V447">
        <v>9</v>
      </c>
      <c r="W447">
        <v>7</v>
      </c>
      <c r="X447">
        <v>7</v>
      </c>
      <c r="Y447">
        <f>IF(HR_data[[#This Row],[Attrition]]= "Yes",1,0)</f>
        <v>0</v>
      </c>
    </row>
    <row r="448" spans="1:25">
      <c r="A448">
        <v>447</v>
      </c>
      <c r="B448" t="s">
        <v>33</v>
      </c>
      <c r="C448" t="s">
        <v>51</v>
      </c>
      <c r="D448" t="s">
        <v>26</v>
      </c>
      <c r="E448" t="s">
        <v>27</v>
      </c>
      <c r="F448" t="s">
        <v>28</v>
      </c>
      <c r="G448">
        <v>1</v>
      </c>
      <c r="H448" t="s">
        <v>37</v>
      </c>
      <c r="I448" t="s">
        <v>30</v>
      </c>
      <c r="J448" t="s">
        <v>31</v>
      </c>
      <c r="K448" t="s">
        <v>33</v>
      </c>
      <c r="L448">
        <v>41</v>
      </c>
      <c r="M448">
        <v>10</v>
      </c>
      <c r="N448" t="s">
        <v>32</v>
      </c>
      <c r="O448">
        <v>4</v>
      </c>
      <c r="P448">
        <v>2</v>
      </c>
      <c r="Q448">
        <v>4</v>
      </c>
      <c r="R448">
        <v>6230</v>
      </c>
      <c r="S448">
        <v>16</v>
      </c>
      <c r="T448">
        <v>3</v>
      </c>
      <c r="U448">
        <v>14</v>
      </c>
      <c r="V448">
        <v>3</v>
      </c>
      <c r="W448">
        <v>1</v>
      </c>
      <c r="X448">
        <v>10</v>
      </c>
      <c r="Y448">
        <f>IF(HR_data[[#This Row],[Attrition]]= "Yes",1,0)</f>
        <v>0</v>
      </c>
    </row>
    <row r="449" spans="1:25">
      <c r="A449">
        <v>448</v>
      </c>
      <c r="B449" t="s">
        <v>33</v>
      </c>
      <c r="C449" t="s">
        <v>25</v>
      </c>
      <c r="D449" t="s">
        <v>26</v>
      </c>
      <c r="E449" t="s">
        <v>27</v>
      </c>
      <c r="F449" t="s">
        <v>56</v>
      </c>
      <c r="G449">
        <v>1</v>
      </c>
      <c r="H449" t="s">
        <v>37</v>
      </c>
      <c r="I449" t="s">
        <v>30</v>
      </c>
      <c r="J449" t="s">
        <v>39</v>
      </c>
      <c r="K449" t="s">
        <v>33</v>
      </c>
      <c r="L449">
        <v>35</v>
      </c>
      <c r="M449">
        <v>1</v>
      </c>
      <c r="N449" t="s">
        <v>47</v>
      </c>
      <c r="O449">
        <v>2</v>
      </c>
      <c r="P449">
        <v>2</v>
      </c>
      <c r="Q449">
        <v>3</v>
      </c>
      <c r="R449">
        <v>4717</v>
      </c>
      <c r="S449">
        <v>15</v>
      </c>
      <c r="T449">
        <v>3</v>
      </c>
      <c r="U449">
        <v>11</v>
      </c>
      <c r="V449">
        <v>9</v>
      </c>
      <c r="W449">
        <v>6</v>
      </c>
      <c r="X449">
        <v>9</v>
      </c>
      <c r="Y449">
        <f>IF(HR_data[[#This Row],[Attrition]]= "Yes",1,0)</f>
        <v>0</v>
      </c>
    </row>
    <row r="450" spans="1:25">
      <c r="A450">
        <v>449</v>
      </c>
      <c r="B450" t="s">
        <v>33</v>
      </c>
      <c r="C450" t="s">
        <v>25</v>
      </c>
      <c r="D450" t="s">
        <v>26</v>
      </c>
      <c r="E450" t="s">
        <v>36</v>
      </c>
      <c r="F450" t="s">
        <v>28</v>
      </c>
      <c r="G450">
        <v>1</v>
      </c>
      <c r="H450" t="s">
        <v>29</v>
      </c>
      <c r="I450" t="s">
        <v>49</v>
      </c>
      <c r="J450" t="s">
        <v>31</v>
      </c>
      <c r="K450" t="s">
        <v>33</v>
      </c>
      <c r="L450">
        <v>40</v>
      </c>
      <c r="M450">
        <v>6</v>
      </c>
      <c r="N450" t="s">
        <v>47</v>
      </c>
      <c r="O450">
        <v>2</v>
      </c>
      <c r="P450">
        <v>4</v>
      </c>
      <c r="Q450">
        <v>3</v>
      </c>
      <c r="R450">
        <v>13237</v>
      </c>
      <c r="S450">
        <v>22</v>
      </c>
      <c r="T450">
        <v>3</v>
      </c>
      <c r="U450">
        <v>20</v>
      </c>
      <c r="V450">
        <v>6</v>
      </c>
      <c r="W450">
        <v>5</v>
      </c>
      <c r="X450">
        <v>13</v>
      </c>
      <c r="Y450">
        <f>IF(HR_data[[#This Row],[Attrition]]= "Yes",1,0)</f>
        <v>0</v>
      </c>
    </row>
    <row r="451" spans="1:25">
      <c r="A451">
        <v>450</v>
      </c>
      <c r="B451" t="s">
        <v>33</v>
      </c>
      <c r="C451" t="s">
        <v>34</v>
      </c>
      <c r="D451" t="s">
        <v>26</v>
      </c>
      <c r="E451" t="s">
        <v>36</v>
      </c>
      <c r="F451" t="s">
        <v>28</v>
      </c>
      <c r="G451">
        <v>1</v>
      </c>
      <c r="H451" t="s">
        <v>29</v>
      </c>
      <c r="I451" t="s">
        <v>42</v>
      </c>
      <c r="J451" t="s">
        <v>39</v>
      </c>
      <c r="K451" t="s">
        <v>33</v>
      </c>
      <c r="L451">
        <v>39</v>
      </c>
      <c r="M451">
        <v>8</v>
      </c>
      <c r="N451" t="s">
        <v>40</v>
      </c>
      <c r="O451">
        <v>3</v>
      </c>
      <c r="P451">
        <v>1</v>
      </c>
      <c r="Q451">
        <v>3</v>
      </c>
      <c r="R451">
        <v>3755</v>
      </c>
      <c r="S451">
        <v>8</v>
      </c>
      <c r="T451">
        <v>3</v>
      </c>
      <c r="U451">
        <v>8</v>
      </c>
      <c r="V451">
        <v>3</v>
      </c>
      <c r="W451">
        <v>0</v>
      </c>
      <c r="X451">
        <v>7</v>
      </c>
      <c r="Y451">
        <f>IF(HR_data[[#This Row],[Attrition]]= "Yes",1,0)</f>
        <v>0</v>
      </c>
    </row>
    <row r="452" spans="1:25">
      <c r="A452">
        <v>451</v>
      </c>
      <c r="B452" t="s">
        <v>33</v>
      </c>
      <c r="C452" t="s">
        <v>25</v>
      </c>
      <c r="D452" t="s">
        <v>43</v>
      </c>
      <c r="E452" t="s">
        <v>27</v>
      </c>
      <c r="F452" t="s">
        <v>28</v>
      </c>
      <c r="G452">
        <v>1</v>
      </c>
      <c r="H452" t="s">
        <v>37</v>
      </c>
      <c r="I452" t="s">
        <v>30</v>
      </c>
      <c r="J452" t="s">
        <v>31</v>
      </c>
      <c r="K452" t="s">
        <v>24</v>
      </c>
      <c r="L452">
        <v>31</v>
      </c>
      <c r="M452">
        <v>2</v>
      </c>
      <c r="N452" t="s">
        <v>40</v>
      </c>
      <c r="O452">
        <v>2</v>
      </c>
      <c r="P452">
        <v>2</v>
      </c>
      <c r="Q452">
        <v>4</v>
      </c>
      <c r="R452">
        <v>6582</v>
      </c>
      <c r="S452">
        <v>10</v>
      </c>
      <c r="T452">
        <v>4</v>
      </c>
      <c r="U452">
        <v>6</v>
      </c>
      <c r="V452">
        <v>5</v>
      </c>
      <c r="W452">
        <v>0</v>
      </c>
      <c r="X452">
        <v>5</v>
      </c>
      <c r="Y452">
        <f>IF(HR_data[[#This Row],[Attrition]]= "Yes",1,0)</f>
        <v>0</v>
      </c>
    </row>
    <row r="453" spans="1:25">
      <c r="A453">
        <v>452</v>
      </c>
      <c r="B453" t="s">
        <v>33</v>
      </c>
      <c r="C453" t="s">
        <v>25</v>
      </c>
      <c r="D453" t="s">
        <v>26</v>
      </c>
      <c r="E453" t="s">
        <v>36</v>
      </c>
      <c r="F453" t="s">
        <v>45</v>
      </c>
      <c r="G453">
        <v>1</v>
      </c>
      <c r="H453" t="s">
        <v>37</v>
      </c>
      <c r="I453" t="s">
        <v>49</v>
      </c>
      <c r="J453" t="s">
        <v>39</v>
      </c>
      <c r="K453" t="s">
        <v>24</v>
      </c>
      <c r="L453">
        <v>42</v>
      </c>
      <c r="M453">
        <v>24</v>
      </c>
      <c r="N453" t="s">
        <v>47</v>
      </c>
      <c r="O453">
        <v>4</v>
      </c>
      <c r="P453">
        <v>3</v>
      </c>
      <c r="Q453">
        <v>1</v>
      </c>
      <c r="R453">
        <v>7406</v>
      </c>
      <c r="S453">
        <v>10</v>
      </c>
      <c r="T453">
        <v>2</v>
      </c>
      <c r="U453">
        <v>10</v>
      </c>
      <c r="V453">
        <v>9</v>
      </c>
      <c r="W453">
        <v>5</v>
      </c>
      <c r="X453">
        <v>8</v>
      </c>
      <c r="Y453">
        <f>IF(HR_data[[#This Row],[Attrition]]= "Yes",1,0)</f>
        <v>0</v>
      </c>
    </row>
    <row r="454" spans="1:25">
      <c r="A454">
        <v>453</v>
      </c>
      <c r="B454" t="s">
        <v>33</v>
      </c>
      <c r="C454" t="s">
        <v>25</v>
      </c>
      <c r="D454" t="s">
        <v>35</v>
      </c>
      <c r="E454" t="s">
        <v>27</v>
      </c>
      <c r="F454" t="s">
        <v>41</v>
      </c>
      <c r="G454">
        <v>1</v>
      </c>
      <c r="H454" t="s">
        <v>37</v>
      </c>
      <c r="I454" t="s">
        <v>30</v>
      </c>
      <c r="J454" t="s">
        <v>39</v>
      </c>
      <c r="K454" t="s">
        <v>33</v>
      </c>
      <c r="L454">
        <v>45</v>
      </c>
      <c r="M454">
        <v>2</v>
      </c>
      <c r="N454" t="s">
        <v>47</v>
      </c>
      <c r="O454">
        <v>4</v>
      </c>
      <c r="P454">
        <v>2</v>
      </c>
      <c r="Q454">
        <v>2</v>
      </c>
      <c r="R454">
        <v>4805</v>
      </c>
      <c r="S454">
        <v>9</v>
      </c>
      <c r="T454">
        <v>4</v>
      </c>
      <c r="U454">
        <v>8</v>
      </c>
      <c r="V454">
        <v>7</v>
      </c>
      <c r="W454">
        <v>3</v>
      </c>
      <c r="X454">
        <v>7</v>
      </c>
      <c r="Y454">
        <f>IF(HR_data[[#This Row],[Attrition]]= "Yes",1,0)</f>
        <v>0</v>
      </c>
    </row>
    <row r="455" spans="1:25">
      <c r="A455">
        <v>454</v>
      </c>
      <c r="B455" t="s">
        <v>24</v>
      </c>
      <c r="C455" t="s">
        <v>34</v>
      </c>
      <c r="D455" t="s">
        <v>43</v>
      </c>
      <c r="E455" t="s">
        <v>59</v>
      </c>
      <c r="F455" t="s">
        <v>28</v>
      </c>
      <c r="G455">
        <v>1</v>
      </c>
      <c r="H455" t="s">
        <v>29</v>
      </c>
      <c r="I455" t="s">
        <v>60</v>
      </c>
      <c r="J455" t="s">
        <v>48</v>
      </c>
      <c r="K455" t="s">
        <v>24</v>
      </c>
      <c r="L455">
        <v>26</v>
      </c>
      <c r="M455">
        <v>17</v>
      </c>
      <c r="N455" t="s">
        <v>44</v>
      </c>
      <c r="O455">
        <v>2</v>
      </c>
      <c r="P455">
        <v>1</v>
      </c>
      <c r="Q455">
        <v>3</v>
      </c>
      <c r="R455">
        <v>2741</v>
      </c>
      <c r="S455">
        <v>8</v>
      </c>
      <c r="T455">
        <v>2</v>
      </c>
      <c r="U455">
        <v>7</v>
      </c>
      <c r="V455">
        <v>7</v>
      </c>
      <c r="W455">
        <v>1</v>
      </c>
      <c r="X455">
        <v>0</v>
      </c>
      <c r="Y455">
        <f>IF(HR_data[[#This Row],[Attrition]]= "Yes",1,0)</f>
        <v>1</v>
      </c>
    </row>
    <row r="456" spans="1:25">
      <c r="A456">
        <v>455</v>
      </c>
      <c r="B456" t="s">
        <v>33</v>
      </c>
      <c r="C456" t="s">
        <v>25</v>
      </c>
      <c r="D456" t="s">
        <v>43</v>
      </c>
      <c r="E456" t="s">
        <v>36</v>
      </c>
      <c r="F456" t="s">
        <v>57</v>
      </c>
      <c r="G456">
        <v>1</v>
      </c>
      <c r="H456" t="s">
        <v>37</v>
      </c>
      <c r="I456" t="s">
        <v>49</v>
      </c>
      <c r="J456" t="s">
        <v>48</v>
      </c>
      <c r="K456" t="s">
        <v>33</v>
      </c>
      <c r="L456">
        <v>29</v>
      </c>
      <c r="M456">
        <v>19</v>
      </c>
      <c r="N456" t="s">
        <v>47</v>
      </c>
      <c r="O456">
        <v>4</v>
      </c>
      <c r="P456">
        <v>2</v>
      </c>
      <c r="Q456">
        <v>4</v>
      </c>
      <c r="R456">
        <v>4262</v>
      </c>
      <c r="S456">
        <v>8</v>
      </c>
      <c r="T456">
        <v>4</v>
      </c>
      <c r="U456">
        <v>3</v>
      </c>
      <c r="V456">
        <v>2</v>
      </c>
      <c r="W456">
        <v>1</v>
      </c>
      <c r="X456">
        <v>2</v>
      </c>
      <c r="Y456">
        <f>IF(HR_data[[#This Row],[Attrition]]= "Yes",1,0)</f>
        <v>0</v>
      </c>
    </row>
    <row r="457" spans="1:25">
      <c r="A457">
        <v>456</v>
      </c>
      <c r="B457" t="s">
        <v>33</v>
      </c>
      <c r="C457" t="s">
        <v>25</v>
      </c>
      <c r="D457" t="s">
        <v>43</v>
      </c>
      <c r="E457" t="s">
        <v>36</v>
      </c>
      <c r="F457" t="s">
        <v>45</v>
      </c>
      <c r="G457">
        <v>1</v>
      </c>
      <c r="H457" t="s">
        <v>29</v>
      </c>
      <c r="I457" t="s">
        <v>55</v>
      </c>
      <c r="J457" t="s">
        <v>48</v>
      </c>
      <c r="K457" t="s">
        <v>33</v>
      </c>
      <c r="L457">
        <v>33</v>
      </c>
      <c r="M457">
        <v>1</v>
      </c>
      <c r="N457" t="s">
        <v>58</v>
      </c>
      <c r="O457">
        <v>1</v>
      </c>
      <c r="P457">
        <v>4</v>
      </c>
      <c r="Q457">
        <v>3</v>
      </c>
      <c r="R457">
        <v>16184</v>
      </c>
      <c r="S457">
        <v>10</v>
      </c>
      <c r="T457">
        <v>3</v>
      </c>
      <c r="U457">
        <v>6</v>
      </c>
      <c r="V457">
        <v>1</v>
      </c>
      <c r="W457">
        <v>0</v>
      </c>
      <c r="X457">
        <v>5</v>
      </c>
      <c r="Y457">
        <f>IF(HR_data[[#This Row],[Attrition]]= "Yes",1,0)</f>
        <v>0</v>
      </c>
    </row>
    <row r="458" spans="1:25">
      <c r="A458">
        <v>457</v>
      </c>
      <c r="B458" t="s">
        <v>33</v>
      </c>
      <c r="C458" t="s">
        <v>25</v>
      </c>
      <c r="D458" t="s">
        <v>43</v>
      </c>
      <c r="E458" t="s">
        <v>27</v>
      </c>
      <c r="F458" t="s">
        <v>28</v>
      </c>
      <c r="G458">
        <v>1</v>
      </c>
      <c r="H458" t="s">
        <v>37</v>
      </c>
      <c r="I458" t="s">
        <v>53</v>
      </c>
      <c r="J458" t="s">
        <v>48</v>
      </c>
      <c r="K458" t="s">
        <v>33</v>
      </c>
      <c r="L458">
        <v>31</v>
      </c>
      <c r="M458">
        <v>7</v>
      </c>
      <c r="N458" t="s">
        <v>47</v>
      </c>
      <c r="O458">
        <v>3</v>
      </c>
      <c r="P458">
        <v>3</v>
      </c>
      <c r="Q458">
        <v>4</v>
      </c>
      <c r="R458">
        <v>11557</v>
      </c>
      <c r="S458">
        <v>10</v>
      </c>
      <c r="T458">
        <v>2</v>
      </c>
      <c r="U458">
        <v>5</v>
      </c>
      <c r="V458">
        <v>4</v>
      </c>
      <c r="W458">
        <v>0</v>
      </c>
      <c r="X458">
        <v>1</v>
      </c>
      <c r="Y458">
        <f>IF(HR_data[[#This Row],[Attrition]]= "Yes",1,0)</f>
        <v>0</v>
      </c>
    </row>
    <row r="459" spans="1:25">
      <c r="A459">
        <v>458</v>
      </c>
      <c r="B459" t="s">
        <v>24</v>
      </c>
      <c r="C459" t="s">
        <v>34</v>
      </c>
      <c r="D459" t="s">
        <v>52</v>
      </c>
      <c r="E459" t="s">
        <v>27</v>
      </c>
      <c r="F459" t="s">
        <v>56</v>
      </c>
      <c r="G459">
        <v>1</v>
      </c>
      <c r="H459" t="s">
        <v>37</v>
      </c>
      <c r="I459" t="s">
        <v>54</v>
      </c>
      <c r="J459" t="s">
        <v>31</v>
      </c>
      <c r="K459" t="s">
        <v>24</v>
      </c>
      <c r="L459">
        <v>18</v>
      </c>
      <c r="M459">
        <v>5</v>
      </c>
      <c r="N459" t="s">
        <v>47</v>
      </c>
      <c r="O459">
        <v>2</v>
      </c>
      <c r="P459">
        <v>1</v>
      </c>
      <c r="Q459">
        <v>2</v>
      </c>
      <c r="R459">
        <v>1878</v>
      </c>
      <c r="S459">
        <v>0</v>
      </c>
      <c r="T459">
        <v>3</v>
      </c>
      <c r="U459">
        <v>0</v>
      </c>
      <c r="V459">
        <v>0</v>
      </c>
      <c r="W459">
        <v>0</v>
      </c>
      <c r="X459">
        <v>0</v>
      </c>
      <c r="Y459">
        <f>IF(HR_data[[#This Row],[Attrition]]= "Yes",1,0)</f>
        <v>1</v>
      </c>
    </row>
    <row r="460" spans="1:25">
      <c r="A460">
        <v>459</v>
      </c>
      <c r="B460" t="s">
        <v>33</v>
      </c>
      <c r="C460" t="s">
        <v>51</v>
      </c>
      <c r="D460" t="s">
        <v>26</v>
      </c>
      <c r="E460" t="s">
        <v>27</v>
      </c>
      <c r="F460" t="s">
        <v>41</v>
      </c>
      <c r="G460">
        <v>1</v>
      </c>
      <c r="H460" t="s">
        <v>37</v>
      </c>
      <c r="I460" t="s">
        <v>30</v>
      </c>
      <c r="J460" t="s">
        <v>48</v>
      </c>
      <c r="K460" t="s">
        <v>33</v>
      </c>
      <c r="L460">
        <v>40</v>
      </c>
      <c r="M460">
        <v>28</v>
      </c>
      <c r="N460" t="s">
        <v>47</v>
      </c>
      <c r="O460">
        <v>3</v>
      </c>
      <c r="P460">
        <v>3</v>
      </c>
      <c r="Q460">
        <v>1</v>
      </c>
      <c r="R460">
        <v>10932</v>
      </c>
      <c r="S460">
        <v>20</v>
      </c>
      <c r="T460">
        <v>3</v>
      </c>
      <c r="U460">
        <v>1</v>
      </c>
      <c r="V460">
        <v>0</v>
      </c>
      <c r="W460">
        <v>0</v>
      </c>
      <c r="X460">
        <v>1</v>
      </c>
      <c r="Y460">
        <f>IF(HR_data[[#This Row],[Attrition]]= "Yes",1,0)</f>
        <v>0</v>
      </c>
    </row>
    <row r="461" spans="1:25">
      <c r="A461">
        <v>460</v>
      </c>
      <c r="B461" t="s">
        <v>33</v>
      </c>
      <c r="C461" t="s">
        <v>51</v>
      </c>
      <c r="D461" t="s">
        <v>26</v>
      </c>
      <c r="E461" t="s">
        <v>36</v>
      </c>
      <c r="F461" t="s">
        <v>41</v>
      </c>
      <c r="G461">
        <v>1</v>
      </c>
      <c r="H461" t="s">
        <v>29</v>
      </c>
      <c r="I461" t="s">
        <v>50</v>
      </c>
      <c r="J461" t="s">
        <v>31</v>
      </c>
      <c r="K461" t="s">
        <v>24</v>
      </c>
      <c r="L461">
        <v>41</v>
      </c>
      <c r="M461">
        <v>2</v>
      </c>
      <c r="N461" t="s">
        <v>44</v>
      </c>
      <c r="O461">
        <v>1</v>
      </c>
      <c r="P461">
        <v>2</v>
      </c>
      <c r="Q461">
        <v>3</v>
      </c>
      <c r="R461">
        <v>6811</v>
      </c>
      <c r="S461">
        <v>10</v>
      </c>
      <c r="T461">
        <v>3</v>
      </c>
      <c r="U461">
        <v>8</v>
      </c>
      <c r="V461">
        <v>7</v>
      </c>
      <c r="W461">
        <v>0</v>
      </c>
      <c r="X461">
        <v>7</v>
      </c>
      <c r="Y461">
        <f>IF(HR_data[[#This Row],[Attrition]]= "Yes",1,0)</f>
        <v>0</v>
      </c>
    </row>
    <row r="462" spans="1:25">
      <c r="A462">
        <v>461</v>
      </c>
      <c r="B462" t="s">
        <v>33</v>
      </c>
      <c r="C462" t="s">
        <v>25</v>
      </c>
      <c r="D462" t="s">
        <v>43</v>
      </c>
      <c r="E462" t="s">
        <v>27</v>
      </c>
      <c r="F462" t="s">
        <v>45</v>
      </c>
      <c r="G462">
        <v>1</v>
      </c>
      <c r="H462" t="s">
        <v>37</v>
      </c>
      <c r="I462" t="s">
        <v>30</v>
      </c>
      <c r="J462" t="s">
        <v>48</v>
      </c>
      <c r="K462" t="s">
        <v>33</v>
      </c>
      <c r="L462">
        <v>26</v>
      </c>
      <c r="M462">
        <v>29</v>
      </c>
      <c r="N462" t="s">
        <v>32</v>
      </c>
      <c r="O462">
        <v>1</v>
      </c>
      <c r="P462">
        <v>2</v>
      </c>
      <c r="Q462">
        <v>3</v>
      </c>
      <c r="R462">
        <v>4306</v>
      </c>
      <c r="S462">
        <v>8</v>
      </c>
      <c r="T462">
        <v>3</v>
      </c>
      <c r="U462">
        <v>0</v>
      </c>
      <c r="V462">
        <v>0</v>
      </c>
      <c r="W462">
        <v>0</v>
      </c>
      <c r="X462">
        <v>0</v>
      </c>
      <c r="Y462">
        <f>IF(HR_data[[#This Row],[Attrition]]= "Yes",1,0)</f>
        <v>0</v>
      </c>
    </row>
    <row r="463" spans="1:25">
      <c r="A463">
        <v>462</v>
      </c>
      <c r="B463" t="s">
        <v>33</v>
      </c>
      <c r="C463" t="s">
        <v>25</v>
      </c>
      <c r="D463" t="s">
        <v>26</v>
      </c>
      <c r="E463" t="s">
        <v>27</v>
      </c>
      <c r="F463" t="s">
        <v>45</v>
      </c>
      <c r="G463">
        <v>1</v>
      </c>
      <c r="H463" t="s">
        <v>29</v>
      </c>
      <c r="I463" t="s">
        <v>30</v>
      </c>
      <c r="J463" t="s">
        <v>31</v>
      </c>
      <c r="K463" t="s">
        <v>33</v>
      </c>
      <c r="L463">
        <v>35</v>
      </c>
      <c r="M463">
        <v>1</v>
      </c>
      <c r="N463" t="s">
        <v>47</v>
      </c>
      <c r="O463">
        <v>1</v>
      </c>
      <c r="P463">
        <v>2</v>
      </c>
      <c r="Q463">
        <v>3</v>
      </c>
      <c r="R463">
        <v>4859</v>
      </c>
      <c r="S463">
        <v>5</v>
      </c>
      <c r="T463">
        <v>3</v>
      </c>
      <c r="U463">
        <v>5</v>
      </c>
      <c r="V463">
        <v>4</v>
      </c>
      <c r="W463">
        <v>0</v>
      </c>
      <c r="X463">
        <v>3</v>
      </c>
      <c r="Y463">
        <f>IF(HR_data[[#This Row],[Attrition]]= "Yes",1,0)</f>
        <v>0</v>
      </c>
    </row>
    <row r="464" spans="1:25">
      <c r="A464">
        <v>463</v>
      </c>
      <c r="B464" t="s">
        <v>33</v>
      </c>
      <c r="C464" t="s">
        <v>25</v>
      </c>
      <c r="D464" t="s">
        <v>43</v>
      </c>
      <c r="E464" t="s">
        <v>27</v>
      </c>
      <c r="F464" t="s">
        <v>28</v>
      </c>
      <c r="G464">
        <v>1</v>
      </c>
      <c r="H464" t="s">
        <v>37</v>
      </c>
      <c r="I464" t="s">
        <v>30</v>
      </c>
      <c r="J464" t="s">
        <v>31</v>
      </c>
      <c r="K464" t="s">
        <v>33</v>
      </c>
      <c r="L464">
        <v>34</v>
      </c>
      <c r="M464">
        <v>21</v>
      </c>
      <c r="N464" t="s">
        <v>44</v>
      </c>
      <c r="O464">
        <v>4</v>
      </c>
      <c r="P464">
        <v>2</v>
      </c>
      <c r="Q464">
        <v>4</v>
      </c>
      <c r="R464">
        <v>5337</v>
      </c>
      <c r="S464">
        <v>10</v>
      </c>
      <c r="T464">
        <v>3</v>
      </c>
      <c r="U464">
        <v>10</v>
      </c>
      <c r="V464">
        <v>7</v>
      </c>
      <c r="W464">
        <v>5</v>
      </c>
      <c r="X464">
        <v>7</v>
      </c>
      <c r="Y464">
        <f>IF(HR_data[[#This Row],[Attrition]]= "Yes",1,0)</f>
        <v>0</v>
      </c>
    </row>
    <row r="465" spans="1:25">
      <c r="A465">
        <v>464</v>
      </c>
      <c r="B465" t="s">
        <v>24</v>
      </c>
      <c r="C465" t="s">
        <v>25</v>
      </c>
      <c r="D465" t="s">
        <v>43</v>
      </c>
      <c r="E465" t="s">
        <v>36</v>
      </c>
      <c r="F465" t="s">
        <v>57</v>
      </c>
      <c r="G465">
        <v>1</v>
      </c>
      <c r="H465" t="s">
        <v>37</v>
      </c>
      <c r="I465" t="s">
        <v>42</v>
      </c>
      <c r="J465" t="s">
        <v>31</v>
      </c>
      <c r="K465" t="s">
        <v>24</v>
      </c>
      <c r="L465">
        <v>26</v>
      </c>
      <c r="M465">
        <v>24</v>
      </c>
      <c r="N465" t="s">
        <v>47</v>
      </c>
      <c r="O465">
        <v>3</v>
      </c>
      <c r="P465">
        <v>1</v>
      </c>
      <c r="Q465">
        <v>4</v>
      </c>
      <c r="R465">
        <v>2340</v>
      </c>
      <c r="S465">
        <v>1</v>
      </c>
      <c r="T465">
        <v>1</v>
      </c>
      <c r="U465">
        <v>1</v>
      </c>
      <c r="V465">
        <v>0</v>
      </c>
      <c r="W465">
        <v>0</v>
      </c>
      <c r="X465">
        <v>0</v>
      </c>
      <c r="Y465">
        <f>IF(HR_data[[#This Row],[Attrition]]= "Yes",1,0)</f>
        <v>1</v>
      </c>
    </row>
    <row r="466" spans="1:25">
      <c r="A466">
        <v>465</v>
      </c>
      <c r="B466" t="s">
        <v>33</v>
      </c>
      <c r="C466" t="s">
        <v>25</v>
      </c>
      <c r="D466" t="s">
        <v>26</v>
      </c>
      <c r="E466" t="s">
        <v>36</v>
      </c>
      <c r="F466" t="s">
        <v>57</v>
      </c>
      <c r="G466">
        <v>1</v>
      </c>
      <c r="H466" t="s">
        <v>29</v>
      </c>
      <c r="I466" t="s">
        <v>49</v>
      </c>
      <c r="J466" t="s">
        <v>31</v>
      </c>
      <c r="K466" t="s">
        <v>33</v>
      </c>
      <c r="L466">
        <v>37</v>
      </c>
      <c r="M466">
        <v>1</v>
      </c>
      <c r="N466" t="s">
        <v>47</v>
      </c>
      <c r="O466">
        <v>2</v>
      </c>
      <c r="P466">
        <v>3</v>
      </c>
      <c r="Q466">
        <v>4</v>
      </c>
      <c r="R466">
        <v>7491</v>
      </c>
      <c r="S466">
        <v>12</v>
      </c>
      <c r="T466">
        <v>4</v>
      </c>
      <c r="U466">
        <v>6</v>
      </c>
      <c r="V466">
        <v>5</v>
      </c>
      <c r="W466">
        <v>1</v>
      </c>
      <c r="X466">
        <v>2</v>
      </c>
      <c r="Y466">
        <f>IF(HR_data[[#This Row],[Attrition]]= "Yes",1,0)</f>
        <v>0</v>
      </c>
    </row>
    <row r="467" spans="1:25">
      <c r="A467">
        <v>466</v>
      </c>
      <c r="B467" t="s">
        <v>33</v>
      </c>
      <c r="C467" t="s">
        <v>34</v>
      </c>
      <c r="D467" t="s">
        <v>35</v>
      </c>
      <c r="E467" t="s">
        <v>36</v>
      </c>
      <c r="F467" t="s">
        <v>45</v>
      </c>
      <c r="G467">
        <v>1</v>
      </c>
      <c r="H467" t="s">
        <v>29</v>
      </c>
      <c r="I467" t="s">
        <v>50</v>
      </c>
      <c r="J467" t="s">
        <v>39</v>
      </c>
      <c r="K467" t="s">
        <v>33</v>
      </c>
      <c r="L467">
        <v>46</v>
      </c>
      <c r="M467">
        <v>18</v>
      </c>
      <c r="N467" t="s">
        <v>40</v>
      </c>
      <c r="O467">
        <v>1</v>
      </c>
      <c r="P467">
        <v>3</v>
      </c>
      <c r="Q467">
        <v>3</v>
      </c>
      <c r="R467">
        <v>10527</v>
      </c>
      <c r="S467">
        <v>28</v>
      </c>
      <c r="T467">
        <v>2</v>
      </c>
      <c r="U467">
        <v>2</v>
      </c>
      <c r="V467">
        <v>2</v>
      </c>
      <c r="W467">
        <v>1</v>
      </c>
      <c r="X467">
        <v>2</v>
      </c>
      <c r="Y467">
        <f>IF(HR_data[[#This Row],[Attrition]]= "Yes",1,0)</f>
        <v>0</v>
      </c>
    </row>
    <row r="468" spans="1:25">
      <c r="A468">
        <v>467</v>
      </c>
      <c r="B468" t="s">
        <v>33</v>
      </c>
      <c r="C468" t="s">
        <v>25</v>
      </c>
      <c r="D468" t="s">
        <v>26</v>
      </c>
      <c r="E468" t="s">
        <v>27</v>
      </c>
      <c r="F468" t="s">
        <v>28</v>
      </c>
      <c r="G468">
        <v>1</v>
      </c>
      <c r="H468" t="s">
        <v>29</v>
      </c>
      <c r="I468" t="s">
        <v>53</v>
      </c>
      <c r="J468" t="s">
        <v>39</v>
      </c>
      <c r="K468" t="s">
        <v>33</v>
      </c>
      <c r="L468">
        <v>41</v>
      </c>
      <c r="M468">
        <v>2</v>
      </c>
      <c r="N468" t="s">
        <v>58</v>
      </c>
      <c r="O468">
        <v>2</v>
      </c>
      <c r="P468">
        <v>4</v>
      </c>
      <c r="Q468">
        <v>1</v>
      </c>
      <c r="R468">
        <v>16595</v>
      </c>
      <c r="S468">
        <v>22</v>
      </c>
      <c r="T468">
        <v>3</v>
      </c>
      <c r="U468">
        <v>18</v>
      </c>
      <c r="V468">
        <v>16</v>
      </c>
      <c r="W468">
        <v>11</v>
      </c>
      <c r="X468">
        <v>8</v>
      </c>
      <c r="Y468">
        <f>IF(HR_data[[#This Row],[Attrition]]= "Yes",1,0)</f>
        <v>0</v>
      </c>
    </row>
    <row r="469" spans="1:25">
      <c r="A469">
        <v>468</v>
      </c>
      <c r="B469" t="s">
        <v>33</v>
      </c>
      <c r="C469" t="s">
        <v>51</v>
      </c>
      <c r="D469" t="s">
        <v>26</v>
      </c>
      <c r="E469" t="s">
        <v>27</v>
      </c>
      <c r="F469" t="s">
        <v>45</v>
      </c>
      <c r="G469">
        <v>1</v>
      </c>
      <c r="H469" t="s">
        <v>37</v>
      </c>
      <c r="I469" t="s">
        <v>30</v>
      </c>
      <c r="J469" t="s">
        <v>48</v>
      </c>
      <c r="K469" t="s">
        <v>33</v>
      </c>
      <c r="L469">
        <v>37</v>
      </c>
      <c r="M469">
        <v>9</v>
      </c>
      <c r="N469" t="s">
        <v>44</v>
      </c>
      <c r="O469">
        <v>1</v>
      </c>
      <c r="P469">
        <v>3</v>
      </c>
      <c r="Q469">
        <v>2</v>
      </c>
      <c r="R469">
        <v>8834</v>
      </c>
      <c r="S469">
        <v>9</v>
      </c>
      <c r="T469">
        <v>3</v>
      </c>
      <c r="U469">
        <v>9</v>
      </c>
      <c r="V469">
        <v>5</v>
      </c>
      <c r="W469">
        <v>7</v>
      </c>
      <c r="X469">
        <v>7</v>
      </c>
      <c r="Y469">
        <f>IF(HR_data[[#This Row],[Attrition]]= "Yes",1,0)</f>
        <v>0</v>
      </c>
    </row>
    <row r="470" spans="1:25">
      <c r="A470">
        <v>469</v>
      </c>
      <c r="B470" t="s">
        <v>33</v>
      </c>
      <c r="C470" t="s">
        <v>25</v>
      </c>
      <c r="D470" t="s">
        <v>35</v>
      </c>
      <c r="E470" t="s">
        <v>36</v>
      </c>
      <c r="F470" t="s">
        <v>57</v>
      </c>
      <c r="G470">
        <v>1</v>
      </c>
      <c r="H470" t="s">
        <v>37</v>
      </c>
      <c r="I470" t="s">
        <v>38</v>
      </c>
      <c r="J470" t="s">
        <v>48</v>
      </c>
      <c r="K470" t="s">
        <v>24</v>
      </c>
      <c r="L470">
        <v>52</v>
      </c>
      <c r="M470">
        <v>6</v>
      </c>
      <c r="N470" t="s">
        <v>32</v>
      </c>
      <c r="O470">
        <v>4</v>
      </c>
      <c r="P470">
        <v>2</v>
      </c>
      <c r="Q470">
        <v>1</v>
      </c>
      <c r="R470">
        <v>5577</v>
      </c>
      <c r="S470">
        <v>18</v>
      </c>
      <c r="T470">
        <v>3</v>
      </c>
      <c r="U470">
        <v>10</v>
      </c>
      <c r="V470">
        <v>9</v>
      </c>
      <c r="W470">
        <v>6</v>
      </c>
      <c r="X470">
        <v>9</v>
      </c>
      <c r="Y470">
        <f>IF(HR_data[[#This Row],[Attrition]]= "Yes",1,0)</f>
        <v>0</v>
      </c>
    </row>
    <row r="471" spans="1:25">
      <c r="A471">
        <v>470</v>
      </c>
      <c r="B471" t="s">
        <v>24</v>
      </c>
      <c r="C471" t="s">
        <v>51</v>
      </c>
      <c r="D471" t="s">
        <v>43</v>
      </c>
      <c r="E471" t="s">
        <v>27</v>
      </c>
      <c r="F471" t="s">
        <v>41</v>
      </c>
      <c r="G471">
        <v>1</v>
      </c>
      <c r="H471" t="s">
        <v>37</v>
      </c>
      <c r="I471" t="s">
        <v>30</v>
      </c>
      <c r="J471" t="s">
        <v>39</v>
      </c>
      <c r="K471" t="s">
        <v>33</v>
      </c>
      <c r="L471">
        <v>32</v>
      </c>
      <c r="M471">
        <v>11</v>
      </c>
      <c r="N471" t="s">
        <v>44</v>
      </c>
      <c r="O471">
        <v>4</v>
      </c>
      <c r="P471">
        <v>2</v>
      </c>
      <c r="Q471">
        <v>3</v>
      </c>
      <c r="R471">
        <v>4707</v>
      </c>
      <c r="S471">
        <v>6</v>
      </c>
      <c r="T471">
        <v>3</v>
      </c>
      <c r="U471">
        <v>4</v>
      </c>
      <c r="V471">
        <v>2</v>
      </c>
      <c r="W471">
        <v>1</v>
      </c>
      <c r="X471">
        <v>2</v>
      </c>
      <c r="Y471">
        <f>IF(HR_data[[#This Row],[Attrition]]= "Yes",1,0)</f>
        <v>1</v>
      </c>
    </row>
    <row r="472" spans="1:25">
      <c r="A472">
        <v>471</v>
      </c>
      <c r="B472" t="s">
        <v>33</v>
      </c>
      <c r="C472" t="s">
        <v>34</v>
      </c>
      <c r="D472" t="s">
        <v>52</v>
      </c>
      <c r="E472" t="s">
        <v>27</v>
      </c>
      <c r="F472" t="s">
        <v>45</v>
      </c>
      <c r="G472">
        <v>1</v>
      </c>
      <c r="H472" t="s">
        <v>37</v>
      </c>
      <c r="I472" t="s">
        <v>54</v>
      </c>
      <c r="J472" t="s">
        <v>39</v>
      </c>
      <c r="K472" t="s">
        <v>33</v>
      </c>
      <c r="L472">
        <v>24</v>
      </c>
      <c r="M472">
        <v>24</v>
      </c>
      <c r="N472" t="s">
        <v>47</v>
      </c>
      <c r="O472">
        <v>4</v>
      </c>
      <c r="P472">
        <v>1</v>
      </c>
      <c r="Q472">
        <v>4</v>
      </c>
      <c r="R472">
        <v>2400</v>
      </c>
      <c r="S472">
        <v>3</v>
      </c>
      <c r="T472">
        <v>3</v>
      </c>
      <c r="U472">
        <v>2</v>
      </c>
      <c r="V472">
        <v>2</v>
      </c>
      <c r="W472">
        <v>2</v>
      </c>
      <c r="X472">
        <v>1</v>
      </c>
      <c r="Y472">
        <f>IF(HR_data[[#This Row],[Attrition]]= "Yes",1,0)</f>
        <v>0</v>
      </c>
    </row>
    <row r="473" spans="1:25">
      <c r="A473">
        <v>472</v>
      </c>
      <c r="B473" t="s">
        <v>33</v>
      </c>
      <c r="C473" t="s">
        <v>25</v>
      </c>
      <c r="D473" t="s">
        <v>26</v>
      </c>
      <c r="E473" t="s">
        <v>36</v>
      </c>
      <c r="F473" t="s">
        <v>45</v>
      </c>
      <c r="G473">
        <v>1</v>
      </c>
      <c r="H473" t="s">
        <v>29</v>
      </c>
      <c r="I473" t="s">
        <v>50</v>
      </c>
      <c r="J473" t="s">
        <v>39</v>
      </c>
      <c r="K473" t="s">
        <v>33</v>
      </c>
      <c r="L473">
        <v>38</v>
      </c>
      <c r="M473">
        <v>10</v>
      </c>
      <c r="N473" t="s">
        <v>47</v>
      </c>
      <c r="O473">
        <v>3</v>
      </c>
      <c r="P473">
        <v>2</v>
      </c>
      <c r="Q473">
        <v>3</v>
      </c>
      <c r="R473">
        <v>9824</v>
      </c>
      <c r="S473">
        <v>18</v>
      </c>
      <c r="T473">
        <v>3</v>
      </c>
      <c r="U473">
        <v>1</v>
      </c>
      <c r="V473">
        <v>0</v>
      </c>
      <c r="W473">
        <v>0</v>
      </c>
      <c r="X473">
        <v>0</v>
      </c>
      <c r="Y473">
        <f>IF(HR_data[[#This Row],[Attrition]]= "Yes",1,0)</f>
        <v>0</v>
      </c>
    </row>
    <row r="474" spans="1:25">
      <c r="A474">
        <v>473</v>
      </c>
      <c r="B474" t="s">
        <v>33</v>
      </c>
      <c r="C474" t="s">
        <v>25</v>
      </c>
      <c r="D474" t="s">
        <v>26</v>
      </c>
      <c r="E474" t="s">
        <v>36</v>
      </c>
      <c r="F474" t="s">
        <v>28</v>
      </c>
      <c r="G474">
        <v>1</v>
      </c>
      <c r="H474" t="s">
        <v>29</v>
      </c>
      <c r="I474" t="s">
        <v>49</v>
      </c>
      <c r="J474" t="s">
        <v>39</v>
      </c>
      <c r="K474" t="s">
        <v>33</v>
      </c>
      <c r="L474">
        <v>37</v>
      </c>
      <c r="M474">
        <v>1</v>
      </c>
      <c r="N474" t="s">
        <v>44</v>
      </c>
      <c r="O474">
        <v>2</v>
      </c>
      <c r="P474">
        <v>2</v>
      </c>
      <c r="Q474">
        <v>2</v>
      </c>
      <c r="R474">
        <v>6447</v>
      </c>
      <c r="S474">
        <v>8</v>
      </c>
      <c r="T474">
        <v>2</v>
      </c>
      <c r="U474">
        <v>6</v>
      </c>
      <c r="V474">
        <v>5</v>
      </c>
      <c r="W474">
        <v>4</v>
      </c>
      <c r="X474">
        <v>3</v>
      </c>
      <c r="Y474">
        <f>IF(HR_data[[#This Row],[Attrition]]= "Yes",1,0)</f>
        <v>0</v>
      </c>
    </row>
    <row r="475" spans="1:25">
      <c r="A475">
        <v>474</v>
      </c>
      <c r="B475" t="s">
        <v>33</v>
      </c>
      <c r="C475" t="s">
        <v>25</v>
      </c>
      <c r="D475" t="s">
        <v>35</v>
      </c>
      <c r="E475" t="s">
        <v>36</v>
      </c>
      <c r="F475" t="s">
        <v>28</v>
      </c>
      <c r="G475">
        <v>1</v>
      </c>
      <c r="H475" t="s">
        <v>37</v>
      </c>
      <c r="I475" t="s">
        <v>55</v>
      </c>
      <c r="J475" t="s">
        <v>48</v>
      </c>
      <c r="K475" t="s">
        <v>24</v>
      </c>
      <c r="L475">
        <v>49</v>
      </c>
      <c r="M475">
        <v>18</v>
      </c>
      <c r="N475" t="s">
        <v>44</v>
      </c>
      <c r="O475">
        <v>4</v>
      </c>
      <c r="P475">
        <v>5</v>
      </c>
      <c r="Q475">
        <v>3</v>
      </c>
      <c r="R475">
        <v>19502</v>
      </c>
      <c r="S475">
        <v>31</v>
      </c>
      <c r="T475">
        <v>3</v>
      </c>
      <c r="U475">
        <v>31</v>
      </c>
      <c r="V475">
        <v>9</v>
      </c>
      <c r="W475">
        <v>0</v>
      </c>
      <c r="X475">
        <v>9</v>
      </c>
      <c r="Y475">
        <f>IF(HR_data[[#This Row],[Attrition]]= "Yes",1,0)</f>
        <v>0</v>
      </c>
    </row>
    <row r="476" spans="1:25">
      <c r="A476">
        <v>475</v>
      </c>
      <c r="B476" t="s">
        <v>33</v>
      </c>
      <c r="C476" t="s">
        <v>25</v>
      </c>
      <c r="D476" t="s">
        <v>52</v>
      </c>
      <c r="E476" t="s">
        <v>36</v>
      </c>
      <c r="F476" t="s">
        <v>45</v>
      </c>
      <c r="G476">
        <v>1</v>
      </c>
      <c r="H476" t="s">
        <v>37</v>
      </c>
      <c r="I476" t="s">
        <v>38</v>
      </c>
      <c r="J476" t="s">
        <v>39</v>
      </c>
      <c r="K476" t="s">
        <v>24</v>
      </c>
      <c r="L476">
        <v>24</v>
      </c>
      <c r="M476">
        <v>23</v>
      </c>
      <c r="N476" t="s">
        <v>47</v>
      </c>
      <c r="O476">
        <v>2</v>
      </c>
      <c r="P476">
        <v>1</v>
      </c>
      <c r="Q476">
        <v>4</v>
      </c>
      <c r="R476">
        <v>2725</v>
      </c>
      <c r="S476">
        <v>6</v>
      </c>
      <c r="T476">
        <v>3</v>
      </c>
      <c r="U476">
        <v>6</v>
      </c>
      <c r="V476">
        <v>5</v>
      </c>
      <c r="W476">
        <v>1</v>
      </c>
      <c r="X476">
        <v>4</v>
      </c>
      <c r="Y476">
        <f>IF(HR_data[[#This Row],[Attrition]]= "Yes",1,0)</f>
        <v>0</v>
      </c>
    </row>
    <row r="477" spans="1:25">
      <c r="A477">
        <v>476</v>
      </c>
      <c r="B477" t="s">
        <v>33</v>
      </c>
      <c r="C477" t="s">
        <v>25</v>
      </c>
      <c r="D477" t="s">
        <v>43</v>
      </c>
      <c r="E477" t="s">
        <v>27</v>
      </c>
      <c r="F477" t="s">
        <v>56</v>
      </c>
      <c r="G477">
        <v>1</v>
      </c>
      <c r="H477" t="s">
        <v>37</v>
      </c>
      <c r="I477" t="s">
        <v>30</v>
      </c>
      <c r="J477" t="s">
        <v>39</v>
      </c>
      <c r="K477" t="s">
        <v>33</v>
      </c>
      <c r="L477">
        <v>26</v>
      </c>
      <c r="M477">
        <v>28</v>
      </c>
      <c r="N477" t="s">
        <v>32</v>
      </c>
      <c r="O477">
        <v>1</v>
      </c>
      <c r="P477">
        <v>2</v>
      </c>
      <c r="Q477">
        <v>2</v>
      </c>
      <c r="R477">
        <v>6272</v>
      </c>
      <c r="S477">
        <v>6</v>
      </c>
      <c r="T477">
        <v>4</v>
      </c>
      <c r="U477">
        <v>5</v>
      </c>
      <c r="V477">
        <v>3</v>
      </c>
      <c r="W477">
        <v>1</v>
      </c>
      <c r="X477">
        <v>4</v>
      </c>
      <c r="Y477">
        <f>IF(HR_data[[#This Row],[Attrition]]= "Yes",1,0)</f>
        <v>0</v>
      </c>
    </row>
    <row r="478" spans="1:25">
      <c r="A478">
        <v>477</v>
      </c>
      <c r="B478" t="s">
        <v>33</v>
      </c>
      <c r="C478" t="s">
        <v>25</v>
      </c>
      <c r="D478" t="s">
        <v>52</v>
      </c>
      <c r="E478" t="s">
        <v>36</v>
      </c>
      <c r="F478" t="s">
        <v>41</v>
      </c>
      <c r="G478">
        <v>1</v>
      </c>
      <c r="H478" t="s">
        <v>37</v>
      </c>
      <c r="I478" t="s">
        <v>42</v>
      </c>
      <c r="J478" t="s">
        <v>39</v>
      </c>
      <c r="K478" t="s">
        <v>33</v>
      </c>
      <c r="L478">
        <v>24</v>
      </c>
      <c r="M478">
        <v>17</v>
      </c>
      <c r="N478" t="s">
        <v>32</v>
      </c>
      <c r="O478">
        <v>4</v>
      </c>
      <c r="P478">
        <v>1</v>
      </c>
      <c r="Q478">
        <v>2</v>
      </c>
      <c r="R478">
        <v>2127</v>
      </c>
      <c r="S478">
        <v>1</v>
      </c>
      <c r="T478">
        <v>3</v>
      </c>
      <c r="U478">
        <v>1</v>
      </c>
      <c r="V478">
        <v>0</v>
      </c>
      <c r="W478">
        <v>0</v>
      </c>
      <c r="X478">
        <v>0</v>
      </c>
      <c r="Y478">
        <f>IF(HR_data[[#This Row],[Attrition]]= "Yes",1,0)</f>
        <v>0</v>
      </c>
    </row>
    <row r="479" spans="1:25">
      <c r="A479">
        <v>478</v>
      </c>
      <c r="B479" t="s">
        <v>33</v>
      </c>
      <c r="C479" t="s">
        <v>34</v>
      </c>
      <c r="D479" t="s">
        <v>35</v>
      </c>
      <c r="E479" t="s">
        <v>59</v>
      </c>
      <c r="F479" t="s">
        <v>45</v>
      </c>
      <c r="G479">
        <v>1</v>
      </c>
      <c r="H479" t="s">
        <v>37</v>
      </c>
      <c r="I479" t="s">
        <v>53</v>
      </c>
      <c r="J479" t="s">
        <v>39</v>
      </c>
      <c r="K479" t="s">
        <v>33</v>
      </c>
      <c r="L479">
        <v>50</v>
      </c>
      <c r="M479">
        <v>3</v>
      </c>
      <c r="N479" t="s">
        <v>47</v>
      </c>
      <c r="O479">
        <v>1</v>
      </c>
      <c r="P479">
        <v>5</v>
      </c>
      <c r="Q479">
        <v>2</v>
      </c>
      <c r="R479">
        <v>18200</v>
      </c>
      <c r="S479">
        <v>32</v>
      </c>
      <c r="T479">
        <v>3</v>
      </c>
      <c r="U479">
        <v>32</v>
      </c>
      <c r="V479">
        <v>5</v>
      </c>
      <c r="W479">
        <v>10</v>
      </c>
      <c r="X479">
        <v>7</v>
      </c>
      <c r="Y479">
        <f>IF(HR_data[[#This Row],[Attrition]]= "Yes",1,0)</f>
        <v>0</v>
      </c>
    </row>
    <row r="480" spans="1:25">
      <c r="A480">
        <v>479</v>
      </c>
      <c r="B480" t="s">
        <v>33</v>
      </c>
      <c r="C480" t="s">
        <v>25</v>
      </c>
      <c r="D480" t="s">
        <v>43</v>
      </c>
      <c r="E480" t="s">
        <v>27</v>
      </c>
      <c r="F480" t="s">
        <v>45</v>
      </c>
      <c r="G480">
        <v>1</v>
      </c>
      <c r="H480" t="s">
        <v>37</v>
      </c>
      <c r="I480" t="s">
        <v>54</v>
      </c>
      <c r="J480" t="s">
        <v>39</v>
      </c>
      <c r="K480" t="s">
        <v>33</v>
      </c>
      <c r="L480">
        <v>25</v>
      </c>
      <c r="M480">
        <v>13</v>
      </c>
      <c r="N480" t="s">
        <v>40</v>
      </c>
      <c r="O480">
        <v>2</v>
      </c>
      <c r="P480">
        <v>1</v>
      </c>
      <c r="Q480">
        <v>3</v>
      </c>
      <c r="R480">
        <v>2096</v>
      </c>
      <c r="S480">
        <v>7</v>
      </c>
      <c r="T480">
        <v>3</v>
      </c>
      <c r="U480">
        <v>7</v>
      </c>
      <c r="V480">
        <v>4</v>
      </c>
      <c r="W480">
        <v>0</v>
      </c>
      <c r="X480">
        <v>6</v>
      </c>
      <c r="Y480">
        <f>IF(HR_data[[#This Row],[Attrition]]= "Yes",1,0)</f>
        <v>0</v>
      </c>
    </row>
    <row r="481" spans="1:25">
      <c r="A481">
        <v>480</v>
      </c>
      <c r="B481" t="s">
        <v>24</v>
      </c>
      <c r="C481" t="s">
        <v>34</v>
      </c>
      <c r="D481" t="s">
        <v>52</v>
      </c>
      <c r="E481" t="s">
        <v>36</v>
      </c>
      <c r="F481" t="s">
        <v>28</v>
      </c>
      <c r="G481">
        <v>1</v>
      </c>
      <c r="H481" t="s">
        <v>29</v>
      </c>
      <c r="I481" t="s">
        <v>42</v>
      </c>
      <c r="J481" t="s">
        <v>39</v>
      </c>
      <c r="K481" t="s">
        <v>24</v>
      </c>
      <c r="L481">
        <v>24</v>
      </c>
      <c r="M481">
        <v>7</v>
      </c>
      <c r="N481" t="s">
        <v>47</v>
      </c>
      <c r="O481">
        <v>1</v>
      </c>
      <c r="P481">
        <v>1</v>
      </c>
      <c r="Q481">
        <v>3</v>
      </c>
      <c r="R481">
        <v>2886</v>
      </c>
      <c r="S481">
        <v>6</v>
      </c>
      <c r="T481">
        <v>3</v>
      </c>
      <c r="U481">
        <v>6</v>
      </c>
      <c r="V481">
        <v>3</v>
      </c>
      <c r="W481">
        <v>1</v>
      </c>
      <c r="X481">
        <v>2</v>
      </c>
      <c r="Y481">
        <f>IF(HR_data[[#This Row],[Attrition]]= "Yes",1,0)</f>
        <v>1</v>
      </c>
    </row>
    <row r="482" spans="1:25">
      <c r="A482">
        <v>481</v>
      </c>
      <c r="B482" t="s">
        <v>24</v>
      </c>
      <c r="C482" t="s">
        <v>34</v>
      </c>
      <c r="D482" t="s">
        <v>43</v>
      </c>
      <c r="E482" t="s">
        <v>27</v>
      </c>
      <c r="F482" t="s">
        <v>28</v>
      </c>
      <c r="G482">
        <v>1</v>
      </c>
      <c r="H482" t="s">
        <v>37</v>
      </c>
      <c r="I482" t="s">
        <v>54</v>
      </c>
      <c r="J482" t="s">
        <v>39</v>
      </c>
      <c r="K482" t="s">
        <v>33</v>
      </c>
      <c r="L482">
        <v>30</v>
      </c>
      <c r="M482">
        <v>12</v>
      </c>
      <c r="N482" t="s">
        <v>44</v>
      </c>
      <c r="O482">
        <v>2</v>
      </c>
      <c r="P482">
        <v>1</v>
      </c>
      <c r="Q482">
        <v>1</v>
      </c>
      <c r="R482">
        <v>2033</v>
      </c>
      <c r="S482">
        <v>1</v>
      </c>
      <c r="T482">
        <v>4</v>
      </c>
      <c r="U482">
        <v>1</v>
      </c>
      <c r="V482">
        <v>0</v>
      </c>
      <c r="W482">
        <v>0</v>
      </c>
      <c r="X482">
        <v>0</v>
      </c>
      <c r="Y482">
        <f>IF(HR_data[[#This Row],[Attrition]]= "Yes",1,0)</f>
        <v>1</v>
      </c>
    </row>
    <row r="483" spans="1:25">
      <c r="A483">
        <v>482</v>
      </c>
      <c r="B483" t="s">
        <v>33</v>
      </c>
      <c r="C483" t="s">
        <v>25</v>
      </c>
      <c r="D483" t="s">
        <v>43</v>
      </c>
      <c r="E483" t="s">
        <v>36</v>
      </c>
      <c r="F483" t="s">
        <v>28</v>
      </c>
      <c r="G483">
        <v>1</v>
      </c>
      <c r="H483" t="s">
        <v>37</v>
      </c>
      <c r="I483" t="s">
        <v>38</v>
      </c>
      <c r="J483" t="s">
        <v>39</v>
      </c>
      <c r="K483" t="s">
        <v>24</v>
      </c>
      <c r="L483">
        <v>34</v>
      </c>
      <c r="M483">
        <v>1</v>
      </c>
      <c r="N483" t="s">
        <v>32</v>
      </c>
      <c r="O483">
        <v>2</v>
      </c>
      <c r="P483">
        <v>1</v>
      </c>
      <c r="Q483">
        <v>4</v>
      </c>
      <c r="R483">
        <v>3622</v>
      </c>
      <c r="S483">
        <v>6</v>
      </c>
      <c r="T483">
        <v>3</v>
      </c>
      <c r="U483">
        <v>6</v>
      </c>
      <c r="V483">
        <v>5</v>
      </c>
      <c r="W483">
        <v>1</v>
      </c>
      <c r="X483">
        <v>3</v>
      </c>
      <c r="Y483">
        <f>IF(HR_data[[#This Row],[Attrition]]= "Yes",1,0)</f>
        <v>0</v>
      </c>
    </row>
    <row r="484" spans="1:25">
      <c r="A484">
        <v>483</v>
      </c>
      <c r="B484" t="s">
        <v>24</v>
      </c>
      <c r="C484" t="s">
        <v>25</v>
      </c>
      <c r="D484" t="s">
        <v>43</v>
      </c>
      <c r="E484" t="s">
        <v>27</v>
      </c>
      <c r="F484" t="s">
        <v>45</v>
      </c>
      <c r="G484">
        <v>1</v>
      </c>
      <c r="H484" t="s">
        <v>37</v>
      </c>
      <c r="I484" t="s">
        <v>30</v>
      </c>
      <c r="J484" t="s">
        <v>48</v>
      </c>
      <c r="K484" t="s">
        <v>33</v>
      </c>
      <c r="L484">
        <v>31</v>
      </c>
      <c r="M484">
        <v>13</v>
      </c>
      <c r="N484" t="s">
        <v>44</v>
      </c>
      <c r="O484">
        <v>2</v>
      </c>
      <c r="P484">
        <v>2</v>
      </c>
      <c r="Q484">
        <v>1</v>
      </c>
      <c r="R484">
        <v>4233</v>
      </c>
      <c r="S484">
        <v>9</v>
      </c>
      <c r="T484">
        <v>1</v>
      </c>
      <c r="U484">
        <v>3</v>
      </c>
      <c r="V484">
        <v>1</v>
      </c>
      <c r="W484">
        <v>1</v>
      </c>
      <c r="X484">
        <v>2</v>
      </c>
      <c r="Y484">
        <f>IF(HR_data[[#This Row],[Attrition]]= "Yes",1,0)</f>
        <v>1</v>
      </c>
    </row>
    <row r="485" spans="1:25">
      <c r="A485">
        <v>484</v>
      </c>
      <c r="B485" t="s">
        <v>33</v>
      </c>
      <c r="C485" t="s">
        <v>25</v>
      </c>
      <c r="D485" t="s">
        <v>26</v>
      </c>
      <c r="E485" t="s">
        <v>36</v>
      </c>
      <c r="F485" t="s">
        <v>41</v>
      </c>
      <c r="G485">
        <v>1</v>
      </c>
      <c r="H485" t="s">
        <v>37</v>
      </c>
      <c r="I485" t="s">
        <v>42</v>
      </c>
      <c r="J485" t="s">
        <v>31</v>
      </c>
      <c r="K485" t="s">
        <v>33</v>
      </c>
      <c r="L485">
        <v>35</v>
      </c>
      <c r="M485">
        <v>25</v>
      </c>
      <c r="N485" t="s">
        <v>32</v>
      </c>
      <c r="O485">
        <v>1</v>
      </c>
      <c r="P485">
        <v>2</v>
      </c>
      <c r="Q485">
        <v>4</v>
      </c>
      <c r="R485">
        <v>3681</v>
      </c>
      <c r="S485">
        <v>9</v>
      </c>
      <c r="T485">
        <v>3</v>
      </c>
      <c r="U485">
        <v>3</v>
      </c>
      <c r="V485">
        <v>2</v>
      </c>
      <c r="W485">
        <v>0</v>
      </c>
      <c r="X485">
        <v>2</v>
      </c>
      <c r="Y485">
        <f>IF(HR_data[[#This Row],[Attrition]]= "Yes",1,0)</f>
        <v>0</v>
      </c>
    </row>
    <row r="486" spans="1:25">
      <c r="A486">
        <v>485</v>
      </c>
      <c r="B486" t="s">
        <v>33</v>
      </c>
      <c r="C486" t="s">
        <v>25</v>
      </c>
      <c r="D486" t="s">
        <v>43</v>
      </c>
      <c r="E486" t="s">
        <v>27</v>
      </c>
      <c r="F486" t="s">
        <v>45</v>
      </c>
      <c r="G486">
        <v>1</v>
      </c>
      <c r="H486" t="s">
        <v>37</v>
      </c>
      <c r="I486" t="s">
        <v>30</v>
      </c>
      <c r="J486" t="s">
        <v>48</v>
      </c>
      <c r="K486" t="s">
        <v>33</v>
      </c>
      <c r="L486">
        <v>31</v>
      </c>
      <c r="M486">
        <v>6</v>
      </c>
      <c r="N486" t="s">
        <v>44</v>
      </c>
      <c r="O486">
        <v>1</v>
      </c>
      <c r="P486">
        <v>2</v>
      </c>
      <c r="Q486">
        <v>4</v>
      </c>
      <c r="R486">
        <v>5460</v>
      </c>
      <c r="S486">
        <v>13</v>
      </c>
      <c r="T486">
        <v>4</v>
      </c>
      <c r="U486">
        <v>7</v>
      </c>
      <c r="V486">
        <v>7</v>
      </c>
      <c r="W486">
        <v>5</v>
      </c>
      <c r="X486">
        <v>7</v>
      </c>
      <c r="Y486">
        <f>IF(HR_data[[#This Row],[Attrition]]= "Yes",1,0)</f>
        <v>0</v>
      </c>
    </row>
    <row r="487" spans="1:25">
      <c r="A487">
        <v>486</v>
      </c>
      <c r="B487" t="s">
        <v>33</v>
      </c>
      <c r="C487" t="s">
        <v>25</v>
      </c>
      <c r="D487" t="s">
        <v>43</v>
      </c>
      <c r="E487" t="s">
        <v>36</v>
      </c>
      <c r="F487" t="s">
        <v>45</v>
      </c>
      <c r="G487">
        <v>1</v>
      </c>
      <c r="H487" t="s">
        <v>29</v>
      </c>
      <c r="I487" t="s">
        <v>38</v>
      </c>
      <c r="J487" t="s">
        <v>48</v>
      </c>
      <c r="K487" t="s">
        <v>33</v>
      </c>
      <c r="L487">
        <v>27</v>
      </c>
      <c r="M487">
        <v>6</v>
      </c>
      <c r="N487" t="s">
        <v>44</v>
      </c>
      <c r="O487">
        <v>1</v>
      </c>
      <c r="P487">
        <v>1</v>
      </c>
      <c r="Q487">
        <v>3</v>
      </c>
      <c r="R487">
        <v>2187</v>
      </c>
      <c r="S487">
        <v>6</v>
      </c>
      <c r="T487">
        <v>2</v>
      </c>
      <c r="U487">
        <v>5</v>
      </c>
      <c r="V487">
        <v>3</v>
      </c>
      <c r="W487">
        <v>0</v>
      </c>
      <c r="X487">
        <v>3</v>
      </c>
      <c r="Y487">
        <f>IF(HR_data[[#This Row],[Attrition]]= "Yes",1,0)</f>
        <v>0</v>
      </c>
    </row>
    <row r="488" spans="1:25">
      <c r="A488">
        <v>487</v>
      </c>
      <c r="B488" t="s">
        <v>33</v>
      </c>
      <c r="C488" t="s">
        <v>25</v>
      </c>
      <c r="D488" t="s">
        <v>26</v>
      </c>
      <c r="E488" t="s">
        <v>27</v>
      </c>
      <c r="F488" t="s">
        <v>56</v>
      </c>
      <c r="G488">
        <v>1</v>
      </c>
      <c r="H488" t="s">
        <v>37</v>
      </c>
      <c r="I488" t="s">
        <v>30</v>
      </c>
      <c r="J488" t="s">
        <v>39</v>
      </c>
      <c r="K488" t="s">
        <v>24</v>
      </c>
      <c r="L488">
        <v>37</v>
      </c>
      <c r="M488">
        <v>2</v>
      </c>
      <c r="N488" t="s">
        <v>47</v>
      </c>
      <c r="O488">
        <v>4</v>
      </c>
      <c r="P488">
        <v>2</v>
      </c>
      <c r="Q488">
        <v>3</v>
      </c>
      <c r="R488">
        <v>9602</v>
      </c>
      <c r="S488">
        <v>17</v>
      </c>
      <c r="T488">
        <v>2</v>
      </c>
      <c r="U488">
        <v>3</v>
      </c>
      <c r="V488">
        <v>0</v>
      </c>
      <c r="W488">
        <v>1</v>
      </c>
      <c r="X488">
        <v>0</v>
      </c>
      <c r="Y488">
        <f>IF(HR_data[[#This Row],[Attrition]]= "Yes",1,0)</f>
        <v>0</v>
      </c>
    </row>
    <row r="489" spans="1:25">
      <c r="A489">
        <v>488</v>
      </c>
      <c r="B489" t="s">
        <v>33</v>
      </c>
      <c r="C489" t="s">
        <v>25</v>
      </c>
      <c r="D489" t="s">
        <v>52</v>
      </c>
      <c r="E489" t="s">
        <v>36</v>
      </c>
      <c r="F489" t="s">
        <v>28</v>
      </c>
      <c r="G489">
        <v>1</v>
      </c>
      <c r="H489" t="s">
        <v>29</v>
      </c>
      <c r="I489" t="s">
        <v>38</v>
      </c>
      <c r="J489" t="s">
        <v>31</v>
      </c>
      <c r="K489" t="s">
        <v>33</v>
      </c>
      <c r="L489">
        <v>20</v>
      </c>
      <c r="M489">
        <v>1</v>
      </c>
      <c r="N489" t="s">
        <v>47</v>
      </c>
      <c r="O489">
        <v>4</v>
      </c>
      <c r="P489">
        <v>1</v>
      </c>
      <c r="Q489">
        <v>2</v>
      </c>
      <c r="R489">
        <v>2836</v>
      </c>
      <c r="S489">
        <v>1</v>
      </c>
      <c r="T489">
        <v>4</v>
      </c>
      <c r="U489">
        <v>1</v>
      </c>
      <c r="V489">
        <v>0</v>
      </c>
      <c r="W489">
        <v>0</v>
      </c>
      <c r="X489">
        <v>0</v>
      </c>
      <c r="Y489">
        <f>IF(HR_data[[#This Row],[Attrition]]= "Yes",1,0)</f>
        <v>0</v>
      </c>
    </row>
    <row r="490" spans="1:25">
      <c r="A490">
        <v>489</v>
      </c>
      <c r="B490" t="s">
        <v>33</v>
      </c>
      <c r="C490" t="s">
        <v>25</v>
      </c>
      <c r="D490" t="s">
        <v>26</v>
      </c>
      <c r="E490" t="s">
        <v>36</v>
      </c>
      <c r="F490" t="s">
        <v>28</v>
      </c>
      <c r="G490">
        <v>1</v>
      </c>
      <c r="H490" t="s">
        <v>29</v>
      </c>
      <c r="I490" t="s">
        <v>50</v>
      </c>
      <c r="J490" t="s">
        <v>39</v>
      </c>
      <c r="K490" t="s">
        <v>33</v>
      </c>
      <c r="L490">
        <v>42</v>
      </c>
      <c r="M490">
        <v>2</v>
      </c>
      <c r="N490" t="s">
        <v>44</v>
      </c>
      <c r="O490">
        <v>3</v>
      </c>
      <c r="P490">
        <v>2</v>
      </c>
      <c r="Q490">
        <v>4</v>
      </c>
      <c r="R490">
        <v>4089</v>
      </c>
      <c r="S490">
        <v>10</v>
      </c>
      <c r="T490">
        <v>3</v>
      </c>
      <c r="U490">
        <v>10</v>
      </c>
      <c r="V490">
        <v>2</v>
      </c>
      <c r="W490">
        <v>2</v>
      </c>
      <c r="X490">
        <v>2</v>
      </c>
      <c r="Y490">
        <f>IF(HR_data[[#This Row],[Attrition]]= "Yes",1,0)</f>
        <v>0</v>
      </c>
    </row>
    <row r="491" spans="1:25">
      <c r="A491">
        <v>490</v>
      </c>
      <c r="B491" t="s">
        <v>33</v>
      </c>
      <c r="C491" t="s">
        <v>25</v>
      </c>
      <c r="D491" t="s">
        <v>26</v>
      </c>
      <c r="E491" t="s">
        <v>36</v>
      </c>
      <c r="F491" t="s">
        <v>41</v>
      </c>
      <c r="G491">
        <v>1</v>
      </c>
      <c r="H491" t="s">
        <v>37</v>
      </c>
      <c r="I491" t="s">
        <v>55</v>
      </c>
      <c r="J491" t="s">
        <v>48</v>
      </c>
      <c r="K491" t="s">
        <v>24</v>
      </c>
      <c r="L491">
        <v>43</v>
      </c>
      <c r="M491">
        <v>6</v>
      </c>
      <c r="N491" t="s">
        <v>44</v>
      </c>
      <c r="O491">
        <v>2</v>
      </c>
      <c r="P491">
        <v>4</v>
      </c>
      <c r="Q491">
        <v>4</v>
      </c>
      <c r="R491">
        <v>16627</v>
      </c>
      <c r="S491">
        <v>21</v>
      </c>
      <c r="T491">
        <v>2</v>
      </c>
      <c r="U491">
        <v>1</v>
      </c>
      <c r="V491">
        <v>0</v>
      </c>
      <c r="W491">
        <v>0</v>
      </c>
      <c r="X491">
        <v>0</v>
      </c>
      <c r="Y491">
        <f>IF(HR_data[[#This Row],[Attrition]]= "Yes",1,0)</f>
        <v>0</v>
      </c>
    </row>
    <row r="492" spans="1:25">
      <c r="A492">
        <v>491</v>
      </c>
      <c r="B492" t="s">
        <v>33</v>
      </c>
      <c r="C492" t="s">
        <v>25</v>
      </c>
      <c r="D492" t="s">
        <v>26</v>
      </c>
      <c r="E492" t="s">
        <v>36</v>
      </c>
      <c r="F492" t="s">
        <v>28</v>
      </c>
      <c r="G492">
        <v>1</v>
      </c>
      <c r="H492" t="s">
        <v>29</v>
      </c>
      <c r="I492" t="s">
        <v>38</v>
      </c>
      <c r="J492" t="s">
        <v>31</v>
      </c>
      <c r="K492" t="s">
        <v>33</v>
      </c>
      <c r="L492">
        <v>38</v>
      </c>
      <c r="M492">
        <v>1</v>
      </c>
      <c r="N492" t="s">
        <v>40</v>
      </c>
      <c r="O492">
        <v>3</v>
      </c>
      <c r="P492">
        <v>1</v>
      </c>
      <c r="Q492">
        <v>1</v>
      </c>
      <c r="R492">
        <v>2619</v>
      </c>
      <c r="S492">
        <v>8</v>
      </c>
      <c r="T492">
        <v>2</v>
      </c>
      <c r="U492">
        <v>0</v>
      </c>
      <c r="V492">
        <v>0</v>
      </c>
      <c r="W492">
        <v>0</v>
      </c>
      <c r="X492">
        <v>0</v>
      </c>
      <c r="Y492">
        <f>IF(HR_data[[#This Row],[Attrition]]= "Yes",1,0)</f>
        <v>0</v>
      </c>
    </row>
    <row r="493" spans="1:25">
      <c r="A493">
        <v>492</v>
      </c>
      <c r="B493" t="s">
        <v>33</v>
      </c>
      <c r="C493" t="s">
        <v>34</v>
      </c>
      <c r="D493" t="s">
        <v>26</v>
      </c>
      <c r="E493" t="s">
        <v>36</v>
      </c>
      <c r="F493" t="s">
        <v>45</v>
      </c>
      <c r="G493">
        <v>1</v>
      </c>
      <c r="H493" t="s">
        <v>37</v>
      </c>
      <c r="I493" t="s">
        <v>42</v>
      </c>
      <c r="J493" t="s">
        <v>48</v>
      </c>
      <c r="K493" t="s">
        <v>24</v>
      </c>
      <c r="L493">
        <v>43</v>
      </c>
      <c r="M493">
        <v>9</v>
      </c>
      <c r="N493" t="s">
        <v>58</v>
      </c>
      <c r="O493">
        <v>4</v>
      </c>
      <c r="P493">
        <v>2</v>
      </c>
      <c r="Q493">
        <v>3</v>
      </c>
      <c r="R493">
        <v>5679</v>
      </c>
      <c r="S493">
        <v>10</v>
      </c>
      <c r="T493">
        <v>3</v>
      </c>
      <c r="U493">
        <v>8</v>
      </c>
      <c r="V493">
        <v>7</v>
      </c>
      <c r="W493">
        <v>4</v>
      </c>
      <c r="X493">
        <v>7</v>
      </c>
      <c r="Y493">
        <f>IF(HR_data[[#This Row],[Attrition]]= "Yes",1,0)</f>
        <v>0</v>
      </c>
    </row>
    <row r="494" spans="1:25">
      <c r="A494">
        <v>493</v>
      </c>
      <c r="B494" t="s">
        <v>33</v>
      </c>
      <c r="C494" t="s">
        <v>25</v>
      </c>
      <c r="D494" t="s">
        <v>35</v>
      </c>
      <c r="E494" t="s">
        <v>36</v>
      </c>
      <c r="F494" t="s">
        <v>28</v>
      </c>
      <c r="G494">
        <v>1</v>
      </c>
      <c r="H494" t="s">
        <v>29</v>
      </c>
      <c r="I494" t="s">
        <v>53</v>
      </c>
      <c r="J494" t="s">
        <v>39</v>
      </c>
      <c r="K494" t="s">
        <v>33</v>
      </c>
      <c r="L494">
        <v>48</v>
      </c>
      <c r="M494">
        <v>1</v>
      </c>
      <c r="N494" t="s">
        <v>44</v>
      </c>
      <c r="O494">
        <v>4</v>
      </c>
      <c r="P494">
        <v>4</v>
      </c>
      <c r="Q494">
        <v>1</v>
      </c>
      <c r="R494">
        <v>15402</v>
      </c>
      <c r="S494">
        <v>21</v>
      </c>
      <c r="T494">
        <v>1</v>
      </c>
      <c r="U494">
        <v>3</v>
      </c>
      <c r="V494">
        <v>2</v>
      </c>
      <c r="W494">
        <v>0</v>
      </c>
      <c r="X494">
        <v>2</v>
      </c>
      <c r="Y494">
        <f>IF(HR_data[[#This Row],[Attrition]]= "Yes",1,0)</f>
        <v>0</v>
      </c>
    </row>
    <row r="495" spans="1:25">
      <c r="A495">
        <v>494</v>
      </c>
      <c r="B495" t="s">
        <v>33</v>
      </c>
      <c r="C495" t="s">
        <v>25</v>
      </c>
      <c r="D495" t="s">
        <v>26</v>
      </c>
      <c r="E495" t="s">
        <v>59</v>
      </c>
      <c r="F495" t="s">
        <v>28</v>
      </c>
      <c r="G495">
        <v>1</v>
      </c>
      <c r="H495" t="s">
        <v>29</v>
      </c>
      <c r="I495" t="s">
        <v>60</v>
      </c>
      <c r="J495" t="s">
        <v>31</v>
      </c>
      <c r="K495" t="s">
        <v>33</v>
      </c>
      <c r="L495">
        <v>44</v>
      </c>
      <c r="M495">
        <v>1</v>
      </c>
      <c r="N495" t="s">
        <v>44</v>
      </c>
      <c r="O495">
        <v>1</v>
      </c>
      <c r="P495">
        <v>2</v>
      </c>
      <c r="Q495">
        <v>3</v>
      </c>
      <c r="R495">
        <v>5985</v>
      </c>
      <c r="S495">
        <v>10</v>
      </c>
      <c r="T495">
        <v>4</v>
      </c>
      <c r="U495">
        <v>2</v>
      </c>
      <c r="V495">
        <v>2</v>
      </c>
      <c r="W495">
        <v>0</v>
      </c>
      <c r="X495">
        <v>2</v>
      </c>
      <c r="Y495">
        <f>IF(HR_data[[#This Row],[Attrition]]= "Yes",1,0)</f>
        <v>0</v>
      </c>
    </row>
    <row r="496" spans="1:25">
      <c r="A496">
        <v>495</v>
      </c>
      <c r="B496" t="s">
        <v>33</v>
      </c>
      <c r="C496" t="s">
        <v>25</v>
      </c>
      <c r="D496" t="s">
        <v>43</v>
      </c>
      <c r="E496" t="s">
        <v>27</v>
      </c>
      <c r="F496" t="s">
        <v>57</v>
      </c>
      <c r="G496">
        <v>1</v>
      </c>
      <c r="H496" t="s">
        <v>29</v>
      </c>
      <c r="I496" t="s">
        <v>54</v>
      </c>
      <c r="J496" t="s">
        <v>48</v>
      </c>
      <c r="K496" t="s">
        <v>24</v>
      </c>
      <c r="L496">
        <v>34</v>
      </c>
      <c r="M496">
        <v>14</v>
      </c>
      <c r="N496" t="s">
        <v>47</v>
      </c>
      <c r="O496">
        <v>3</v>
      </c>
      <c r="P496">
        <v>1</v>
      </c>
      <c r="Q496">
        <v>3</v>
      </c>
      <c r="R496">
        <v>2579</v>
      </c>
      <c r="S496">
        <v>8</v>
      </c>
      <c r="T496">
        <v>3</v>
      </c>
      <c r="U496">
        <v>8</v>
      </c>
      <c r="V496">
        <v>2</v>
      </c>
      <c r="W496">
        <v>0</v>
      </c>
      <c r="X496">
        <v>6</v>
      </c>
      <c r="Y496">
        <f>IF(HR_data[[#This Row],[Attrition]]= "Yes",1,0)</f>
        <v>0</v>
      </c>
    </row>
    <row r="497" spans="1:25">
      <c r="A497">
        <v>496</v>
      </c>
      <c r="B497" t="s">
        <v>24</v>
      </c>
      <c r="C497" t="s">
        <v>25</v>
      </c>
      <c r="D497" t="s">
        <v>43</v>
      </c>
      <c r="E497" t="s">
        <v>27</v>
      </c>
      <c r="F497" t="s">
        <v>56</v>
      </c>
      <c r="G497">
        <v>1</v>
      </c>
      <c r="H497" t="s">
        <v>37</v>
      </c>
      <c r="I497" t="s">
        <v>54</v>
      </c>
      <c r="J497" t="s">
        <v>48</v>
      </c>
      <c r="K497" t="s">
        <v>33</v>
      </c>
      <c r="L497">
        <v>27</v>
      </c>
      <c r="M497">
        <v>2</v>
      </c>
      <c r="N497" t="s">
        <v>40</v>
      </c>
      <c r="O497">
        <v>3</v>
      </c>
      <c r="P497">
        <v>1</v>
      </c>
      <c r="Q497">
        <v>1</v>
      </c>
      <c r="R497">
        <v>3041</v>
      </c>
      <c r="S497">
        <v>5</v>
      </c>
      <c r="T497">
        <v>3</v>
      </c>
      <c r="U497">
        <v>4</v>
      </c>
      <c r="V497">
        <v>3</v>
      </c>
      <c r="W497">
        <v>0</v>
      </c>
      <c r="X497">
        <v>2</v>
      </c>
      <c r="Y497">
        <f>IF(HR_data[[#This Row],[Attrition]]= "Yes",1,0)</f>
        <v>1</v>
      </c>
    </row>
    <row r="498" spans="1:25">
      <c r="A498">
        <v>497</v>
      </c>
      <c r="B498" t="s">
        <v>33</v>
      </c>
      <c r="C498" t="s">
        <v>25</v>
      </c>
      <c r="D498" t="s">
        <v>52</v>
      </c>
      <c r="E498" t="s">
        <v>27</v>
      </c>
      <c r="F498" t="s">
        <v>57</v>
      </c>
      <c r="G498">
        <v>1</v>
      </c>
      <c r="H498" t="s">
        <v>37</v>
      </c>
      <c r="I498" t="s">
        <v>54</v>
      </c>
      <c r="J498" t="s">
        <v>31</v>
      </c>
      <c r="K498" t="s">
        <v>33</v>
      </c>
      <c r="L498">
        <v>21</v>
      </c>
      <c r="M498">
        <v>22</v>
      </c>
      <c r="N498" t="s">
        <v>40</v>
      </c>
      <c r="O498">
        <v>3</v>
      </c>
      <c r="P498">
        <v>1</v>
      </c>
      <c r="Q498">
        <v>3</v>
      </c>
      <c r="R498">
        <v>3447</v>
      </c>
      <c r="S498">
        <v>3</v>
      </c>
      <c r="T498">
        <v>3</v>
      </c>
      <c r="U498">
        <v>3</v>
      </c>
      <c r="V498">
        <v>2</v>
      </c>
      <c r="W498">
        <v>1</v>
      </c>
      <c r="X498">
        <v>2</v>
      </c>
      <c r="Y498">
        <f>IF(HR_data[[#This Row],[Attrition]]= "Yes",1,0)</f>
        <v>0</v>
      </c>
    </row>
    <row r="499" spans="1:25">
      <c r="A499">
        <v>498</v>
      </c>
      <c r="B499" t="s">
        <v>33</v>
      </c>
      <c r="C499" t="s">
        <v>25</v>
      </c>
      <c r="D499" t="s">
        <v>26</v>
      </c>
      <c r="E499" t="s">
        <v>36</v>
      </c>
      <c r="F499" t="s">
        <v>41</v>
      </c>
      <c r="G499">
        <v>1</v>
      </c>
      <c r="H499" t="s">
        <v>37</v>
      </c>
      <c r="I499" t="s">
        <v>53</v>
      </c>
      <c r="J499" t="s">
        <v>39</v>
      </c>
      <c r="K499" t="s">
        <v>24</v>
      </c>
      <c r="L499">
        <v>44</v>
      </c>
      <c r="M499">
        <v>3</v>
      </c>
      <c r="N499" t="s">
        <v>44</v>
      </c>
      <c r="O499">
        <v>4</v>
      </c>
      <c r="P499">
        <v>5</v>
      </c>
      <c r="Q499">
        <v>4</v>
      </c>
      <c r="R499">
        <v>19513</v>
      </c>
      <c r="S499">
        <v>26</v>
      </c>
      <c r="T499">
        <v>4</v>
      </c>
      <c r="U499">
        <v>2</v>
      </c>
      <c r="V499">
        <v>2</v>
      </c>
      <c r="W499">
        <v>0</v>
      </c>
      <c r="X499">
        <v>1</v>
      </c>
      <c r="Y499">
        <f>IF(HR_data[[#This Row],[Attrition]]= "Yes",1,0)</f>
        <v>0</v>
      </c>
    </row>
    <row r="500" spans="1:25">
      <c r="A500">
        <v>499</v>
      </c>
      <c r="B500" t="s">
        <v>33</v>
      </c>
      <c r="C500" t="s">
        <v>25</v>
      </c>
      <c r="D500" t="s">
        <v>52</v>
      </c>
      <c r="E500" t="s">
        <v>36</v>
      </c>
      <c r="F500" t="s">
        <v>45</v>
      </c>
      <c r="G500">
        <v>1</v>
      </c>
      <c r="H500" t="s">
        <v>37</v>
      </c>
      <c r="I500" t="s">
        <v>38</v>
      </c>
      <c r="J500" t="s">
        <v>39</v>
      </c>
      <c r="K500" t="s">
        <v>33</v>
      </c>
      <c r="L500">
        <v>22</v>
      </c>
      <c r="M500">
        <v>6</v>
      </c>
      <c r="N500" t="s">
        <v>40</v>
      </c>
      <c r="O500">
        <v>1</v>
      </c>
      <c r="P500">
        <v>1</v>
      </c>
      <c r="Q500">
        <v>3</v>
      </c>
      <c r="R500">
        <v>2773</v>
      </c>
      <c r="S500">
        <v>3</v>
      </c>
      <c r="T500">
        <v>3</v>
      </c>
      <c r="U500">
        <v>2</v>
      </c>
      <c r="V500">
        <v>2</v>
      </c>
      <c r="W500">
        <v>2</v>
      </c>
      <c r="X500">
        <v>2</v>
      </c>
      <c r="Y500">
        <f>IF(HR_data[[#This Row],[Attrition]]= "Yes",1,0)</f>
        <v>0</v>
      </c>
    </row>
    <row r="501" spans="1:25">
      <c r="A501">
        <v>500</v>
      </c>
      <c r="B501" t="s">
        <v>33</v>
      </c>
      <c r="C501" t="s">
        <v>25</v>
      </c>
      <c r="D501" t="s">
        <v>43</v>
      </c>
      <c r="E501" t="s">
        <v>27</v>
      </c>
      <c r="F501" t="s">
        <v>56</v>
      </c>
      <c r="G501">
        <v>1</v>
      </c>
      <c r="H501" t="s">
        <v>37</v>
      </c>
      <c r="I501" t="s">
        <v>30</v>
      </c>
      <c r="J501" t="s">
        <v>48</v>
      </c>
      <c r="K501" t="s">
        <v>33</v>
      </c>
      <c r="L501">
        <v>33</v>
      </c>
      <c r="M501">
        <v>8</v>
      </c>
      <c r="N501" t="s">
        <v>44</v>
      </c>
      <c r="O501">
        <v>3</v>
      </c>
      <c r="P501">
        <v>2</v>
      </c>
      <c r="Q501">
        <v>3</v>
      </c>
      <c r="R501">
        <v>7104</v>
      </c>
      <c r="S501">
        <v>6</v>
      </c>
      <c r="T501">
        <v>3</v>
      </c>
      <c r="U501">
        <v>5</v>
      </c>
      <c r="V501">
        <v>0</v>
      </c>
      <c r="W501">
        <v>1</v>
      </c>
      <c r="X501">
        <v>2</v>
      </c>
      <c r="Y501">
        <f>IF(HR_data[[#This Row],[Attrition]]= "Yes",1,0)</f>
        <v>0</v>
      </c>
    </row>
    <row r="502" spans="1:25">
      <c r="A502">
        <v>501</v>
      </c>
      <c r="B502" t="s">
        <v>33</v>
      </c>
      <c r="C502" t="s">
        <v>25</v>
      </c>
      <c r="D502" t="s">
        <v>43</v>
      </c>
      <c r="E502" t="s">
        <v>36</v>
      </c>
      <c r="F502" t="s">
        <v>28</v>
      </c>
      <c r="G502">
        <v>1</v>
      </c>
      <c r="H502" t="s">
        <v>29</v>
      </c>
      <c r="I502" t="s">
        <v>38</v>
      </c>
      <c r="J502" t="s">
        <v>39</v>
      </c>
      <c r="K502" t="s">
        <v>24</v>
      </c>
      <c r="L502">
        <v>32</v>
      </c>
      <c r="M502">
        <v>9</v>
      </c>
      <c r="N502" t="s">
        <v>44</v>
      </c>
      <c r="O502">
        <v>1</v>
      </c>
      <c r="P502">
        <v>2</v>
      </c>
      <c r="Q502">
        <v>4</v>
      </c>
      <c r="R502">
        <v>6322</v>
      </c>
      <c r="S502">
        <v>6</v>
      </c>
      <c r="T502">
        <v>2</v>
      </c>
      <c r="U502">
        <v>6</v>
      </c>
      <c r="V502">
        <v>4</v>
      </c>
      <c r="W502">
        <v>0</v>
      </c>
      <c r="X502">
        <v>5</v>
      </c>
      <c r="Y502">
        <f>IF(HR_data[[#This Row],[Attrition]]= "Yes",1,0)</f>
        <v>0</v>
      </c>
    </row>
    <row r="503" spans="1:25">
      <c r="A503">
        <v>502</v>
      </c>
      <c r="B503" t="s">
        <v>33</v>
      </c>
      <c r="C503" t="s">
        <v>34</v>
      </c>
      <c r="D503" t="s">
        <v>43</v>
      </c>
      <c r="E503" t="s">
        <v>36</v>
      </c>
      <c r="F503" t="s">
        <v>45</v>
      </c>
      <c r="G503">
        <v>1</v>
      </c>
      <c r="H503" t="s">
        <v>29</v>
      </c>
      <c r="I503" t="s">
        <v>38</v>
      </c>
      <c r="J503" t="s">
        <v>48</v>
      </c>
      <c r="K503" t="s">
        <v>33</v>
      </c>
      <c r="L503">
        <v>30</v>
      </c>
      <c r="M503">
        <v>3</v>
      </c>
      <c r="N503" t="s">
        <v>47</v>
      </c>
      <c r="O503">
        <v>3</v>
      </c>
      <c r="P503">
        <v>1</v>
      </c>
      <c r="Q503">
        <v>3</v>
      </c>
      <c r="R503">
        <v>2083</v>
      </c>
      <c r="S503">
        <v>1</v>
      </c>
      <c r="T503">
        <v>3</v>
      </c>
      <c r="U503">
        <v>1</v>
      </c>
      <c r="V503">
        <v>0</v>
      </c>
      <c r="W503">
        <v>0</v>
      </c>
      <c r="X503">
        <v>0</v>
      </c>
      <c r="Y503">
        <f>IF(HR_data[[#This Row],[Attrition]]= "Yes",1,0)</f>
        <v>0</v>
      </c>
    </row>
    <row r="504" spans="1:25">
      <c r="A504">
        <v>503</v>
      </c>
      <c r="B504" t="s">
        <v>33</v>
      </c>
      <c r="C504" t="s">
        <v>25</v>
      </c>
      <c r="D504" t="s">
        <v>35</v>
      </c>
      <c r="E504" t="s">
        <v>27</v>
      </c>
      <c r="F504" t="s">
        <v>45</v>
      </c>
      <c r="G504">
        <v>1</v>
      </c>
      <c r="H504" t="s">
        <v>29</v>
      </c>
      <c r="I504" t="s">
        <v>30</v>
      </c>
      <c r="J504" t="s">
        <v>31</v>
      </c>
      <c r="K504" t="s">
        <v>33</v>
      </c>
      <c r="L504">
        <v>53</v>
      </c>
      <c r="M504">
        <v>1</v>
      </c>
      <c r="N504" t="s">
        <v>40</v>
      </c>
      <c r="O504">
        <v>4</v>
      </c>
      <c r="P504">
        <v>2</v>
      </c>
      <c r="Q504">
        <v>1</v>
      </c>
      <c r="R504">
        <v>8381</v>
      </c>
      <c r="S504">
        <v>18</v>
      </c>
      <c r="T504">
        <v>4</v>
      </c>
      <c r="U504">
        <v>14</v>
      </c>
      <c r="V504">
        <v>7</v>
      </c>
      <c r="W504">
        <v>8</v>
      </c>
      <c r="X504">
        <v>10</v>
      </c>
      <c r="Y504">
        <f>IF(HR_data[[#This Row],[Attrition]]= "Yes",1,0)</f>
        <v>0</v>
      </c>
    </row>
    <row r="505" spans="1:25">
      <c r="A505">
        <v>504</v>
      </c>
      <c r="B505" t="s">
        <v>33</v>
      </c>
      <c r="C505" t="s">
        <v>25</v>
      </c>
      <c r="D505" t="s">
        <v>43</v>
      </c>
      <c r="E505" t="s">
        <v>36</v>
      </c>
      <c r="F505" t="s">
        <v>28</v>
      </c>
      <c r="G505">
        <v>1</v>
      </c>
      <c r="H505" t="s">
        <v>37</v>
      </c>
      <c r="I505" t="s">
        <v>38</v>
      </c>
      <c r="J505" t="s">
        <v>39</v>
      </c>
      <c r="K505" t="s">
        <v>33</v>
      </c>
      <c r="L505">
        <v>34</v>
      </c>
      <c r="M505">
        <v>1</v>
      </c>
      <c r="N505" t="s">
        <v>58</v>
      </c>
      <c r="O505">
        <v>2</v>
      </c>
      <c r="P505">
        <v>1</v>
      </c>
      <c r="Q505">
        <v>4</v>
      </c>
      <c r="R505">
        <v>2691</v>
      </c>
      <c r="S505">
        <v>10</v>
      </c>
      <c r="T505">
        <v>2</v>
      </c>
      <c r="U505">
        <v>10</v>
      </c>
      <c r="V505">
        <v>9</v>
      </c>
      <c r="W505">
        <v>8</v>
      </c>
      <c r="X505">
        <v>8</v>
      </c>
      <c r="Y505">
        <f>IF(HR_data[[#This Row],[Attrition]]= "Yes",1,0)</f>
        <v>0</v>
      </c>
    </row>
    <row r="506" spans="1:25">
      <c r="A506">
        <v>505</v>
      </c>
      <c r="B506" t="s">
        <v>24</v>
      </c>
      <c r="C506" t="s">
        <v>34</v>
      </c>
      <c r="D506" t="s">
        <v>35</v>
      </c>
      <c r="E506" t="s">
        <v>27</v>
      </c>
      <c r="F506" t="s">
        <v>28</v>
      </c>
      <c r="G506">
        <v>1</v>
      </c>
      <c r="H506" t="s">
        <v>29</v>
      </c>
      <c r="I506" t="s">
        <v>30</v>
      </c>
      <c r="J506" t="s">
        <v>39</v>
      </c>
      <c r="K506" t="s">
        <v>33</v>
      </c>
      <c r="L506">
        <v>45</v>
      </c>
      <c r="M506">
        <v>26</v>
      </c>
      <c r="N506" t="s">
        <v>44</v>
      </c>
      <c r="O506">
        <v>1</v>
      </c>
      <c r="P506">
        <v>2</v>
      </c>
      <c r="Q506">
        <v>1</v>
      </c>
      <c r="R506">
        <v>4286</v>
      </c>
      <c r="S506">
        <v>5</v>
      </c>
      <c r="T506">
        <v>3</v>
      </c>
      <c r="U506">
        <v>1</v>
      </c>
      <c r="V506">
        <v>1</v>
      </c>
      <c r="W506">
        <v>0</v>
      </c>
      <c r="X506">
        <v>0</v>
      </c>
      <c r="Y506">
        <f>IF(HR_data[[#This Row],[Attrition]]= "Yes",1,0)</f>
        <v>1</v>
      </c>
    </row>
    <row r="507" spans="1:25">
      <c r="A507">
        <v>506</v>
      </c>
      <c r="B507" t="s">
        <v>33</v>
      </c>
      <c r="C507" t="s">
        <v>25</v>
      </c>
      <c r="D507" t="s">
        <v>43</v>
      </c>
      <c r="E507" t="s">
        <v>36</v>
      </c>
      <c r="F507" t="s">
        <v>28</v>
      </c>
      <c r="G507">
        <v>1</v>
      </c>
      <c r="H507" t="s">
        <v>29</v>
      </c>
      <c r="I507" t="s">
        <v>42</v>
      </c>
      <c r="J507" t="s">
        <v>39</v>
      </c>
      <c r="K507" t="s">
        <v>24</v>
      </c>
      <c r="L507">
        <v>26</v>
      </c>
      <c r="M507">
        <v>6</v>
      </c>
      <c r="N507" t="s">
        <v>47</v>
      </c>
      <c r="O507">
        <v>3</v>
      </c>
      <c r="P507">
        <v>1</v>
      </c>
      <c r="Q507">
        <v>4</v>
      </c>
      <c r="R507">
        <v>2659</v>
      </c>
      <c r="S507">
        <v>3</v>
      </c>
      <c r="T507">
        <v>3</v>
      </c>
      <c r="U507">
        <v>3</v>
      </c>
      <c r="V507">
        <v>2</v>
      </c>
      <c r="W507">
        <v>0</v>
      </c>
      <c r="X507">
        <v>2</v>
      </c>
      <c r="Y507">
        <f>IF(HR_data[[#This Row],[Attrition]]= "Yes",1,0)</f>
        <v>0</v>
      </c>
    </row>
    <row r="508" spans="1:25">
      <c r="A508">
        <v>507</v>
      </c>
      <c r="B508" t="s">
        <v>33</v>
      </c>
      <c r="C508" t="s">
        <v>25</v>
      </c>
      <c r="D508" t="s">
        <v>26</v>
      </c>
      <c r="E508" t="s">
        <v>36</v>
      </c>
      <c r="F508" t="s">
        <v>41</v>
      </c>
      <c r="G508">
        <v>1</v>
      </c>
      <c r="H508" t="s">
        <v>37</v>
      </c>
      <c r="I508" t="s">
        <v>49</v>
      </c>
      <c r="J508" t="s">
        <v>39</v>
      </c>
      <c r="K508" t="s">
        <v>33</v>
      </c>
      <c r="L508">
        <v>37</v>
      </c>
      <c r="M508">
        <v>3</v>
      </c>
      <c r="N508" t="s">
        <v>47</v>
      </c>
      <c r="O508">
        <v>3</v>
      </c>
      <c r="P508">
        <v>3</v>
      </c>
      <c r="Q508">
        <v>3</v>
      </c>
      <c r="R508">
        <v>9434</v>
      </c>
      <c r="S508">
        <v>10</v>
      </c>
      <c r="T508">
        <v>3</v>
      </c>
      <c r="U508">
        <v>10</v>
      </c>
      <c r="V508">
        <v>7</v>
      </c>
      <c r="W508">
        <v>7</v>
      </c>
      <c r="X508">
        <v>8</v>
      </c>
      <c r="Y508">
        <f>IF(HR_data[[#This Row],[Attrition]]= "Yes",1,0)</f>
        <v>0</v>
      </c>
    </row>
    <row r="509" spans="1:25">
      <c r="A509">
        <v>508</v>
      </c>
      <c r="B509" t="s">
        <v>33</v>
      </c>
      <c r="C509" t="s">
        <v>25</v>
      </c>
      <c r="D509" t="s">
        <v>43</v>
      </c>
      <c r="E509" t="s">
        <v>27</v>
      </c>
      <c r="F509" t="s">
        <v>45</v>
      </c>
      <c r="G509">
        <v>1</v>
      </c>
      <c r="H509" t="s">
        <v>29</v>
      </c>
      <c r="I509" t="s">
        <v>30</v>
      </c>
      <c r="J509" t="s">
        <v>39</v>
      </c>
      <c r="K509" t="s">
        <v>33</v>
      </c>
      <c r="L509">
        <v>29</v>
      </c>
      <c r="M509">
        <v>3</v>
      </c>
      <c r="N509" t="s">
        <v>32</v>
      </c>
      <c r="O509">
        <v>2</v>
      </c>
      <c r="P509">
        <v>2</v>
      </c>
      <c r="Q509">
        <v>3</v>
      </c>
      <c r="R509">
        <v>5561</v>
      </c>
      <c r="S509">
        <v>6</v>
      </c>
      <c r="T509">
        <v>2</v>
      </c>
      <c r="U509">
        <v>6</v>
      </c>
      <c r="V509">
        <v>0</v>
      </c>
      <c r="W509">
        <v>1</v>
      </c>
      <c r="X509">
        <v>2</v>
      </c>
      <c r="Y509">
        <f>IF(HR_data[[#This Row],[Attrition]]= "Yes",1,0)</f>
        <v>0</v>
      </c>
    </row>
    <row r="510" spans="1:25">
      <c r="A510">
        <v>509</v>
      </c>
      <c r="B510" t="s">
        <v>33</v>
      </c>
      <c r="C510" t="s">
        <v>25</v>
      </c>
      <c r="D510" t="s">
        <v>26</v>
      </c>
      <c r="E510" t="s">
        <v>36</v>
      </c>
      <c r="F510" t="s">
        <v>28</v>
      </c>
      <c r="G510">
        <v>1</v>
      </c>
      <c r="H510" t="s">
        <v>37</v>
      </c>
      <c r="I510" t="s">
        <v>38</v>
      </c>
      <c r="J510" t="s">
        <v>31</v>
      </c>
      <c r="K510" t="s">
        <v>33</v>
      </c>
      <c r="L510">
        <v>35</v>
      </c>
      <c r="M510">
        <v>6</v>
      </c>
      <c r="N510" t="s">
        <v>44</v>
      </c>
      <c r="O510">
        <v>2</v>
      </c>
      <c r="P510">
        <v>2</v>
      </c>
      <c r="Q510">
        <v>4</v>
      </c>
      <c r="R510">
        <v>6646</v>
      </c>
      <c r="S510">
        <v>17</v>
      </c>
      <c r="T510">
        <v>3</v>
      </c>
      <c r="U510">
        <v>17</v>
      </c>
      <c r="V510">
        <v>11</v>
      </c>
      <c r="W510">
        <v>11</v>
      </c>
      <c r="X510">
        <v>8</v>
      </c>
      <c r="Y510">
        <f>IF(HR_data[[#This Row],[Attrition]]= "Yes",1,0)</f>
        <v>0</v>
      </c>
    </row>
    <row r="511" spans="1:25">
      <c r="A511">
        <v>510</v>
      </c>
      <c r="B511" t="s">
        <v>33</v>
      </c>
      <c r="C511" t="s">
        <v>34</v>
      </c>
      <c r="D511" t="s">
        <v>43</v>
      </c>
      <c r="E511" t="s">
        <v>36</v>
      </c>
      <c r="F511" t="s">
        <v>28</v>
      </c>
      <c r="G511">
        <v>1</v>
      </c>
      <c r="H511" t="s">
        <v>37</v>
      </c>
      <c r="I511" t="s">
        <v>50</v>
      </c>
      <c r="J511" t="s">
        <v>48</v>
      </c>
      <c r="K511" t="s">
        <v>33</v>
      </c>
      <c r="L511">
        <v>33</v>
      </c>
      <c r="M511">
        <v>6</v>
      </c>
      <c r="N511" t="s">
        <v>47</v>
      </c>
      <c r="O511">
        <v>3</v>
      </c>
      <c r="P511">
        <v>2</v>
      </c>
      <c r="Q511">
        <v>4</v>
      </c>
      <c r="R511">
        <v>7725</v>
      </c>
      <c r="S511">
        <v>15</v>
      </c>
      <c r="T511">
        <v>1</v>
      </c>
      <c r="U511">
        <v>13</v>
      </c>
      <c r="V511">
        <v>11</v>
      </c>
      <c r="W511">
        <v>4</v>
      </c>
      <c r="X511">
        <v>7</v>
      </c>
      <c r="Y511">
        <f>IF(HR_data[[#This Row],[Attrition]]= "Yes",1,0)</f>
        <v>0</v>
      </c>
    </row>
    <row r="512" spans="1:25">
      <c r="A512">
        <v>511</v>
      </c>
      <c r="B512" t="s">
        <v>33</v>
      </c>
      <c r="C512" t="s">
        <v>25</v>
      </c>
      <c r="D512" t="s">
        <v>35</v>
      </c>
      <c r="E512" t="s">
        <v>59</v>
      </c>
      <c r="F512" t="s">
        <v>45</v>
      </c>
      <c r="G512">
        <v>1</v>
      </c>
      <c r="H512" t="s">
        <v>37</v>
      </c>
      <c r="I512" t="s">
        <v>60</v>
      </c>
      <c r="J512" t="s">
        <v>39</v>
      </c>
      <c r="K512" t="s">
        <v>33</v>
      </c>
      <c r="L512">
        <v>54</v>
      </c>
      <c r="M512">
        <v>19</v>
      </c>
      <c r="N512" t="s">
        <v>44</v>
      </c>
      <c r="O512">
        <v>3</v>
      </c>
      <c r="P512">
        <v>3</v>
      </c>
      <c r="Q512">
        <v>2</v>
      </c>
      <c r="R512">
        <v>10725</v>
      </c>
      <c r="S512">
        <v>16</v>
      </c>
      <c r="T512">
        <v>4</v>
      </c>
      <c r="U512">
        <v>9</v>
      </c>
      <c r="V512">
        <v>7</v>
      </c>
      <c r="W512">
        <v>7</v>
      </c>
      <c r="X512">
        <v>1</v>
      </c>
      <c r="Y512">
        <f>IF(HR_data[[#This Row],[Attrition]]= "Yes",1,0)</f>
        <v>0</v>
      </c>
    </row>
    <row r="513" spans="1:25">
      <c r="A513">
        <v>512</v>
      </c>
      <c r="B513" t="s">
        <v>33</v>
      </c>
      <c r="C513" t="s">
        <v>25</v>
      </c>
      <c r="D513" t="s">
        <v>26</v>
      </c>
      <c r="E513" t="s">
        <v>36</v>
      </c>
      <c r="F513" t="s">
        <v>45</v>
      </c>
      <c r="G513">
        <v>1</v>
      </c>
      <c r="H513" t="s">
        <v>37</v>
      </c>
      <c r="I513" t="s">
        <v>49</v>
      </c>
      <c r="J513" t="s">
        <v>48</v>
      </c>
      <c r="K513" t="s">
        <v>24</v>
      </c>
      <c r="L513">
        <v>36</v>
      </c>
      <c r="M513">
        <v>9</v>
      </c>
      <c r="N513" t="s">
        <v>32</v>
      </c>
      <c r="O513">
        <v>2</v>
      </c>
      <c r="P513">
        <v>2</v>
      </c>
      <c r="Q513">
        <v>2</v>
      </c>
      <c r="R513">
        <v>8847</v>
      </c>
      <c r="S513">
        <v>13</v>
      </c>
      <c r="T513">
        <v>3</v>
      </c>
      <c r="U513">
        <v>3</v>
      </c>
      <c r="V513">
        <v>2</v>
      </c>
      <c r="W513">
        <v>0</v>
      </c>
      <c r="X513">
        <v>2</v>
      </c>
      <c r="Y513">
        <f>IF(HR_data[[#This Row],[Attrition]]= "Yes",1,0)</f>
        <v>0</v>
      </c>
    </row>
    <row r="514" spans="1:25">
      <c r="A514">
        <v>513</v>
      </c>
      <c r="B514" t="s">
        <v>33</v>
      </c>
      <c r="C514" t="s">
        <v>25</v>
      </c>
      <c r="D514" t="s">
        <v>43</v>
      </c>
      <c r="E514" t="s">
        <v>36</v>
      </c>
      <c r="F514" t="s">
        <v>45</v>
      </c>
      <c r="G514">
        <v>1</v>
      </c>
      <c r="H514" t="s">
        <v>37</v>
      </c>
      <c r="I514" t="s">
        <v>38</v>
      </c>
      <c r="J514" t="s">
        <v>31</v>
      </c>
      <c r="K514" t="s">
        <v>33</v>
      </c>
      <c r="L514">
        <v>27</v>
      </c>
      <c r="M514">
        <v>3</v>
      </c>
      <c r="N514" t="s">
        <v>44</v>
      </c>
      <c r="O514">
        <v>1</v>
      </c>
      <c r="P514">
        <v>1</v>
      </c>
      <c r="Q514">
        <v>4</v>
      </c>
      <c r="R514">
        <v>2045</v>
      </c>
      <c r="S514">
        <v>5</v>
      </c>
      <c r="T514">
        <v>3</v>
      </c>
      <c r="U514">
        <v>4</v>
      </c>
      <c r="V514">
        <v>2</v>
      </c>
      <c r="W514">
        <v>1</v>
      </c>
      <c r="X514">
        <v>1</v>
      </c>
      <c r="Y514">
        <f>IF(HR_data[[#This Row],[Attrition]]= "Yes",1,0)</f>
        <v>0</v>
      </c>
    </row>
    <row r="515" spans="1:25">
      <c r="A515">
        <v>514</v>
      </c>
      <c r="B515" t="s">
        <v>24</v>
      </c>
      <c r="C515" t="s">
        <v>25</v>
      </c>
      <c r="D515" t="s">
        <v>52</v>
      </c>
      <c r="E515" t="s">
        <v>36</v>
      </c>
      <c r="F515" t="s">
        <v>45</v>
      </c>
      <c r="G515">
        <v>1</v>
      </c>
      <c r="H515" t="s">
        <v>37</v>
      </c>
      <c r="I515" t="s">
        <v>38</v>
      </c>
      <c r="J515" t="s">
        <v>31</v>
      </c>
      <c r="K515" t="s">
        <v>24</v>
      </c>
      <c r="L515">
        <v>20</v>
      </c>
      <c r="M515">
        <v>10</v>
      </c>
      <c r="N515" t="s">
        <v>40</v>
      </c>
      <c r="O515">
        <v>4</v>
      </c>
      <c r="P515">
        <v>1</v>
      </c>
      <c r="Q515">
        <v>3</v>
      </c>
      <c r="R515">
        <v>1009</v>
      </c>
      <c r="S515">
        <v>1</v>
      </c>
      <c r="T515">
        <v>3</v>
      </c>
      <c r="U515">
        <v>1</v>
      </c>
      <c r="V515">
        <v>0</v>
      </c>
      <c r="W515">
        <v>1</v>
      </c>
      <c r="X515">
        <v>1</v>
      </c>
      <c r="Y515">
        <f>IF(HR_data[[#This Row],[Attrition]]= "Yes",1,0)</f>
        <v>1</v>
      </c>
    </row>
    <row r="516" spans="1:25">
      <c r="A516">
        <v>515</v>
      </c>
      <c r="B516" t="s">
        <v>24</v>
      </c>
      <c r="C516" t="s">
        <v>34</v>
      </c>
      <c r="D516" t="s">
        <v>43</v>
      </c>
      <c r="E516" t="s">
        <v>36</v>
      </c>
      <c r="F516" t="s">
        <v>28</v>
      </c>
      <c r="G516">
        <v>1</v>
      </c>
      <c r="H516" t="s">
        <v>37</v>
      </c>
      <c r="I516" t="s">
        <v>38</v>
      </c>
      <c r="J516" t="s">
        <v>31</v>
      </c>
      <c r="K516" t="s">
        <v>24</v>
      </c>
      <c r="L516">
        <v>33</v>
      </c>
      <c r="M516">
        <v>3</v>
      </c>
      <c r="N516" t="s">
        <v>47</v>
      </c>
      <c r="O516">
        <v>1</v>
      </c>
      <c r="P516">
        <v>1</v>
      </c>
      <c r="Q516">
        <v>1</v>
      </c>
      <c r="R516">
        <v>3348</v>
      </c>
      <c r="S516">
        <v>10</v>
      </c>
      <c r="T516">
        <v>3</v>
      </c>
      <c r="U516">
        <v>10</v>
      </c>
      <c r="V516">
        <v>8</v>
      </c>
      <c r="W516">
        <v>9</v>
      </c>
      <c r="X516">
        <v>7</v>
      </c>
      <c r="Y516">
        <f>IF(HR_data[[#This Row],[Attrition]]= "Yes",1,0)</f>
        <v>1</v>
      </c>
    </row>
    <row r="517" spans="1:25">
      <c r="A517">
        <v>516</v>
      </c>
      <c r="B517" t="s">
        <v>33</v>
      </c>
      <c r="C517" t="s">
        <v>51</v>
      </c>
      <c r="D517" t="s">
        <v>26</v>
      </c>
      <c r="E517" t="s">
        <v>36</v>
      </c>
      <c r="F517" t="s">
        <v>28</v>
      </c>
      <c r="G517">
        <v>1</v>
      </c>
      <c r="H517" t="s">
        <v>37</v>
      </c>
      <c r="I517" t="s">
        <v>42</v>
      </c>
      <c r="J517" t="s">
        <v>39</v>
      </c>
      <c r="K517" t="s">
        <v>33</v>
      </c>
      <c r="L517">
        <v>35</v>
      </c>
      <c r="M517">
        <v>3</v>
      </c>
      <c r="N517" t="s">
        <v>47</v>
      </c>
      <c r="O517">
        <v>3</v>
      </c>
      <c r="P517">
        <v>1</v>
      </c>
      <c r="Q517">
        <v>3</v>
      </c>
      <c r="R517">
        <v>1281</v>
      </c>
      <c r="S517">
        <v>1</v>
      </c>
      <c r="T517">
        <v>3</v>
      </c>
      <c r="U517">
        <v>1</v>
      </c>
      <c r="V517">
        <v>0</v>
      </c>
      <c r="W517">
        <v>0</v>
      </c>
      <c r="X517">
        <v>0</v>
      </c>
      <c r="Y517">
        <f>IF(HR_data[[#This Row],[Attrition]]= "Yes",1,0)</f>
        <v>0</v>
      </c>
    </row>
    <row r="518" spans="1:25">
      <c r="A518">
        <v>517</v>
      </c>
      <c r="B518" t="s">
        <v>33</v>
      </c>
      <c r="C518" t="s">
        <v>25</v>
      </c>
      <c r="D518" t="s">
        <v>52</v>
      </c>
      <c r="E518" t="s">
        <v>36</v>
      </c>
      <c r="F518" t="s">
        <v>45</v>
      </c>
      <c r="G518">
        <v>1</v>
      </c>
      <c r="H518" t="s">
        <v>37</v>
      </c>
      <c r="I518" t="s">
        <v>38</v>
      </c>
      <c r="J518" t="s">
        <v>39</v>
      </c>
      <c r="K518" t="s">
        <v>33</v>
      </c>
      <c r="L518">
        <v>23</v>
      </c>
      <c r="M518">
        <v>4</v>
      </c>
      <c r="N518" t="s">
        <v>47</v>
      </c>
      <c r="O518">
        <v>1</v>
      </c>
      <c r="P518">
        <v>1</v>
      </c>
      <c r="Q518">
        <v>1</v>
      </c>
      <c r="R518">
        <v>2819</v>
      </c>
      <c r="S518">
        <v>5</v>
      </c>
      <c r="T518">
        <v>4</v>
      </c>
      <c r="U518">
        <v>3</v>
      </c>
      <c r="V518">
        <v>2</v>
      </c>
      <c r="W518">
        <v>0</v>
      </c>
      <c r="X518">
        <v>2</v>
      </c>
      <c r="Y518">
        <f>IF(HR_data[[#This Row],[Attrition]]= "Yes",1,0)</f>
        <v>0</v>
      </c>
    </row>
    <row r="519" spans="1:25">
      <c r="A519">
        <v>518</v>
      </c>
      <c r="B519" t="s">
        <v>33</v>
      </c>
      <c r="C519" t="s">
        <v>25</v>
      </c>
      <c r="D519" t="s">
        <v>43</v>
      </c>
      <c r="E519" t="s">
        <v>27</v>
      </c>
      <c r="F519" t="s">
        <v>28</v>
      </c>
      <c r="G519">
        <v>1</v>
      </c>
      <c r="H519" t="s">
        <v>37</v>
      </c>
      <c r="I519" t="s">
        <v>30</v>
      </c>
      <c r="J519" t="s">
        <v>39</v>
      </c>
      <c r="K519" t="s">
        <v>33</v>
      </c>
      <c r="L519">
        <v>25</v>
      </c>
      <c r="M519">
        <v>8</v>
      </c>
      <c r="N519" t="s">
        <v>47</v>
      </c>
      <c r="O519">
        <v>4</v>
      </c>
      <c r="P519">
        <v>2</v>
      </c>
      <c r="Q519">
        <v>2</v>
      </c>
      <c r="R519">
        <v>4851</v>
      </c>
      <c r="S519">
        <v>4</v>
      </c>
      <c r="T519">
        <v>3</v>
      </c>
      <c r="U519">
        <v>3</v>
      </c>
      <c r="V519">
        <v>2</v>
      </c>
      <c r="W519">
        <v>1</v>
      </c>
      <c r="X519">
        <v>2</v>
      </c>
      <c r="Y519">
        <f>IF(HR_data[[#This Row],[Attrition]]= "Yes",1,0)</f>
        <v>0</v>
      </c>
    </row>
    <row r="520" spans="1:25">
      <c r="A520">
        <v>519</v>
      </c>
      <c r="B520" t="s">
        <v>33</v>
      </c>
      <c r="C520" t="s">
        <v>25</v>
      </c>
      <c r="D520" t="s">
        <v>26</v>
      </c>
      <c r="E520" t="s">
        <v>27</v>
      </c>
      <c r="F520" t="s">
        <v>56</v>
      </c>
      <c r="G520">
        <v>1</v>
      </c>
      <c r="H520" t="s">
        <v>29</v>
      </c>
      <c r="I520" t="s">
        <v>30</v>
      </c>
      <c r="J520" t="s">
        <v>31</v>
      </c>
      <c r="K520" t="s">
        <v>33</v>
      </c>
      <c r="L520">
        <v>38</v>
      </c>
      <c r="M520">
        <v>7</v>
      </c>
      <c r="N520" t="s">
        <v>44</v>
      </c>
      <c r="O520">
        <v>4</v>
      </c>
      <c r="P520">
        <v>2</v>
      </c>
      <c r="Q520">
        <v>4</v>
      </c>
      <c r="R520">
        <v>4028</v>
      </c>
      <c r="S520">
        <v>8</v>
      </c>
      <c r="T520">
        <v>3</v>
      </c>
      <c r="U520">
        <v>7</v>
      </c>
      <c r="V520">
        <v>7</v>
      </c>
      <c r="W520">
        <v>0</v>
      </c>
      <c r="X520">
        <v>5</v>
      </c>
      <c r="Y520">
        <f>IF(HR_data[[#This Row],[Attrition]]= "Yes",1,0)</f>
        <v>0</v>
      </c>
    </row>
    <row r="521" spans="1:25">
      <c r="A521">
        <v>520</v>
      </c>
      <c r="B521" t="s">
        <v>33</v>
      </c>
      <c r="C521" t="s">
        <v>34</v>
      </c>
      <c r="D521" t="s">
        <v>43</v>
      </c>
      <c r="E521" t="s">
        <v>36</v>
      </c>
      <c r="F521" t="s">
        <v>28</v>
      </c>
      <c r="G521">
        <v>1</v>
      </c>
      <c r="H521" t="s">
        <v>37</v>
      </c>
      <c r="I521" t="s">
        <v>38</v>
      </c>
      <c r="J521" t="s">
        <v>48</v>
      </c>
      <c r="K521" t="s">
        <v>33</v>
      </c>
      <c r="L521">
        <v>29</v>
      </c>
      <c r="M521">
        <v>1</v>
      </c>
      <c r="N521" t="s">
        <v>44</v>
      </c>
      <c r="O521">
        <v>2</v>
      </c>
      <c r="P521">
        <v>1</v>
      </c>
      <c r="Q521">
        <v>4</v>
      </c>
      <c r="R521">
        <v>2720</v>
      </c>
      <c r="S521">
        <v>10</v>
      </c>
      <c r="T521">
        <v>3</v>
      </c>
      <c r="U521">
        <v>10</v>
      </c>
      <c r="V521">
        <v>7</v>
      </c>
      <c r="W521">
        <v>2</v>
      </c>
      <c r="X521">
        <v>8</v>
      </c>
      <c r="Y521">
        <f>IF(HR_data[[#This Row],[Attrition]]= "Yes",1,0)</f>
        <v>0</v>
      </c>
    </row>
    <row r="522" spans="1:25">
      <c r="A522">
        <v>521</v>
      </c>
      <c r="B522" t="s">
        <v>33</v>
      </c>
      <c r="C522" t="s">
        <v>25</v>
      </c>
      <c r="D522" t="s">
        <v>35</v>
      </c>
      <c r="E522" t="s">
        <v>27</v>
      </c>
      <c r="F522" t="s">
        <v>56</v>
      </c>
      <c r="G522">
        <v>1</v>
      </c>
      <c r="H522" t="s">
        <v>37</v>
      </c>
      <c r="I522" t="s">
        <v>30</v>
      </c>
      <c r="J522" t="s">
        <v>39</v>
      </c>
      <c r="K522" t="s">
        <v>33</v>
      </c>
      <c r="L522">
        <v>48</v>
      </c>
      <c r="M522">
        <v>2</v>
      </c>
      <c r="N522" t="s">
        <v>40</v>
      </c>
      <c r="O522">
        <v>2</v>
      </c>
      <c r="P522">
        <v>2</v>
      </c>
      <c r="Q522">
        <v>2</v>
      </c>
      <c r="R522">
        <v>8120</v>
      </c>
      <c r="S522">
        <v>12</v>
      </c>
      <c r="T522">
        <v>3</v>
      </c>
      <c r="U522">
        <v>2</v>
      </c>
      <c r="V522">
        <v>2</v>
      </c>
      <c r="W522">
        <v>2</v>
      </c>
      <c r="X522">
        <v>2</v>
      </c>
      <c r="Y522">
        <f>IF(HR_data[[#This Row],[Attrition]]= "Yes",1,0)</f>
        <v>0</v>
      </c>
    </row>
    <row r="523" spans="1:25">
      <c r="A523">
        <v>522</v>
      </c>
      <c r="B523" t="s">
        <v>33</v>
      </c>
      <c r="C523" t="s">
        <v>34</v>
      </c>
      <c r="D523" t="s">
        <v>43</v>
      </c>
      <c r="E523" t="s">
        <v>27</v>
      </c>
      <c r="F523" t="s">
        <v>45</v>
      </c>
      <c r="G523">
        <v>1</v>
      </c>
      <c r="H523" t="s">
        <v>29</v>
      </c>
      <c r="I523" t="s">
        <v>30</v>
      </c>
      <c r="J523" t="s">
        <v>48</v>
      </c>
      <c r="K523" t="s">
        <v>24</v>
      </c>
      <c r="L523">
        <v>27</v>
      </c>
      <c r="M523">
        <v>3</v>
      </c>
      <c r="N523" t="s">
        <v>40</v>
      </c>
      <c r="O523">
        <v>4</v>
      </c>
      <c r="P523">
        <v>2</v>
      </c>
      <c r="Q523">
        <v>4</v>
      </c>
      <c r="R523">
        <v>4647</v>
      </c>
      <c r="S523">
        <v>6</v>
      </c>
      <c r="T523">
        <v>3</v>
      </c>
      <c r="U523">
        <v>6</v>
      </c>
      <c r="V523">
        <v>5</v>
      </c>
      <c r="W523">
        <v>0</v>
      </c>
      <c r="X523">
        <v>4</v>
      </c>
      <c r="Y523">
        <f>IF(HR_data[[#This Row],[Attrition]]= "Yes",1,0)</f>
        <v>0</v>
      </c>
    </row>
    <row r="524" spans="1:25">
      <c r="A524">
        <v>523</v>
      </c>
      <c r="B524" t="s">
        <v>33</v>
      </c>
      <c r="C524" t="s">
        <v>25</v>
      </c>
      <c r="D524" t="s">
        <v>26</v>
      </c>
      <c r="E524" t="s">
        <v>36</v>
      </c>
      <c r="F524" t="s">
        <v>28</v>
      </c>
      <c r="G524">
        <v>1</v>
      </c>
      <c r="H524" t="s">
        <v>37</v>
      </c>
      <c r="I524" t="s">
        <v>38</v>
      </c>
      <c r="J524" t="s">
        <v>31</v>
      </c>
      <c r="K524" t="s">
        <v>33</v>
      </c>
      <c r="L524">
        <v>37</v>
      </c>
      <c r="M524">
        <v>10</v>
      </c>
      <c r="N524" t="s">
        <v>32</v>
      </c>
      <c r="O524">
        <v>4</v>
      </c>
      <c r="P524">
        <v>1</v>
      </c>
      <c r="Q524">
        <v>4</v>
      </c>
      <c r="R524">
        <v>4680</v>
      </c>
      <c r="S524">
        <v>4</v>
      </c>
      <c r="T524">
        <v>3</v>
      </c>
      <c r="U524">
        <v>1</v>
      </c>
      <c r="V524">
        <v>0</v>
      </c>
      <c r="W524">
        <v>0</v>
      </c>
      <c r="X524">
        <v>0</v>
      </c>
      <c r="Y524">
        <f>IF(HR_data[[#This Row],[Attrition]]= "Yes",1,0)</f>
        <v>0</v>
      </c>
    </row>
    <row r="525" spans="1:25">
      <c r="A525">
        <v>524</v>
      </c>
      <c r="B525" t="s">
        <v>33</v>
      </c>
      <c r="C525" t="s">
        <v>25</v>
      </c>
      <c r="D525" t="s">
        <v>35</v>
      </c>
      <c r="E525" t="s">
        <v>36</v>
      </c>
      <c r="F525" t="s">
        <v>45</v>
      </c>
      <c r="G525">
        <v>1</v>
      </c>
      <c r="H525" t="s">
        <v>37</v>
      </c>
      <c r="I525" t="s">
        <v>42</v>
      </c>
      <c r="J525" t="s">
        <v>39</v>
      </c>
      <c r="K525" t="s">
        <v>24</v>
      </c>
      <c r="L525">
        <v>50</v>
      </c>
      <c r="M525">
        <v>28</v>
      </c>
      <c r="N525" t="s">
        <v>40</v>
      </c>
      <c r="O525">
        <v>4</v>
      </c>
      <c r="P525">
        <v>1</v>
      </c>
      <c r="Q525">
        <v>3</v>
      </c>
      <c r="R525">
        <v>3221</v>
      </c>
      <c r="S525">
        <v>20</v>
      </c>
      <c r="T525">
        <v>3</v>
      </c>
      <c r="U525">
        <v>20</v>
      </c>
      <c r="V525">
        <v>8</v>
      </c>
      <c r="W525">
        <v>3</v>
      </c>
      <c r="X525">
        <v>8</v>
      </c>
      <c r="Y525">
        <f>IF(HR_data[[#This Row],[Attrition]]= "Yes",1,0)</f>
        <v>0</v>
      </c>
    </row>
    <row r="526" spans="1:25">
      <c r="A526">
        <v>525</v>
      </c>
      <c r="B526" t="s">
        <v>33</v>
      </c>
      <c r="C526" t="s">
        <v>25</v>
      </c>
      <c r="D526" t="s">
        <v>43</v>
      </c>
      <c r="E526" t="s">
        <v>36</v>
      </c>
      <c r="F526" t="s">
        <v>45</v>
      </c>
      <c r="G526">
        <v>1</v>
      </c>
      <c r="H526" t="s">
        <v>29</v>
      </c>
      <c r="I526" t="s">
        <v>50</v>
      </c>
      <c r="J526" t="s">
        <v>31</v>
      </c>
      <c r="K526" t="s">
        <v>33</v>
      </c>
      <c r="L526">
        <v>34</v>
      </c>
      <c r="M526">
        <v>9</v>
      </c>
      <c r="N526" t="s">
        <v>47</v>
      </c>
      <c r="O526">
        <v>4</v>
      </c>
      <c r="P526">
        <v>3</v>
      </c>
      <c r="Q526">
        <v>2</v>
      </c>
      <c r="R526">
        <v>8621</v>
      </c>
      <c r="S526">
        <v>9</v>
      </c>
      <c r="T526">
        <v>4</v>
      </c>
      <c r="U526">
        <v>8</v>
      </c>
      <c r="V526">
        <v>7</v>
      </c>
      <c r="W526">
        <v>7</v>
      </c>
      <c r="X526">
        <v>7</v>
      </c>
      <c r="Y526">
        <f>IF(HR_data[[#This Row],[Attrition]]= "Yes",1,0)</f>
        <v>0</v>
      </c>
    </row>
    <row r="527" spans="1:25">
      <c r="A527">
        <v>526</v>
      </c>
      <c r="B527" t="s">
        <v>24</v>
      </c>
      <c r="C527" t="s">
        <v>25</v>
      </c>
      <c r="D527" t="s">
        <v>52</v>
      </c>
      <c r="E527" t="s">
        <v>27</v>
      </c>
      <c r="F527" t="s">
        <v>28</v>
      </c>
      <c r="G527">
        <v>1</v>
      </c>
      <c r="H527" t="s">
        <v>29</v>
      </c>
      <c r="I527" t="s">
        <v>30</v>
      </c>
      <c r="J527" t="s">
        <v>31</v>
      </c>
      <c r="K527" t="s">
        <v>33</v>
      </c>
      <c r="L527">
        <v>24</v>
      </c>
      <c r="M527">
        <v>3</v>
      </c>
      <c r="N527" t="s">
        <v>32</v>
      </c>
      <c r="O527">
        <v>1</v>
      </c>
      <c r="P527">
        <v>2</v>
      </c>
      <c r="Q527">
        <v>3</v>
      </c>
      <c r="R527">
        <v>4577</v>
      </c>
      <c r="S527">
        <v>4</v>
      </c>
      <c r="T527">
        <v>3</v>
      </c>
      <c r="U527">
        <v>2</v>
      </c>
      <c r="V527">
        <v>2</v>
      </c>
      <c r="W527">
        <v>2</v>
      </c>
      <c r="X527">
        <v>0</v>
      </c>
      <c r="Y527">
        <f>IF(HR_data[[#This Row],[Attrition]]= "Yes",1,0)</f>
        <v>1</v>
      </c>
    </row>
    <row r="528" spans="1:25">
      <c r="A528">
        <v>527</v>
      </c>
      <c r="B528" t="s">
        <v>33</v>
      </c>
      <c r="C528" t="s">
        <v>25</v>
      </c>
      <c r="D528" t="s">
        <v>26</v>
      </c>
      <c r="E528" t="s">
        <v>36</v>
      </c>
      <c r="F528" t="s">
        <v>57</v>
      </c>
      <c r="G528">
        <v>1</v>
      </c>
      <c r="H528" t="s">
        <v>29</v>
      </c>
      <c r="I528" t="s">
        <v>50</v>
      </c>
      <c r="J528" t="s">
        <v>31</v>
      </c>
      <c r="K528" t="s">
        <v>33</v>
      </c>
      <c r="L528">
        <v>39</v>
      </c>
      <c r="M528">
        <v>2</v>
      </c>
      <c r="N528" t="s">
        <v>44</v>
      </c>
      <c r="O528">
        <v>4</v>
      </c>
      <c r="P528">
        <v>2</v>
      </c>
      <c r="Q528">
        <v>3</v>
      </c>
      <c r="R528">
        <v>4553</v>
      </c>
      <c r="S528">
        <v>20</v>
      </c>
      <c r="T528">
        <v>3</v>
      </c>
      <c r="U528">
        <v>20</v>
      </c>
      <c r="V528">
        <v>7</v>
      </c>
      <c r="W528">
        <v>11</v>
      </c>
      <c r="X528">
        <v>10</v>
      </c>
      <c r="Y528">
        <f>IF(HR_data[[#This Row],[Attrition]]= "Yes",1,0)</f>
        <v>0</v>
      </c>
    </row>
    <row r="529" spans="1:25">
      <c r="A529">
        <v>528</v>
      </c>
      <c r="B529" t="s">
        <v>33</v>
      </c>
      <c r="C529" t="s">
        <v>25</v>
      </c>
      <c r="D529" t="s">
        <v>43</v>
      </c>
      <c r="E529" t="s">
        <v>27</v>
      </c>
      <c r="F529" t="s">
        <v>56</v>
      </c>
      <c r="G529">
        <v>1</v>
      </c>
      <c r="H529" t="s">
        <v>37</v>
      </c>
      <c r="I529" t="s">
        <v>30</v>
      </c>
      <c r="J529" t="s">
        <v>31</v>
      </c>
      <c r="K529" t="s">
        <v>33</v>
      </c>
      <c r="L529">
        <v>32</v>
      </c>
      <c r="M529">
        <v>10</v>
      </c>
      <c r="N529" t="s">
        <v>47</v>
      </c>
      <c r="O529">
        <v>4</v>
      </c>
      <c r="P529">
        <v>2</v>
      </c>
      <c r="Q529">
        <v>4</v>
      </c>
      <c r="R529">
        <v>5396</v>
      </c>
      <c r="S529">
        <v>10</v>
      </c>
      <c r="T529">
        <v>2</v>
      </c>
      <c r="U529">
        <v>10</v>
      </c>
      <c r="V529">
        <v>7</v>
      </c>
      <c r="W529">
        <v>0</v>
      </c>
      <c r="X529">
        <v>8</v>
      </c>
      <c r="Y529">
        <f>IF(HR_data[[#This Row],[Attrition]]= "Yes",1,0)</f>
        <v>0</v>
      </c>
    </row>
    <row r="530" spans="1:25">
      <c r="A530">
        <v>529</v>
      </c>
      <c r="B530" t="s">
        <v>24</v>
      </c>
      <c r="C530" t="s">
        <v>34</v>
      </c>
      <c r="D530" t="s">
        <v>35</v>
      </c>
      <c r="E530" t="s">
        <v>27</v>
      </c>
      <c r="F530" t="s">
        <v>57</v>
      </c>
      <c r="G530">
        <v>1</v>
      </c>
      <c r="H530" t="s">
        <v>37</v>
      </c>
      <c r="I530" t="s">
        <v>30</v>
      </c>
      <c r="J530" t="s">
        <v>39</v>
      </c>
      <c r="K530" t="s">
        <v>24</v>
      </c>
      <c r="L530">
        <v>50</v>
      </c>
      <c r="M530">
        <v>8</v>
      </c>
      <c r="N530" t="s">
        <v>32</v>
      </c>
      <c r="O530">
        <v>2</v>
      </c>
      <c r="P530">
        <v>2</v>
      </c>
      <c r="Q530">
        <v>3</v>
      </c>
      <c r="R530">
        <v>6796</v>
      </c>
      <c r="S530">
        <v>18</v>
      </c>
      <c r="T530">
        <v>3</v>
      </c>
      <c r="U530">
        <v>4</v>
      </c>
      <c r="V530">
        <v>3</v>
      </c>
      <c r="W530">
        <v>1</v>
      </c>
      <c r="X530">
        <v>3</v>
      </c>
      <c r="Y530">
        <f>IF(HR_data[[#This Row],[Attrition]]= "Yes",1,0)</f>
        <v>1</v>
      </c>
    </row>
    <row r="531" spans="1:25">
      <c r="A531">
        <v>530</v>
      </c>
      <c r="B531" t="s">
        <v>33</v>
      </c>
      <c r="C531" t="s">
        <v>25</v>
      </c>
      <c r="D531" t="s">
        <v>26</v>
      </c>
      <c r="E531" t="s">
        <v>36</v>
      </c>
      <c r="F531" t="s">
        <v>28</v>
      </c>
      <c r="G531">
        <v>1</v>
      </c>
      <c r="H531" t="s">
        <v>29</v>
      </c>
      <c r="I531" t="s">
        <v>50</v>
      </c>
      <c r="J531" t="s">
        <v>31</v>
      </c>
      <c r="K531" t="s">
        <v>33</v>
      </c>
      <c r="L531">
        <v>38</v>
      </c>
      <c r="M531">
        <v>1</v>
      </c>
      <c r="N531" t="s">
        <v>44</v>
      </c>
      <c r="O531">
        <v>2</v>
      </c>
      <c r="P531">
        <v>2</v>
      </c>
      <c r="Q531">
        <v>4</v>
      </c>
      <c r="R531">
        <v>7625</v>
      </c>
      <c r="S531">
        <v>10</v>
      </c>
      <c r="T531">
        <v>2</v>
      </c>
      <c r="U531">
        <v>9</v>
      </c>
      <c r="V531">
        <v>7</v>
      </c>
      <c r="W531">
        <v>1</v>
      </c>
      <c r="X531">
        <v>8</v>
      </c>
      <c r="Y531">
        <f>IF(HR_data[[#This Row],[Attrition]]= "Yes",1,0)</f>
        <v>0</v>
      </c>
    </row>
    <row r="532" spans="1:25">
      <c r="A532">
        <v>531</v>
      </c>
      <c r="B532" t="s">
        <v>33</v>
      </c>
      <c r="C532" t="s">
        <v>25</v>
      </c>
      <c r="D532" t="s">
        <v>43</v>
      </c>
      <c r="E532" t="s">
        <v>36</v>
      </c>
      <c r="F532" t="s">
        <v>28</v>
      </c>
      <c r="G532">
        <v>1</v>
      </c>
      <c r="H532" t="s">
        <v>29</v>
      </c>
      <c r="I532" t="s">
        <v>49</v>
      </c>
      <c r="J532" t="s">
        <v>39</v>
      </c>
      <c r="K532" t="s">
        <v>33</v>
      </c>
      <c r="L532">
        <v>27</v>
      </c>
      <c r="M532">
        <v>1</v>
      </c>
      <c r="N532" t="s">
        <v>32</v>
      </c>
      <c r="O532">
        <v>3</v>
      </c>
      <c r="P532">
        <v>3</v>
      </c>
      <c r="Q532">
        <v>1</v>
      </c>
      <c r="R532">
        <v>7412</v>
      </c>
      <c r="S532">
        <v>9</v>
      </c>
      <c r="T532">
        <v>3</v>
      </c>
      <c r="U532">
        <v>9</v>
      </c>
      <c r="V532">
        <v>7</v>
      </c>
      <c r="W532">
        <v>0</v>
      </c>
      <c r="X532">
        <v>7</v>
      </c>
      <c r="Y532">
        <f>IF(HR_data[[#This Row],[Attrition]]= "Yes",1,0)</f>
        <v>0</v>
      </c>
    </row>
    <row r="533" spans="1:25">
      <c r="A533">
        <v>532</v>
      </c>
      <c r="B533" t="s">
        <v>33</v>
      </c>
      <c r="C533" t="s">
        <v>25</v>
      </c>
      <c r="D533" t="s">
        <v>43</v>
      </c>
      <c r="E533" t="s">
        <v>36</v>
      </c>
      <c r="F533" t="s">
        <v>28</v>
      </c>
      <c r="G533">
        <v>1</v>
      </c>
      <c r="H533" t="s">
        <v>29</v>
      </c>
      <c r="I533" t="s">
        <v>55</v>
      </c>
      <c r="J533" t="s">
        <v>31</v>
      </c>
      <c r="K533" t="s">
        <v>33</v>
      </c>
      <c r="L533">
        <v>32</v>
      </c>
      <c r="M533">
        <v>3</v>
      </c>
      <c r="N533" t="s">
        <v>32</v>
      </c>
      <c r="O533">
        <v>3</v>
      </c>
      <c r="P533">
        <v>3</v>
      </c>
      <c r="Q533">
        <v>4</v>
      </c>
      <c r="R533">
        <v>11159</v>
      </c>
      <c r="S533">
        <v>10</v>
      </c>
      <c r="T533">
        <v>3</v>
      </c>
      <c r="U533">
        <v>7</v>
      </c>
      <c r="V533">
        <v>7</v>
      </c>
      <c r="W533">
        <v>7</v>
      </c>
      <c r="X533">
        <v>7</v>
      </c>
      <c r="Y533">
        <f>IF(HR_data[[#This Row],[Attrition]]= "Yes",1,0)</f>
        <v>0</v>
      </c>
    </row>
    <row r="534" spans="1:25">
      <c r="A534">
        <v>533</v>
      </c>
      <c r="B534" t="s">
        <v>33</v>
      </c>
      <c r="C534" t="s">
        <v>25</v>
      </c>
      <c r="D534" t="s">
        <v>35</v>
      </c>
      <c r="E534" t="s">
        <v>27</v>
      </c>
      <c r="F534" t="s">
        <v>56</v>
      </c>
      <c r="G534">
        <v>1</v>
      </c>
      <c r="H534" t="s">
        <v>37</v>
      </c>
      <c r="I534" t="s">
        <v>30</v>
      </c>
      <c r="J534" t="s">
        <v>31</v>
      </c>
      <c r="K534" t="s">
        <v>33</v>
      </c>
      <c r="L534">
        <v>47</v>
      </c>
      <c r="M534">
        <v>14</v>
      </c>
      <c r="N534" t="s">
        <v>44</v>
      </c>
      <c r="O534">
        <v>4</v>
      </c>
      <c r="P534">
        <v>2</v>
      </c>
      <c r="Q534">
        <v>1</v>
      </c>
      <c r="R534">
        <v>4960</v>
      </c>
      <c r="S534">
        <v>20</v>
      </c>
      <c r="T534">
        <v>3</v>
      </c>
      <c r="U534">
        <v>7</v>
      </c>
      <c r="V534">
        <v>7</v>
      </c>
      <c r="W534">
        <v>1</v>
      </c>
      <c r="X534">
        <v>7</v>
      </c>
      <c r="Y534">
        <f>IF(HR_data[[#This Row],[Attrition]]= "Yes",1,0)</f>
        <v>0</v>
      </c>
    </row>
    <row r="535" spans="1:25">
      <c r="A535">
        <v>534</v>
      </c>
      <c r="B535" t="s">
        <v>33</v>
      </c>
      <c r="C535" t="s">
        <v>34</v>
      </c>
      <c r="D535" t="s">
        <v>26</v>
      </c>
      <c r="E535" t="s">
        <v>27</v>
      </c>
      <c r="F535" t="s">
        <v>28</v>
      </c>
      <c r="G535">
        <v>1</v>
      </c>
      <c r="H535" t="s">
        <v>37</v>
      </c>
      <c r="I535" t="s">
        <v>30</v>
      </c>
      <c r="J535" t="s">
        <v>39</v>
      </c>
      <c r="K535" t="s">
        <v>24</v>
      </c>
      <c r="L535">
        <v>40</v>
      </c>
      <c r="M535">
        <v>5</v>
      </c>
      <c r="N535" t="s">
        <v>44</v>
      </c>
      <c r="O535">
        <v>4</v>
      </c>
      <c r="P535">
        <v>3</v>
      </c>
      <c r="Q535">
        <v>1</v>
      </c>
      <c r="R535">
        <v>10475</v>
      </c>
      <c r="S535">
        <v>20</v>
      </c>
      <c r="T535">
        <v>3</v>
      </c>
      <c r="U535">
        <v>18</v>
      </c>
      <c r="V535">
        <v>13</v>
      </c>
      <c r="W535">
        <v>1</v>
      </c>
      <c r="X535">
        <v>12</v>
      </c>
      <c r="Y535">
        <f>IF(HR_data[[#This Row],[Attrition]]= "Yes",1,0)</f>
        <v>0</v>
      </c>
    </row>
    <row r="536" spans="1:25">
      <c r="A536">
        <v>535</v>
      </c>
      <c r="B536" t="s">
        <v>33</v>
      </c>
      <c r="C536" t="s">
        <v>25</v>
      </c>
      <c r="D536" t="s">
        <v>35</v>
      </c>
      <c r="E536" t="s">
        <v>36</v>
      </c>
      <c r="F536" t="s">
        <v>28</v>
      </c>
      <c r="G536">
        <v>1</v>
      </c>
      <c r="H536" t="s">
        <v>37</v>
      </c>
      <c r="I536" t="s">
        <v>55</v>
      </c>
      <c r="J536" t="s">
        <v>39</v>
      </c>
      <c r="K536" t="s">
        <v>33</v>
      </c>
      <c r="L536">
        <v>53</v>
      </c>
      <c r="M536">
        <v>7</v>
      </c>
      <c r="N536" t="s">
        <v>47</v>
      </c>
      <c r="O536">
        <v>3</v>
      </c>
      <c r="P536">
        <v>4</v>
      </c>
      <c r="Q536">
        <v>3</v>
      </c>
      <c r="R536">
        <v>14814</v>
      </c>
      <c r="S536">
        <v>32</v>
      </c>
      <c r="T536">
        <v>3</v>
      </c>
      <c r="U536">
        <v>5</v>
      </c>
      <c r="V536">
        <v>1</v>
      </c>
      <c r="W536">
        <v>1</v>
      </c>
      <c r="X536">
        <v>3</v>
      </c>
      <c r="Y536">
        <f>IF(HR_data[[#This Row],[Attrition]]= "Yes",1,0)</f>
        <v>0</v>
      </c>
    </row>
    <row r="537" spans="1:25">
      <c r="A537">
        <v>536</v>
      </c>
      <c r="B537" t="s">
        <v>33</v>
      </c>
      <c r="C537" t="s">
        <v>25</v>
      </c>
      <c r="D537" t="s">
        <v>26</v>
      </c>
      <c r="E537" t="s">
        <v>59</v>
      </c>
      <c r="F537" t="s">
        <v>60</v>
      </c>
      <c r="G537">
        <v>1</v>
      </c>
      <c r="H537" t="s">
        <v>37</v>
      </c>
      <c r="I537" t="s">
        <v>53</v>
      </c>
      <c r="J537" t="s">
        <v>48</v>
      </c>
      <c r="K537" t="s">
        <v>33</v>
      </c>
      <c r="L537">
        <v>41</v>
      </c>
      <c r="M537">
        <v>10</v>
      </c>
      <c r="N537" t="s">
        <v>44</v>
      </c>
      <c r="O537">
        <v>2</v>
      </c>
      <c r="P537">
        <v>5</v>
      </c>
      <c r="Q537">
        <v>4</v>
      </c>
      <c r="R537">
        <v>19141</v>
      </c>
      <c r="S537">
        <v>23</v>
      </c>
      <c r="T537">
        <v>2</v>
      </c>
      <c r="U537">
        <v>21</v>
      </c>
      <c r="V537">
        <v>6</v>
      </c>
      <c r="W537">
        <v>12</v>
      </c>
      <c r="X537">
        <v>6</v>
      </c>
      <c r="Y537">
        <f>IF(HR_data[[#This Row],[Attrition]]= "Yes",1,0)</f>
        <v>0</v>
      </c>
    </row>
    <row r="538" spans="1:25">
      <c r="A538">
        <v>537</v>
      </c>
      <c r="B538" t="s">
        <v>33</v>
      </c>
      <c r="C538" t="s">
        <v>25</v>
      </c>
      <c r="D538" t="s">
        <v>46</v>
      </c>
      <c r="E538" t="s">
        <v>27</v>
      </c>
      <c r="F538" t="s">
        <v>56</v>
      </c>
      <c r="G538">
        <v>1</v>
      </c>
      <c r="H538" t="s">
        <v>37</v>
      </c>
      <c r="I538" t="s">
        <v>30</v>
      </c>
      <c r="J538" t="s">
        <v>31</v>
      </c>
      <c r="K538" t="s">
        <v>33</v>
      </c>
      <c r="L538">
        <v>60</v>
      </c>
      <c r="M538">
        <v>16</v>
      </c>
      <c r="N538" t="s">
        <v>44</v>
      </c>
      <c r="O538">
        <v>1</v>
      </c>
      <c r="P538">
        <v>2</v>
      </c>
      <c r="Q538">
        <v>1</v>
      </c>
      <c r="R538">
        <v>5405</v>
      </c>
      <c r="S538">
        <v>10</v>
      </c>
      <c r="T538">
        <v>3</v>
      </c>
      <c r="U538">
        <v>2</v>
      </c>
      <c r="V538">
        <v>2</v>
      </c>
      <c r="W538">
        <v>2</v>
      </c>
      <c r="X538">
        <v>2</v>
      </c>
      <c r="Y538">
        <f>IF(HR_data[[#This Row],[Attrition]]= "Yes",1,0)</f>
        <v>0</v>
      </c>
    </row>
    <row r="539" spans="1:25">
      <c r="A539">
        <v>538</v>
      </c>
      <c r="B539" t="s">
        <v>33</v>
      </c>
      <c r="C539" t="s">
        <v>34</v>
      </c>
      <c r="D539" t="s">
        <v>43</v>
      </c>
      <c r="E539" t="s">
        <v>36</v>
      </c>
      <c r="F539" t="s">
        <v>28</v>
      </c>
      <c r="G539">
        <v>1</v>
      </c>
      <c r="H539" t="s">
        <v>37</v>
      </c>
      <c r="I539" t="s">
        <v>49</v>
      </c>
      <c r="J539" t="s">
        <v>48</v>
      </c>
      <c r="K539" t="s">
        <v>33</v>
      </c>
      <c r="L539">
        <v>27</v>
      </c>
      <c r="M539">
        <v>10</v>
      </c>
      <c r="N539" t="s">
        <v>32</v>
      </c>
      <c r="O539">
        <v>4</v>
      </c>
      <c r="P539">
        <v>3</v>
      </c>
      <c r="Q539">
        <v>1</v>
      </c>
      <c r="R539">
        <v>8793</v>
      </c>
      <c r="S539">
        <v>9</v>
      </c>
      <c r="T539">
        <v>2</v>
      </c>
      <c r="U539">
        <v>9</v>
      </c>
      <c r="V539">
        <v>7</v>
      </c>
      <c r="W539">
        <v>1</v>
      </c>
      <c r="X539">
        <v>7</v>
      </c>
      <c r="Y539">
        <f>IF(HR_data[[#This Row],[Attrition]]= "Yes",1,0)</f>
        <v>0</v>
      </c>
    </row>
    <row r="540" spans="1:25">
      <c r="A540">
        <v>539</v>
      </c>
      <c r="B540" t="s">
        <v>33</v>
      </c>
      <c r="C540" t="s">
        <v>25</v>
      </c>
      <c r="D540" t="s">
        <v>26</v>
      </c>
      <c r="E540" t="s">
        <v>59</v>
      </c>
      <c r="F540" t="s">
        <v>60</v>
      </c>
      <c r="G540">
        <v>1</v>
      </c>
      <c r="H540" t="s">
        <v>37</v>
      </c>
      <c r="I540" t="s">
        <v>53</v>
      </c>
      <c r="J540" t="s">
        <v>39</v>
      </c>
      <c r="K540" t="s">
        <v>33</v>
      </c>
      <c r="L540">
        <v>41</v>
      </c>
      <c r="M540">
        <v>1</v>
      </c>
      <c r="N540" t="s">
        <v>47</v>
      </c>
      <c r="O540">
        <v>4</v>
      </c>
      <c r="P540">
        <v>5</v>
      </c>
      <c r="Q540">
        <v>3</v>
      </c>
      <c r="R540">
        <v>19189</v>
      </c>
      <c r="S540">
        <v>22</v>
      </c>
      <c r="T540">
        <v>3</v>
      </c>
      <c r="U540">
        <v>22</v>
      </c>
      <c r="V540">
        <v>7</v>
      </c>
      <c r="W540">
        <v>2</v>
      </c>
      <c r="X540">
        <v>10</v>
      </c>
      <c r="Y540">
        <f>IF(HR_data[[#This Row],[Attrition]]= "Yes",1,0)</f>
        <v>0</v>
      </c>
    </row>
    <row r="541" spans="1:25">
      <c r="A541">
        <v>540</v>
      </c>
      <c r="B541" t="s">
        <v>33</v>
      </c>
      <c r="C541" t="s">
        <v>25</v>
      </c>
      <c r="D541" t="s">
        <v>35</v>
      </c>
      <c r="E541" t="s">
        <v>27</v>
      </c>
      <c r="F541" t="s">
        <v>56</v>
      </c>
      <c r="G541">
        <v>1</v>
      </c>
      <c r="H541" t="s">
        <v>37</v>
      </c>
      <c r="I541" t="s">
        <v>54</v>
      </c>
      <c r="J541" t="s">
        <v>39</v>
      </c>
      <c r="K541" t="s">
        <v>33</v>
      </c>
      <c r="L541">
        <v>50</v>
      </c>
      <c r="M541">
        <v>8</v>
      </c>
      <c r="N541" t="s">
        <v>44</v>
      </c>
      <c r="O541">
        <v>4</v>
      </c>
      <c r="P541">
        <v>1</v>
      </c>
      <c r="Q541">
        <v>2</v>
      </c>
      <c r="R541">
        <v>3875</v>
      </c>
      <c r="S541">
        <v>4</v>
      </c>
      <c r="T541">
        <v>3</v>
      </c>
      <c r="U541">
        <v>2</v>
      </c>
      <c r="V541">
        <v>2</v>
      </c>
      <c r="W541">
        <v>2</v>
      </c>
      <c r="X541">
        <v>2</v>
      </c>
      <c r="Y541">
        <f>IF(HR_data[[#This Row],[Attrition]]= "Yes",1,0)</f>
        <v>0</v>
      </c>
    </row>
    <row r="542" spans="1:25">
      <c r="A542">
        <v>541</v>
      </c>
      <c r="B542" t="s">
        <v>24</v>
      </c>
      <c r="C542" t="s">
        <v>25</v>
      </c>
      <c r="D542" t="s">
        <v>43</v>
      </c>
      <c r="E542" t="s">
        <v>36</v>
      </c>
      <c r="F542" t="s">
        <v>28</v>
      </c>
      <c r="G542">
        <v>1</v>
      </c>
      <c r="H542" t="s">
        <v>29</v>
      </c>
      <c r="I542" t="s">
        <v>38</v>
      </c>
      <c r="J542" t="s">
        <v>31</v>
      </c>
      <c r="K542" t="s">
        <v>24</v>
      </c>
      <c r="L542">
        <v>28</v>
      </c>
      <c r="M542">
        <v>1</v>
      </c>
      <c r="N542" t="s">
        <v>32</v>
      </c>
      <c r="O542">
        <v>1</v>
      </c>
      <c r="P542">
        <v>1</v>
      </c>
      <c r="Q542">
        <v>2</v>
      </c>
      <c r="R542">
        <v>2216</v>
      </c>
      <c r="S542">
        <v>10</v>
      </c>
      <c r="T542">
        <v>3</v>
      </c>
      <c r="U542">
        <v>7</v>
      </c>
      <c r="V542">
        <v>7</v>
      </c>
      <c r="W542">
        <v>3</v>
      </c>
      <c r="X542">
        <v>7</v>
      </c>
      <c r="Y542">
        <f>IF(HR_data[[#This Row],[Attrition]]= "Yes",1,0)</f>
        <v>1</v>
      </c>
    </row>
    <row r="543" spans="1:25">
      <c r="A543">
        <v>542</v>
      </c>
      <c r="B543" t="s">
        <v>33</v>
      </c>
      <c r="C543" t="s">
        <v>51</v>
      </c>
      <c r="D543" t="s">
        <v>26</v>
      </c>
      <c r="E543" t="s">
        <v>36</v>
      </c>
      <c r="F543" t="s">
        <v>28</v>
      </c>
      <c r="G543">
        <v>1</v>
      </c>
      <c r="H543" t="s">
        <v>29</v>
      </c>
      <c r="I543" t="s">
        <v>55</v>
      </c>
      <c r="J543" t="s">
        <v>39</v>
      </c>
      <c r="K543" t="s">
        <v>33</v>
      </c>
      <c r="L543">
        <v>36</v>
      </c>
      <c r="M543">
        <v>8</v>
      </c>
      <c r="N543" t="s">
        <v>47</v>
      </c>
      <c r="O543">
        <v>1</v>
      </c>
      <c r="P543">
        <v>3</v>
      </c>
      <c r="Q543">
        <v>1</v>
      </c>
      <c r="R543">
        <v>11713</v>
      </c>
      <c r="S543">
        <v>10</v>
      </c>
      <c r="T543">
        <v>3</v>
      </c>
      <c r="U543">
        <v>8</v>
      </c>
      <c r="V543">
        <v>7</v>
      </c>
      <c r="W543">
        <v>0</v>
      </c>
      <c r="X543">
        <v>5</v>
      </c>
      <c r="Y543">
        <f>IF(HR_data[[#This Row],[Attrition]]= "Yes",1,0)</f>
        <v>0</v>
      </c>
    </row>
    <row r="544" spans="1:25">
      <c r="A544">
        <v>543</v>
      </c>
      <c r="B544" t="s">
        <v>33</v>
      </c>
      <c r="C544" t="s">
        <v>25</v>
      </c>
      <c r="D544" t="s">
        <v>26</v>
      </c>
      <c r="E544" t="s">
        <v>36</v>
      </c>
      <c r="F544" t="s">
        <v>28</v>
      </c>
      <c r="G544">
        <v>1</v>
      </c>
      <c r="H544" t="s">
        <v>29</v>
      </c>
      <c r="I544" t="s">
        <v>49</v>
      </c>
      <c r="J544" t="s">
        <v>31</v>
      </c>
      <c r="K544" t="s">
        <v>24</v>
      </c>
      <c r="L544">
        <v>38</v>
      </c>
      <c r="M544">
        <v>1</v>
      </c>
      <c r="N544" t="s">
        <v>47</v>
      </c>
      <c r="O544">
        <v>3</v>
      </c>
      <c r="P544">
        <v>3</v>
      </c>
      <c r="Q544">
        <v>3</v>
      </c>
      <c r="R544">
        <v>7861</v>
      </c>
      <c r="S544">
        <v>10</v>
      </c>
      <c r="T544">
        <v>4</v>
      </c>
      <c r="U544">
        <v>1</v>
      </c>
      <c r="V544">
        <v>0</v>
      </c>
      <c r="W544">
        <v>0</v>
      </c>
      <c r="X544">
        <v>0</v>
      </c>
      <c r="Y544">
        <f>IF(HR_data[[#This Row],[Attrition]]= "Yes",1,0)</f>
        <v>0</v>
      </c>
    </row>
    <row r="545" spans="1:25">
      <c r="A545">
        <v>544</v>
      </c>
      <c r="B545" t="s">
        <v>33</v>
      </c>
      <c r="C545" t="s">
        <v>51</v>
      </c>
      <c r="D545" t="s">
        <v>26</v>
      </c>
      <c r="E545" t="s">
        <v>36</v>
      </c>
      <c r="F545" t="s">
        <v>45</v>
      </c>
      <c r="G545">
        <v>1</v>
      </c>
      <c r="H545" t="s">
        <v>37</v>
      </c>
      <c r="I545" t="s">
        <v>42</v>
      </c>
      <c r="J545" t="s">
        <v>31</v>
      </c>
      <c r="K545" t="s">
        <v>33</v>
      </c>
      <c r="L545">
        <v>44</v>
      </c>
      <c r="M545">
        <v>24</v>
      </c>
      <c r="N545" t="s">
        <v>47</v>
      </c>
      <c r="O545">
        <v>1</v>
      </c>
      <c r="P545">
        <v>1</v>
      </c>
      <c r="Q545">
        <v>3</v>
      </c>
      <c r="R545">
        <v>3708</v>
      </c>
      <c r="S545">
        <v>9</v>
      </c>
      <c r="T545">
        <v>3</v>
      </c>
      <c r="U545">
        <v>5</v>
      </c>
      <c r="V545">
        <v>2</v>
      </c>
      <c r="W545">
        <v>1</v>
      </c>
      <c r="X545">
        <v>4</v>
      </c>
      <c r="Y545">
        <f>IF(HR_data[[#This Row],[Attrition]]= "Yes",1,0)</f>
        <v>0</v>
      </c>
    </row>
    <row r="546" spans="1:25">
      <c r="A546">
        <v>545</v>
      </c>
      <c r="B546" t="s">
        <v>33</v>
      </c>
      <c r="C546" t="s">
        <v>34</v>
      </c>
      <c r="D546" t="s">
        <v>35</v>
      </c>
      <c r="E546" t="s">
        <v>27</v>
      </c>
      <c r="F546" t="s">
        <v>45</v>
      </c>
      <c r="G546">
        <v>1</v>
      </c>
      <c r="H546" t="s">
        <v>29</v>
      </c>
      <c r="I546" t="s">
        <v>30</v>
      </c>
      <c r="J546" t="s">
        <v>48</v>
      </c>
      <c r="K546" t="s">
        <v>24</v>
      </c>
      <c r="L546">
        <v>47</v>
      </c>
      <c r="M546">
        <v>3</v>
      </c>
      <c r="N546" t="s">
        <v>47</v>
      </c>
      <c r="O546">
        <v>4</v>
      </c>
      <c r="P546">
        <v>4</v>
      </c>
      <c r="Q546">
        <v>3</v>
      </c>
      <c r="R546">
        <v>13770</v>
      </c>
      <c r="S546">
        <v>28</v>
      </c>
      <c r="T546">
        <v>2</v>
      </c>
      <c r="U546">
        <v>22</v>
      </c>
      <c r="V546">
        <v>2</v>
      </c>
      <c r="W546">
        <v>11</v>
      </c>
      <c r="X546">
        <v>13</v>
      </c>
      <c r="Y546">
        <f>IF(HR_data[[#This Row],[Attrition]]= "Yes",1,0)</f>
        <v>0</v>
      </c>
    </row>
    <row r="547" spans="1:25">
      <c r="A547">
        <v>546</v>
      </c>
      <c r="B547" t="s">
        <v>33</v>
      </c>
      <c r="C547" t="s">
        <v>25</v>
      </c>
      <c r="D547" t="s">
        <v>43</v>
      </c>
      <c r="E547" t="s">
        <v>27</v>
      </c>
      <c r="F547" t="s">
        <v>56</v>
      </c>
      <c r="G547">
        <v>1</v>
      </c>
      <c r="H547" t="s">
        <v>37</v>
      </c>
      <c r="I547" t="s">
        <v>30</v>
      </c>
      <c r="J547" t="s">
        <v>48</v>
      </c>
      <c r="K547" t="s">
        <v>33</v>
      </c>
      <c r="L547">
        <v>30</v>
      </c>
      <c r="M547">
        <v>27</v>
      </c>
      <c r="N547" t="s">
        <v>58</v>
      </c>
      <c r="O547">
        <v>3</v>
      </c>
      <c r="P547">
        <v>2</v>
      </c>
      <c r="Q547">
        <v>4</v>
      </c>
      <c r="R547">
        <v>5304</v>
      </c>
      <c r="S547">
        <v>10</v>
      </c>
      <c r="T547">
        <v>2</v>
      </c>
      <c r="U547">
        <v>8</v>
      </c>
      <c r="V547">
        <v>7</v>
      </c>
      <c r="W547">
        <v>7</v>
      </c>
      <c r="X547">
        <v>7</v>
      </c>
      <c r="Y547">
        <f>IF(HR_data[[#This Row],[Attrition]]= "Yes",1,0)</f>
        <v>0</v>
      </c>
    </row>
    <row r="548" spans="1:25">
      <c r="A548">
        <v>547</v>
      </c>
      <c r="B548" t="s">
        <v>33</v>
      </c>
      <c r="C548" t="s">
        <v>25</v>
      </c>
      <c r="D548" t="s">
        <v>43</v>
      </c>
      <c r="E548" t="s">
        <v>27</v>
      </c>
      <c r="F548" t="s">
        <v>28</v>
      </c>
      <c r="G548">
        <v>1</v>
      </c>
      <c r="H548" t="s">
        <v>37</v>
      </c>
      <c r="I548" t="s">
        <v>54</v>
      </c>
      <c r="J548" t="s">
        <v>31</v>
      </c>
      <c r="K548" t="s">
        <v>33</v>
      </c>
      <c r="L548">
        <v>29</v>
      </c>
      <c r="M548">
        <v>10</v>
      </c>
      <c r="N548" t="s">
        <v>47</v>
      </c>
      <c r="O548">
        <v>3</v>
      </c>
      <c r="P548">
        <v>1</v>
      </c>
      <c r="Q548">
        <v>3</v>
      </c>
      <c r="R548">
        <v>2642</v>
      </c>
      <c r="S548">
        <v>1</v>
      </c>
      <c r="T548">
        <v>3</v>
      </c>
      <c r="U548">
        <v>1</v>
      </c>
      <c r="V548">
        <v>0</v>
      </c>
      <c r="W548">
        <v>0</v>
      </c>
      <c r="X548">
        <v>0</v>
      </c>
      <c r="Y548">
        <f>IF(HR_data[[#This Row],[Attrition]]= "Yes",1,0)</f>
        <v>0</v>
      </c>
    </row>
    <row r="549" spans="1:25">
      <c r="A549">
        <v>548</v>
      </c>
      <c r="B549" t="s">
        <v>24</v>
      </c>
      <c r="C549" t="s">
        <v>34</v>
      </c>
      <c r="D549" t="s">
        <v>26</v>
      </c>
      <c r="E549" t="s">
        <v>36</v>
      </c>
      <c r="F549" t="s">
        <v>45</v>
      </c>
      <c r="G549">
        <v>1</v>
      </c>
      <c r="H549" t="s">
        <v>37</v>
      </c>
      <c r="I549" t="s">
        <v>38</v>
      </c>
      <c r="J549" t="s">
        <v>48</v>
      </c>
      <c r="K549" t="s">
        <v>24</v>
      </c>
      <c r="L549">
        <v>42</v>
      </c>
      <c r="M549">
        <v>19</v>
      </c>
      <c r="N549" t="s">
        <v>47</v>
      </c>
      <c r="O549">
        <v>3</v>
      </c>
      <c r="P549">
        <v>1</v>
      </c>
      <c r="Q549">
        <v>3</v>
      </c>
      <c r="R549">
        <v>2759</v>
      </c>
      <c r="S549">
        <v>7</v>
      </c>
      <c r="T549">
        <v>3</v>
      </c>
      <c r="U549">
        <v>2</v>
      </c>
      <c r="V549">
        <v>2</v>
      </c>
      <c r="W549">
        <v>2</v>
      </c>
      <c r="X549">
        <v>2</v>
      </c>
      <c r="Y549">
        <f>IF(HR_data[[#This Row],[Attrition]]= "Yes",1,0)</f>
        <v>1</v>
      </c>
    </row>
    <row r="550" spans="1:25">
      <c r="A550">
        <v>549</v>
      </c>
      <c r="B550" t="s">
        <v>33</v>
      </c>
      <c r="C550" t="s">
        <v>34</v>
      </c>
      <c r="D550" t="s">
        <v>26</v>
      </c>
      <c r="E550" t="s">
        <v>27</v>
      </c>
      <c r="F550" t="s">
        <v>28</v>
      </c>
      <c r="G550">
        <v>1</v>
      </c>
      <c r="H550" t="s">
        <v>37</v>
      </c>
      <c r="I550" t="s">
        <v>30</v>
      </c>
      <c r="J550" t="s">
        <v>39</v>
      </c>
      <c r="K550" t="s">
        <v>33</v>
      </c>
      <c r="L550">
        <v>43</v>
      </c>
      <c r="M550">
        <v>15</v>
      </c>
      <c r="N550" t="s">
        <v>47</v>
      </c>
      <c r="O550">
        <v>4</v>
      </c>
      <c r="P550">
        <v>2</v>
      </c>
      <c r="Q550">
        <v>4</v>
      </c>
      <c r="R550">
        <v>6804</v>
      </c>
      <c r="S550">
        <v>7</v>
      </c>
      <c r="T550">
        <v>3</v>
      </c>
      <c r="U550">
        <v>2</v>
      </c>
      <c r="V550">
        <v>2</v>
      </c>
      <c r="W550">
        <v>2</v>
      </c>
      <c r="X550">
        <v>2</v>
      </c>
      <c r="Y550">
        <f>IF(HR_data[[#This Row],[Attrition]]= "Yes",1,0)</f>
        <v>0</v>
      </c>
    </row>
    <row r="551" spans="1:25">
      <c r="A551">
        <v>550</v>
      </c>
      <c r="B551" t="s">
        <v>33</v>
      </c>
      <c r="C551" t="s">
        <v>25</v>
      </c>
      <c r="D551" t="s">
        <v>43</v>
      </c>
      <c r="E551" t="s">
        <v>36</v>
      </c>
      <c r="F551" t="s">
        <v>45</v>
      </c>
      <c r="G551">
        <v>1</v>
      </c>
      <c r="H551" t="s">
        <v>29</v>
      </c>
      <c r="I551" t="s">
        <v>50</v>
      </c>
      <c r="J551" t="s">
        <v>31</v>
      </c>
      <c r="K551" t="s">
        <v>33</v>
      </c>
      <c r="L551">
        <v>34</v>
      </c>
      <c r="M551">
        <v>8</v>
      </c>
      <c r="N551" t="s">
        <v>32</v>
      </c>
      <c r="O551">
        <v>2</v>
      </c>
      <c r="P551">
        <v>2</v>
      </c>
      <c r="Q551">
        <v>3</v>
      </c>
      <c r="R551">
        <v>6142</v>
      </c>
      <c r="S551">
        <v>10</v>
      </c>
      <c r="T551">
        <v>3</v>
      </c>
      <c r="U551">
        <v>5</v>
      </c>
      <c r="V551">
        <v>1</v>
      </c>
      <c r="W551">
        <v>4</v>
      </c>
      <c r="X551">
        <v>3</v>
      </c>
      <c r="Y551">
        <f>IF(HR_data[[#This Row],[Attrition]]= "Yes",1,0)</f>
        <v>0</v>
      </c>
    </row>
    <row r="552" spans="1:25">
      <c r="A552">
        <v>551</v>
      </c>
      <c r="B552" t="s">
        <v>33</v>
      </c>
      <c r="C552" t="s">
        <v>25</v>
      </c>
      <c r="D552" t="s">
        <v>52</v>
      </c>
      <c r="E552" t="s">
        <v>36</v>
      </c>
      <c r="F552" t="s">
        <v>45</v>
      </c>
      <c r="G552">
        <v>1</v>
      </c>
      <c r="H552" t="s">
        <v>37</v>
      </c>
      <c r="I552" t="s">
        <v>42</v>
      </c>
      <c r="J552" t="s">
        <v>39</v>
      </c>
      <c r="K552" t="s">
        <v>33</v>
      </c>
      <c r="L552">
        <v>23</v>
      </c>
      <c r="M552">
        <v>9</v>
      </c>
      <c r="N552" t="s">
        <v>40</v>
      </c>
      <c r="O552">
        <v>2</v>
      </c>
      <c r="P552">
        <v>1</v>
      </c>
      <c r="Q552">
        <v>1</v>
      </c>
      <c r="R552">
        <v>2500</v>
      </c>
      <c r="S552">
        <v>5</v>
      </c>
      <c r="T552">
        <v>4</v>
      </c>
      <c r="U552">
        <v>4</v>
      </c>
      <c r="V552">
        <v>3</v>
      </c>
      <c r="W552">
        <v>0</v>
      </c>
      <c r="X552">
        <v>2</v>
      </c>
      <c r="Y552">
        <f>IF(HR_data[[#This Row],[Attrition]]= "Yes",1,0)</f>
        <v>0</v>
      </c>
    </row>
    <row r="553" spans="1:25">
      <c r="A553">
        <v>552</v>
      </c>
      <c r="B553" t="s">
        <v>33</v>
      </c>
      <c r="C553" t="s">
        <v>25</v>
      </c>
      <c r="D553" t="s">
        <v>26</v>
      </c>
      <c r="E553" t="s">
        <v>59</v>
      </c>
      <c r="F553" t="s">
        <v>60</v>
      </c>
      <c r="G553">
        <v>1</v>
      </c>
      <c r="H553" t="s">
        <v>29</v>
      </c>
      <c r="I553" t="s">
        <v>60</v>
      </c>
      <c r="J553" t="s">
        <v>39</v>
      </c>
      <c r="K553" t="s">
        <v>33</v>
      </c>
      <c r="L553">
        <v>39</v>
      </c>
      <c r="M553">
        <v>3</v>
      </c>
      <c r="N553" t="s">
        <v>47</v>
      </c>
      <c r="O553">
        <v>3</v>
      </c>
      <c r="P553">
        <v>2</v>
      </c>
      <c r="Q553">
        <v>2</v>
      </c>
      <c r="R553">
        <v>6389</v>
      </c>
      <c r="S553">
        <v>12</v>
      </c>
      <c r="T553">
        <v>1</v>
      </c>
      <c r="U553">
        <v>8</v>
      </c>
      <c r="V553">
        <v>3</v>
      </c>
      <c r="W553">
        <v>3</v>
      </c>
      <c r="X553">
        <v>6</v>
      </c>
      <c r="Y553">
        <f>IF(HR_data[[#This Row],[Attrition]]= "Yes",1,0)</f>
        <v>0</v>
      </c>
    </row>
    <row r="554" spans="1:25">
      <c r="A554">
        <v>553</v>
      </c>
      <c r="B554" t="s">
        <v>33</v>
      </c>
      <c r="C554" t="s">
        <v>25</v>
      </c>
      <c r="D554" t="s">
        <v>46</v>
      </c>
      <c r="E554" t="s">
        <v>36</v>
      </c>
      <c r="F554" t="s">
        <v>45</v>
      </c>
      <c r="G554">
        <v>1</v>
      </c>
      <c r="H554" t="s">
        <v>37</v>
      </c>
      <c r="I554" t="s">
        <v>50</v>
      </c>
      <c r="J554" t="s">
        <v>39</v>
      </c>
      <c r="K554" t="s">
        <v>33</v>
      </c>
      <c r="L554">
        <v>56</v>
      </c>
      <c r="M554">
        <v>9</v>
      </c>
      <c r="N554" t="s">
        <v>47</v>
      </c>
      <c r="O554">
        <v>3</v>
      </c>
      <c r="P554">
        <v>4</v>
      </c>
      <c r="Q554">
        <v>4</v>
      </c>
      <c r="R554">
        <v>11103</v>
      </c>
      <c r="S554">
        <v>30</v>
      </c>
      <c r="T554">
        <v>2</v>
      </c>
      <c r="U554">
        <v>10</v>
      </c>
      <c r="V554">
        <v>7</v>
      </c>
      <c r="W554">
        <v>1</v>
      </c>
      <c r="X554">
        <v>1</v>
      </c>
      <c r="Y554">
        <f>IF(HR_data[[#This Row],[Attrition]]= "Yes",1,0)</f>
        <v>0</v>
      </c>
    </row>
    <row r="555" spans="1:25">
      <c r="A555">
        <v>554</v>
      </c>
      <c r="B555" t="s">
        <v>33</v>
      </c>
      <c r="C555" t="s">
        <v>25</v>
      </c>
      <c r="D555" t="s">
        <v>26</v>
      </c>
      <c r="E555" t="s">
        <v>36</v>
      </c>
      <c r="F555" t="s">
        <v>45</v>
      </c>
      <c r="G555">
        <v>1</v>
      </c>
      <c r="H555" t="s">
        <v>29</v>
      </c>
      <c r="I555" t="s">
        <v>38</v>
      </c>
      <c r="J555" t="s">
        <v>31</v>
      </c>
      <c r="K555" t="s">
        <v>24</v>
      </c>
      <c r="L555">
        <v>40</v>
      </c>
      <c r="M555">
        <v>2</v>
      </c>
      <c r="N555" t="s">
        <v>40</v>
      </c>
      <c r="O555">
        <v>4</v>
      </c>
      <c r="P555">
        <v>1</v>
      </c>
      <c r="Q555">
        <v>4</v>
      </c>
      <c r="R555">
        <v>2342</v>
      </c>
      <c r="S555">
        <v>5</v>
      </c>
      <c r="T555">
        <v>2</v>
      </c>
      <c r="U555">
        <v>4</v>
      </c>
      <c r="V555">
        <v>2</v>
      </c>
      <c r="W555">
        <v>2</v>
      </c>
      <c r="X555">
        <v>3</v>
      </c>
      <c r="Y555">
        <f>IF(HR_data[[#This Row],[Attrition]]= "Yes",1,0)</f>
        <v>0</v>
      </c>
    </row>
    <row r="556" spans="1:25">
      <c r="A556">
        <v>555</v>
      </c>
      <c r="B556" t="s">
        <v>33</v>
      </c>
      <c r="C556" t="s">
        <v>25</v>
      </c>
      <c r="D556" t="s">
        <v>43</v>
      </c>
      <c r="E556" t="s">
        <v>36</v>
      </c>
      <c r="F556" t="s">
        <v>45</v>
      </c>
      <c r="G556">
        <v>1</v>
      </c>
      <c r="H556" t="s">
        <v>29</v>
      </c>
      <c r="I556" t="s">
        <v>50</v>
      </c>
      <c r="J556" t="s">
        <v>31</v>
      </c>
      <c r="K556" t="s">
        <v>33</v>
      </c>
      <c r="L556">
        <v>27</v>
      </c>
      <c r="M556">
        <v>7</v>
      </c>
      <c r="N556" t="s">
        <v>47</v>
      </c>
      <c r="O556">
        <v>4</v>
      </c>
      <c r="P556">
        <v>2</v>
      </c>
      <c r="Q556">
        <v>1</v>
      </c>
      <c r="R556">
        <v>6811</v>
      </c>
      <c r="S556">
        <v>9</v>
      </c>
      <c r="T556">
        <v>1</v>
      </c>
      <c r="U556">
        <v>7</v>
      </c>
      <c r="V556">
        <v>6</v>
      </c>
      <c r="W556">
        <v>0</v>
      </c>
      <c r="X556">
        <v>7</v>
      </c>
      <c r="Y556">
        <f>IF(HR_data[[#This Row],[Attrition]]= "Yes",1,0)</f>
        <v>0</v>
      </c>
    </row>
    <row r="557" spans="1:25">
      <c r="A557">
        <v>556</v>
      </c>
      <c r="B557" t="s">
        <v>33</v>
      </c>
      <c r="C557" t="s">
        <v>25</v>
      </c>
      <c r="D557" t="s">
        <v>43</v>
      </c>
      <c r="E557" t="s">
        <v>27</v>
      </c>
      <c r="F557" t="s">
        <v>56</v>
      </c>
      <c r="G557">
        <v>1</v>
      </c>
      <c r="H557" t="s">
        <v>37</v>
      </c>
      <c r="I557" t="s">
        <v>54</v>
      </c>
      <c r="J557" t="s">
        <v>48</v>
      </c>
      <c r="K557" t="s">
        <v>33</v>
      </c>
      <c r="L557">
        <v>29</v>
      </c>
      <c r="M557">
        <v>10</v>
      </c>
      <c r="N557" t="s">
        <v>47</v>
      </c>
      <c r="O557">
        <v>4</v>
      </c>
      <c r="P557">
        <v>1</v>
      </c>
      <c r="Q557">
        <v>2</v>
      </c>
      <c r="R557">
        <v>2297</v>
      </c>
      <c r="S557">
        <v>2</v>
      </c>
      <c r="T557">
        <v>3</v>
      </c>
      <c r="U557">
        <v>2</v>
      </c>
      <c r="V557">
        <v>2</v>
      </c>
      <c r="W557">
        <v>2</v>
      </c>
      <c r="X557">
        <v>2</v>
      </c>
      <c r="Y557">
        <f>IF(HR_data[[#This Row],[Attrition]]= "Yes",1,0)</f>
        <v>0</v>
      </c>
    </row>
    <row r="558" spans="1:25">
      <c r="A558">
        <v>557</v>
      </c>
      <c r="B558" t="s">
        <v>33</v>
      </c>
      <c r="C558" t="s">
        <v>25</v>
      </c>
      <c r="D558" t="s">
        <v>35</v>
      </c>
      <c r="E558" t="s">
        <v>36</v>
      </c>
      <c r="F558" t="s">
        <v>28</v>
      </c>
      <c r="G558">
        <v>1</v>
      </c>
      <c r="H558" t="s">
        <v>37</v>
      </c>
      <c r="I558" t="s">
        <v>42</v>
      </c>
      <c r="J558" t="s">
        <v>31</v>
      </c>
      <c r="K558" t="s">
        <v>33</v>
      </c>
      <c r="L558">
        <v>53</v>
      </c>
      <c r="M558">
        <v>6</v>
      </c>
      <c r="N558" t="s">
        <v>47</v>
      </c>
      <c r="O558">
        <v>4</v>
      </c>
      <c r="P558">
        <v>2</v>
      </c>
      <c r="Q558">
        <v>4</v>
      </c>
      <c r="R558">
        <v>2450</v>
      </c>
      <c r="S558">
        <v>19</v>
      </c>
      <c r="T558">
        <v>3</v>
      </c>
      <c r="U558">
        <v>2</v>
      </c>
      <c r="V558">
        <v>2</v>
      </c>
      <c r="W558">
        <v>2</v>
      </c>
      <c r="X558">
        <v>2</v>
      </c>
      <c r="Y558">
        <f>IF(HR_data[[#This Row],[Attrition]]= "Yes",1,0)</f>
        <v>0</v>
      </c>
    </row>
    <row r="559" spans="1:25">
      <c r="A559">
        <v>558</v>
      </c>
      <c r="B559" t="s">
        <v>33</v>
      </c>
      <c r="C559" t="s">
        <v>51</v>
      </c>
      <c r="D559" t="s">
        <v>26</v>
      </c>
      <c r="E559" t="s">
        <v>36</v>
      </c>
      <c r="F559" t="s">
        <v>28</v>
      </c>
      <c r="G559">
        <v>1</v>
      </c>
      <c r="H559" t="s">
        <v>29</v>
      </c>
      <c r="I559" t="s">
        <v>50</v>
      </c>
      <c r="J559" t="s">
        <v>48</v>
      </c>
      <c r="K559" t="s">
        <v>33</v>
      </c>
      <c r="L559">
        <v>35</v>
      </c>
      <c r="M559">
        <v>2</v>
      </c>
      <c r="N559" t="s">
        <v>44</v>
      </c>
      <c r="O559">
        <v>4</v>
      </c>
      <c r="P559">
        <v>2</v>
      </c>
      <c r="Q559">
        <v>1</v>
      </c>
      <c r="R559">
        <v>5093</v>
      </c>
      <c r="S559">
        <v>16</v>
      </c>
      <c r="T559">
        <v>4</v>
      </c>
      <c r="U559">
        <v>1</v>
      </c>
      <c r="V559">
        <v>0</v>
      </c>
      <c r="W559">
        <v>0</v>
      </c>
      <c r="X559">
        <v>0</v>
      </c>
      <c r="Y559">
        <f>IF(HR_data[[#This Row],[Attrition]]= "Yes",1,0)</f>
        <v>0</v>
      </c>
    </row>
    <row r="560" spans="1:25">
      <c r="A560">
        <v>559</v>
      </c>
      <c r="B560" t="s">
        <v>33</v>
      </c>
      <c r="C560" t="s">
        <v>34</v>
      </c>
      <c r="D560" t="s">
        <v>43</v>
      </c>
      <c r="E560" t="s">
        <v>36</v>
      </c>
      <c r="F560" t="s">
        <v>28</v>
      </c>
      <c r="G560">
        <v>1</v>
      </c>
      <c r="H560" t="s">
        <v>37</v>
      </c>
      <c r="I560" t="s">
        <v>42</v>
      </c>
      <c r="J560" t="s">
        <v>39</v>
      </c>
      <c r="K560" t="s">
        <v>33</v>
      </c>
      <c r="L560">
        <v>32</v>
      </c>
      <c r="M560">
        <v>24</v>
      </c>
      <c r="N560" t="s">
        <v>44</v>
      </c>
      <c r="O560">
        <v>1</v>
      </c>
      <c r="P560">
        <v>2</v>
      </c>
      <c r="Q560">
        <v>4</v>
      </c>
      <c r="R560">
        <v>5309</v>
      </c>
      <c r="S560">
        <v>10</v>
      </c>
      <c r="T560">
        <v>3</v>
      </c>
      <c r="U560">
        <v>10</v>
      </c>
      <c r="V560">
        <v>8</v>
      </c>
      <c r="W560">
        <v>4</v>
      </c>
      <c r="X560">
        <v>7</v>
      </c>
      <c r="Y560">
        <f>IF(HR_data[[#This Row],[Attrition]]= "Yes",1,0)</f>
        <v>0</v>
      </c>
    </row>
    <row r="561" spans="1:25">
      <c r="A561">
        <v>560</v>
      </c>
      <c r="B561" t="s">
        <v>33</v>
      </c>
      <c r="C561" t="s">
        <v>25</v>
      </c>
      <c r="D561" t="s">
        <v>26</v>
      </c>
      <c r="E561" t="s">
        <v>36</v>
      </c>
      <c r="F561" t="s">
        <v>45</v>
      </c>
      <c r="G561">
        <v>1</v>
      </c>
      <c r="H561" t="s">
        <v>37</v>
      </c>
      <c r="I561" t="s">
        <v>38</v>
      </c>
      <c r="J561" t="s">
        <v>39</v>
      </c>
      <c r="K561" t="s">
        <v>24</v>
      </c>
      <c r="L561">
        <v>38</v>
      </c>
      <c r="M561">
        <v>2</v>
      </c>
      <c r="N561" t="s">
        <v>58</v>
      </c>
      <c r="O561">
        <v>4</v>
      </c>
      <c r="P561">
        <v>1</v>
      </c>
      <c r="Q561">
        <v>3</v>
      </c>
      <c r="R561">
        <v>3057</v>
      </c>
      <c r="S561">
        <v>6</v>
      </c>
      <c r="T561">
        <v>1</v>
      </c>
      <c r="U561">
        <v>1</v>
      </c>
      <c r="V561">
        <v>0</v>
      </c>
      <c r="W561">
        <v>0</v>
      </c>
      <c r="X561">
        <v>1</v>
      </c>
      <c r="Y561">
        <f>IF(HR_data[[#This Row],[Attrition]]= "Yes",1,0)</f>
        <v>0</v>
      </c>
    </row>
    <row r="562" spans="1:25">
      <c r="A562">
        <v>561</v>
      </c>
      <c r="B562" t="s">
        <v>33</v>
      </c>
      <c r="C562" t="s">
        <v>25</v>
      </c>
      <c r="D562" t="s">
        <v>43</v>
      </c>
      <c r="E562" t="s">
        <v>36</v>
      </c>
      <c r="F562" t="s">
        <v>28</v>
      </c>
      <c r="G562">
        <v>1</v>
      </c>
      <c r="H562" t="s">
        <v>29</v>
      </c>
      <c r="I562" t="s">
        <v>49</v>
      </c>
      <c r="J562" t="s">
        <v>48</v>
      </c>
      <c r="K562" t="s">
        <v>33</v>
      </c>
      <c r="L562">
        <v>34</v>
      </c>
      <c r="M562">
        <v>8</v>
      </c>
      <c r="N562" t="s">
        <v>58</v>
      </c>
      <c r="O562">
        <v>2</v>
      </c>
      <c r="P562">
        <v>2</v>
      </c>
      <c r="Q562">
        <v>1</v>
      </c>
      <c r="R562">
        <v>5121</v>
      </c>
      <c r="S562">
        <v>7</v>
      </c>
      <c r="T562">
        <v>3</v>
      </c>
      <c r="U562">
        <v>0</v>
      </c>
      <c r="V562">
        <v>0</v>
      </c>
      <c r="W562">
        <v>0</v>
      </c>
      <c r="X562">
        <v>0</v>
      </c>
      <c r="Y562">
        <f>IF(HR_data[[#This Row],[Attrition]]= "Yes",1,0)</f>
        <v>0</v>
      </c>
    </row>
    <row r="563" spans="1:25">
      <c r="A563">
        <v>562</v>
      </c>
      <c r="B563" t="s">
        <v>33</v>
      </c>
      <c r="C563" t="s">
        <v>25</v>
      </c>
      <c r="D563" t="s">
        <v>35</v>
      </c>
      <c r="E563" t="s">
        <v>27</v>
      </c>
      <c r="F563" t="s">
        <v>56</v>
      </c>
      <c r="G563">
        <v>1</v>
      </c>
      <c r="H563" t="s">
        <v>37</v>
      </c>
      <c r="I563" t="s">
        <v>53</v>
      </c>
      <c r="J563" t="s">
        <v>39</v>
      </c>
      <c r="K563" t="s">
        <v>33</v>
      </c>
      <c r="L563">
        <v>52</v>
      </c>
      <c r="M563">
        <v>3</v>
      </c>
      <c r="N563" t="s">
        <v>44</v>
      </c>
      <c r="O563">
        <v>3</v>
      </c>
      <c r="P563">
        <v>4</v>
      </c>
      <c r="Q563">
        <v>1</v>
      </c>
      <c r="R563">
        <v>16856</v>
      </c>
      <c r="S563">
        <v>34</v>
      </c>
      <c r="T563">
        <v>4</v>
      </c>
      <c r="U563">
        <v>34</v>
      </c>
      <c r="V563">
        <v>6</v>
      </c>
      <c r="W563">
        <v>1</v>
      </c>
      <c r="X563">
        <v>16</v>
      </c>
      <c r="Y563">
        <f>IF(HR_data[[#This Row],[Attrition]]= "Yes",1,0)</f>
        <v>0</v>
      </c>
    </row>
    <row r="564" spans="1:25">
      <c r="A564">
        <v>563</v>
      </c>
      <c r="B564" t="s">
        <v>24</v>
      </c>
      <c r="C564" t="s">
        <v>25</v>
      </c>
      <c r="D564" t="s">
        <v>43</v>
      </c>
      <c r="E564" t="s">
        <v>36</v>
      </c>
      <c r="F564" t="s">
        <v>41</v>
      </c>
      <c r="G564">
        <v>1</v>
      </c>
      <c r="H564" t="s">
        <v>37</v>
      </c>
      <c r="I564" t="s">
        <v>38</v>
      </c>
      <c r="J564" t="s">
        <v>31</v>
      </c>
      <c r="K564" t="s">
        <v>24</v>
      </c>
      <c r="L564">
        <v>33</v>
      </c>
      <c r="M564">
        <v>1</v>
      </c>
      <c r="N564" t="s">
        <v>44</v>
      </c>
      <c r="O564">
        <v>4</v>
      </c>
      <c r="P564">
        <v>1</v>
      </c>
      <c r="Q564">
        <v>4</v>
      </c>
      <c r="R564">
        <v>2686</v>
      </c>
      <c r="S564">
        <v>10</v>
      </c>
      <c r="T564">
        <v>2</v>
      </c>
      <c r="U564">
        <v>10</v>
      </c>
      <c r="V564">
        <v>9</v>
      </c>
      <c r="W564">
        <v>7</v>
      </c>
      <c r="X564">
        <v>8</v>
      </c>
      <c r="Y564">
        <f>IF(HR_data[[#This Row],[Attrition]]= "Yes",1,0)</f>
        <v>1</v>
      </c>
    </row>
    <row r="565" spans="1:25">
      <c r="A565">
        <v>564</v>
      </c>
      <c r="B565" t="s">
        <v>33</v>
      </c>
      <c r="C565" t="s">
        <v>25</v>
      </c>
      <c r="D565" t="s">
        <v>43</v>
      </c>
      <c r="E565" t="s">
        <v>27</v>
      </c>
      <c r="F565" t="s">
        <v>45</v>
      </c>
      <c r="G565">
        <v>1</v>
      </c>
      <c r="H565" t="s">
        <v>29</v>
      </c>
      <c r="I565" t="s">
        <v>30</v>
      </c>
      <c r="J565" t="s">
        <v>31</v>
      </c>
      <c r="K565" t="s">
        <v>33</v>
      </c>
      <c r="L565">
        <v>25</v>
      </c>
      <c r="M565">
        <v>26</v>
      </c>
      <c r="N565" t="s">
        <v>40</v>
      </c>
      <c r="O565">
        <v>3</v>
      </c>
      <c r="P565">
        <v>2</v>
      </c>
      <c r="Q565">
        <v>4</v>
      </c>
      <c r="R565">
        <v>6180</v>
      </c>
      <c r="S565">
        <v>6</v>
      </c>
      <c r="T565">
        <v>2</v>
      </c>
      <c r="U565">
        <v>6</v>
      </c>
      <c r="V565">
        <v>5</v>
      </c>
      <c r="W565">
        <v>1</v>
      </c>
      <c r="X565">
        <v>4</v>
      </c>
      <c r="Y565">
        <f>IF(HR_data[[#This Row],[Attrition]]= "Yes",1,0)</f>
        <v>0</v>
      </c>
    </row>
    <row r="566" spans="1:25">
      <c r="A566">
        <v>565</v>
      </c>
      <c r="B566" t="s">
        <v>33</v>
      </c>
      <c r="C566" t="s">
        <v>25</v>
      </c>
      <c r="D566" t="s">
        <v>35</v>
      </c>
      <c r="E566" t="s">
        <v>27</v>
      </c>
      <c r="F566" t="s">
        <v>57</v>
      </c>
      <c r="G566">
        <v>1</v>
      </c>
      <c r="H566" t="s">
        <v>37</v>
      </c>
      <c r="I566" t="s">
        <v>54</v>
      </c>
      <c r="J566" t="s">
        <v>31</v>
      </c>
      <c r="K566" t="s">
        <v>33</v>
      </c>
      <c r="L566">
        <v>45</v>
      </c>
      <c r="M566">
        <v>2</v>
      </c>
      <c r="N566" t="s">
        <v>32</v>
      </c>
      <c r="O566">
        <v>2</v>
      </c>
      <c r="P566">
        <v>2</v>
      </c>
      <c r="Q566">
        <v>3</v>
      </c>
      <c r="R566">
        <v>6632</v>
      </c>
      <c r="S566">
        <v>9</v>
      </c>
      <c r="T566">
        <v>3</v>
      </c>
      <c r="U566">
        <v>8</v>
      </c>
      <c r="V566">
        <v>7</v>
      </c>
      <c r="W566">
        <v>3</v>
      </c>
      <c r="X566">
        <v>1</v>
      </c>
      <c r="Y566">
        <f>IF(HR_data[[#This Row],[Attrition]]= "Yes",1,0)</f>
        <v>0</v>
      </c>
    </row>
    <row r="567" spans="1:25">
      <c r="A567">
        <v>566</v>
      </c>
      <c r="B567" t="s">
        <v>33</v>
      </c>
      <c r="C567" t="s">
        <v>25</v>
      </c>
      <c r="D567" t="s">
        <v>52</v>
      </c>
      <c r="E567" t="s">
        <v>36</v>
      </c>
      <c r="F567" t="s">
        <v>45</v>
      </c>
      <c r="G567">
        <v>1</v>
      </c>
      <c r="H567" t="s">
        <v>37</v>
      </c>
      <c r="I567" t="s">
        <v>38</v>
      </c>
      <c r="J567" t="s">
        <v>31</v>
      </c>
      <c r="K567" t="s">
        <v>33</v>
      </c>
      <c r="L567">
        <v>23</v>
      </c>
      <c r="M567">
        <v>10</v>
      </c>
      <c r="N567" t="s">
        <v>40</v>
      </c>
      <c r="O567">
        <v>1</v>
      </c>
      <c r="P567">
        <v>1</v>
      </c>
      <c r="Q567">
        <v>3</v>
      </c>
      <c r="R567">
        <v>3505</v>
      </c>
      <c r="S567">
        <v>2</v>
      </c>
      <c r="T567">
        <v>3</v>
      </c>
      <c r="U567">
        <v>2</v>
      </c>
      <c r="V567">
        <v>2</v>
      </c>
      <c r="W567">
        <v>0</v>
      </c>
      <c r="X567">
        <v>2</v>
      </c>
      <c r="Y567">
        <f>IF(HR_data[[#This Row],[Attrition]]= "Yes",1,0)</f>
        <v>0</v>
      </c>
    </row>
    <row r="568" spans="1:25">
      <c r="A568">
        <v>567</v>
      </c>
      <c r="B568" t="s">
        <v>24</v>
      </c>
      <c r="C568" t="s">
        <v>34</v>
      </c>
      <c r="D568" t="s">
        <v>35</v>
      </c>
      <c r="E568" t="s">
        <v>27</v>
      </c>
      <c r="F568" t="s">
        <v>28</v>
      </c>
      <c r="G568">
        <v>1</v>
      </c>
      <c r="H568" t="s">
        <v>29</v>
      </c>
      <c r="I568" t="s">
        <v>30</v>
      </c>
      <c r="J568" t="s">
        <v>31</v>
      </c>
      <c r="K568" t="s">
        <v>24</v>
      </c>
      <c r="L568">
        <v>47</v>
      </c>
      <c r="M568">
        <v>27</v>
      </c>
      <c r="N568" t="s">
        <v>32</v>
      </c>
      <c r="O568">
        <v>2</v>
      </c>
      <c r="P568">
        <v>2</v>
      </c>
      <c r="Q568">
        <v>3</v>
      </c>
      <c r="R568">
        <v>6397</v>
      </c>
      <c r="S568">
        <v>8</v>
      </c>
      <c r="T568">
        <v>3</v>
      </c>
      <c r="U568">
        <v>5</v>
      </c>
      <c r="V568">
        <v>4</v>
      </c>
      <c r="W568">
        <v>1</v>
      </c>
      <c r="X568">
        <v>3</v>
      </c>
      <c r="Y568">
        <f>IF(HR_data[[#This Row],[Attrition]]= "Yes",1,0)</f>
        <v>1</v>
      </c>
    </row>
    <row r="569" spans="1:25">
      <c r="A569">
        <v>568</v>
      </c>
      <c r="B569" t="s">
        <v>33</v>
      </c>
      <c r="C569" t="s">
        <v>25</v>
      </c>
      <c r="D569" t="s">
        <v>43</v>
      </c>
      <c r="E569" t="s">
        <v>27</v>
      </c>
      <c r="F569" t="s">
        <v>41</v>
      </c>
      <c r="G569">
        <v>1</v>
      </c>
      <c r="H569" t="s">
        <v>37</v>
      </c>
      <c r="I569" t="s">
        <v>30</v>
      </c>
      <c r="J569" t="s">
        <v>31</v>
      </c>
      <c r="K569" t="s">
        <v>33</v>
      </c>
      <c r="L569">
        <v>34</v>
      </c>
      <c r="M569">
        <v>2</v>
      </c>
      <c r="N569" t="s">
        <v>47</v>
      </c>
      <c r="O569">
        <v>4</v>
      </c>
      <c r="P569">
        <v>2</v>
      </c>
      <c r="Q569">
        <v>4</v>
      </c>
      <c r="R569">
        <v>6274</v>
      </c>
      <c r="S569">
        <v>6</v>
      </c>
      <c r="T569">
        <v>3</v>
      </c>
      <c r="U569">
        <v>6</v>
      </c>
      <c r="V569">
        <v>5</v>
      </c>
      <c r="W569">
        <v>1</v>
      </c>
      <c r="X569">
        <v>4</v>
      </c>
      <c r="Y569">
        <f>IF(HR_data[[#This Row],[Attrition]]= "Yes",1,0)</f>
        <v>0</v>
      </c>
    </row>
    <row r="570" spans="1:25">
      <c r="A570">
        <v>569</v>
      </c>
      <c r="B570" t="s">
        <v>24</v>
      </c>
      <c r="C570" t="s">
        <v>25</v>
      </c>
      <c r="D570" t="s">
        <v>46</v>
      </c>
      <c r="E570" t="s">
        <v>36</v>
      </c>
      <c r="F570" t="s">
        <v>45</v>
      </c>
      <c r="G570">
        <v>1</v>
      </c>
      <c r="H570" t="s">
        <v>37</v>
      </c>
      <c r="I570" t="s">
        <v>53</v>
      </c>
      <c r="J570" t="s">
        <v>39</v>
      </c>
      <c r="K570" t="s">
        <v>24</v>
      </c>
      <c r="L570">
        <v>55</v>
      </c>
      <c r="M570">
        <v>2</v>
      </c>
      <c r="N570" t="s">
        <v>47</v>
      </c>
      <c r="O570">
        <v>4</v>
      </c>
      <c r="P570">
        <v>5</v>
      </c>
      <c r="Q570">
        <v>1</v>
      </c>
      <c r="R570">
        <v>19859</v>
      </c>
      <c r="S570">
        <v>24</v>
      </c>
      <c r="T570">
        <v>3</v>
      </c>
      <c r="U570">
        <v>5</v>
      </c>
      <c r="V570">
        <v>2</v>
      </c>
      <c r="W570">
        <v>1</v>
      </c>
      <c r="X570">
        <v>4</v>
      </c>
      <c r="Y570">
        <f>IF(HR_data[[#This Row],[Attrition]]= "Yes",1,0)</f>
        <v>1</v>
      </c>
    </row>
    <row r="571" spans="1:25">
      <c r="A571">
        <v>570</v>
      </c>
      <c r="B571" t="s">
        <v>33</v>
      </c>
      <c r="C571" t="s">
        <v>51</v>
      </c>
      <c r="D571" t="s">
        <v>26</v>
      </c>
      <c r="E571" t="s">
        <v>27</v>
      </c>
      <c r="F571" t="s">
        <v>28</v>
      </c>
      <c r="G571">
        <v>1</v>
      </c>
      <c r="H571" t="s">
        <v>37</v>
      </c>
      <c r="I571" t="s">
        <v>30</v>
      </c>
      <c r="J571" t="s">
        <v>31</v>
      </c>
      <c r="K571" t="s">
        <v>33</v>
      </c>
      <c r="L571">
        <v>36</v>
      </c>
      <c r="M571">
        <v>8</v>
      </c>
      <c r="N571" t="s">
        <v>44</v>
      </c>
      <c r="O571">
        <v>1</v>
      </c>
      <c r="P571">
        <v>3</v>
      </c>
      <c r="Q571">
        <v>1</v>
      </c>
      <c r="R571">
        <v>7587</v>
      </c>
      <c r="S571">
        <v>10</v>
      </c>
      <c r="T571">
        <v>3</v>
      </c>
      <c r="U571">
        <v>10</v>
      </c>
      <c r="V571">
        <v>7</v>
      </c>
      <c r="W571">
        <v>0</v>
      </c>
      <c r="X571">
        <v>9</v>
      </c>
      <c r="Y571">
        <f>IF(HR_data[[#This Row],[Attrition]]= "Yes",1,0)</f>
        <v>0</v>
      </c>
    </row>
    <row r="572" spans="1:25">
      <c r="A572">
        <v>571</v>
      </c>
      <c r="B572" t="s">
        <v>33</v>
      </c>
      <c r="C572" t="s">
        <v>51</v>
      </c>
      <c r="D572" t="s">
        <v>35</v>
      </c>
      <c r="E572" t="s">
        <v>36</v>
      </c>
      <c r="F572" t="s">
        <v>45</v>
      </c>
      <c r="G572">
        <v>1</v>
      </c>
      <c r="H572" t="s">
        <v>37</v>
      </c>
      <c r="I572" t="s">
        <v>38</v>
      </c>
      <c r="J572" t="s">
        <v>39</v>
      </c>
      <c r="K572" t="s">
        <v>33</v>
      </c>
      <c r="L572">
        <v>52</v>
      </c>
      <c r="M572">
        <v>19</v>
      </c>
      <c r="N572" t="s">
        <v>44</v>
      </c>
      <c r="O572">
        <v>4</v>
      </c>
      <c r="P572">
        <v>1</v>
      </c>
      <c r="Q572">
        <v>4</v>
      </c>
      <c r="R572">
        <v>4258</v>
      </c>
      <c r="S572">
        <v>5</v>
      </c>
      <c r="T572">
        <v>3</v>
      </c>
      <c r="U572">
        <v>4</v>
      </c>
      <c r="V572">
        <v>3</v>
      </c>
      <c r="W572">
        <v>1</v>
      </c>
      <c r="X572">
        <v>2</v>
      </c>
      <c r="Y572">
        <f>IF(HR_data[[#This Row],[Attrition]]= "Yes",1,0)</f>
        <v>0</v>
      </c>
    </row>
    <row r="573" spans="1:25">
      <c r="A573">
        <v>572</v>
      </c>
      <c r="B573" t="s">
        <v>33</v>
      </c>
      <c r="C573" t="s">
        <v>34</v>
      </c>
      <c r="D573" t="s">
        <v>43</v>
      </c>
      <c r="E573" t="s">
        <v>36</v>
      </c>
      <c r="F573" t="s">
        <v>28</v>
      </c>
      <c r="G573">
        <v>1</v>
      </c>
      <c r="H573" t="s">
        <v>29</v>
      </c>
      <c r="I573" t="s">
        <v>42</v>
      </c>
      <c r="J573" t="s">
        <v>48</v>
      </c>
      <c r="K573" t="s">
        <v>33</v>
      </c>
      <c r="L573">
        <v>26</v>
      </c>
      <c r="M573">
        <v>1</v>
      </c>
      <c r="N573" t="s">
        <v>32</v>
      </c>
      <c r="O573">
        <v>1</v>
      </c>
      <c r="P573">
        <v>1</v>
      </c>
      <c r="Q573">
        <v>4</v>
      </c>
      <c r="R573">
        <v>4364</v>
      </c>
      <c r="S573">
        <v>5</v>
      </c>
      <c r="T573">
        <v>3</v>
      </c>
      <c r="U573">
        <v>2</v>
      </c>
      <c r="V573">
        <v>2</v>
      </c>
      <c r="W573">
        <v>2</v>
      </c>
      <c r="X573">
        <v>0</v>
      </c>
      <c r="Y573">
        <f>IF(HR_data[[#This Row],[Attrition]]= "Yes",1,0)</f>
        <v>0</v>
      </c>
    </row>
    <row r="574" spans="1:25">
      <c r="A574">
        <v>573</v>
      </c>
      <c r="B574" t="s">
        <v>33</v>
      </c>
      <c r="C574" t="s">
        <v>25</v>
      </c>
      <c r="D574" t="s">
        <v>43</v>
      </c>
      <c r="E574" t="s">
        <v>36</v>
      </c>
      <c r="F574" t="s">
        <v>45</v>
      </c>
      <c r="G574">
        <v>1</v>
      </c>
      <c r="H574" t="s">
        <v>29</v>
      </c>
      <c r="I574" t="s">
        <v>50</v>
      </c>
      <c r="J574" t="s">
        <v>39</v>
      </c>
      <c r="K574" t="s">
        <v>33</v>
      </c>
      <c r="L574">
        <v>29</v>
      </c>
      <c r="M574">
        <v>27</v>
      </c>
      <c r="N574" t="s">
        <v>47</v>
      </c>
      <c r="O574">
        <v>2</v>
      </c>
      <c r="P574">
        <v>2</v>
      </c>
      <c r="Q574">
        <v>3</v>
      </c>
      <c r="R574">
        <v>4335</v>
      </c>
      <c r="S574">
        <v>11</v>
      </c>
      <c r="T574">
        <v>2</v>
      </c>
      <c r="U574">
        <v>8</v>
      </c>
      <c r="V574">
        <v>7</v>
      </c>
      <c r="W574">
        <v>1</v>
      </c>
      <c r="X574">
        <v>1</v>
      </c>
      <c r="Y574">
        <f>IF(HR_data[[#This Row],[Attrition]]= "Yes",1,0)</f>
        <v>0</v>
      </c>
    </row>
    <row r="575" spans="1:25">
      <c r="A575">
        <v>574</v>
      </c>
      <c r="B575" t="s">
        <v>24</v>
      </c>
      <c r="C575" t="s">
        <v>25</v>
      </c>
      <c r="D575" t="s">
        <v>43</v>
      </c>
      <c r="E575" t="s">
        <v>27</v>
      </c>
      <c r="F575" t="s">
        <v>57</v>
      </c>
      <c r="G575">
        <v>1</v>
      </c>
      <c r="H575" t="s">
        <v>37</v>
      </c>
      <c r="I575" t="s">
        <v>30</v>
      </c>
      <c r="J575" t="s">
        <v>31</v>
      </c>
      <c r="K575" t="s">
        <v>33</v>
      </c>
      <c r="L575">
        <v>26</v>
      </c>
      <c r="M575">
        <v>8</v>
      </c>
      <c r="N575" t="s">
        <v>47</v>
      </c>
      <c r="O575">
        <v>4</v>
      </c>
      <c r="P575">
        <v>2</v>
      </c>
      <c r="Q575">
        <v>1</v>
      </c>
      <c r="R575">
        <v>5326</v>
      </c>
      <c r="S575">
        <v>6</v>
      </c>
      <c r="T575">
        <v>2</v>
      </c>
      <c r="U575">
        <v>4</v>
      </c>
      <c r="V575">
        <v>3</v>
      </c>
      <c r="W575">
        <v>1</v>
      </c>
      <c r="X575">
        <v>2</v>
      </c>
      <c r="Y575">
        <f>IF(HR_data[[#This Row],[Attrition]]= "Yes",1,0)</f>
        <v>1</v>
      </c>
    </row>
    <row r="576" spans="1:25">
      <c r="A576">
        <v>575</v>
      </c>
      <c r="B576" t="s">
        <v>33</v>
      </c>
      <c r="C576" t="s">
        <v>25</v>
      </c>
      <c r="D576" t="s">
        <v>43</v>
      </c>
      <c r="E576" t="s">
        <v>36</v>
      </c>
      <c r="F576" t="s">
        <v>28</v>
      </c>
      <c r="G576">
        <v>1</v>
      </c>
      <c r="H576" t="s">
        <v>29</v>
      </c>
      <c r="I576" t="s">
        <v>38</v>
      </c>
      <c r="J576" t="s">
        <v>31</v>
      </c>
      <c r="K576" t="s">
        <v>33</v>
      </c>
      <c r="L576">
        <v>34</v>
      </c>
      <c r="M576">
        <v>1</v>
      </c>
      <c r="N576" t="s">
        <v>44</v>
      </c>
      <c r="O576">
        <v>2</v>
      </c>
      <c r="P576">
        <v>1</v>
      </c>
      <c r="Q576">
        <v>4</v>
      </c>
      <c r="R576">
        <v>3280</v>
      </c>
      <c r="S576">
        <v>10</v>
      </c>
      <c r="T576">
        <v>3</v>
      </c>
      <c r="U576">
        <v>4</v>
      </c>
      <c r="V576">
        <v>2</v>
      </c>
      <c r="W576">
        <v>1</v>
      </c>
      <c r="X576">
        <v>3</v>
      </c>
      <c r="Y576">
        <f>IF(HR_data[[#This Row],[Attrition]]= "Yes",1,0)</f>
        <v>0</v>
      </c>
    </row>
    <row r="577" spans="1:25">
      <c r="A577">
        <v>576</v>
      </c>
      <c r="B577" t="s">
        <v>33</v>
      </c>
      <c r="C577" t="s">
        <v>25</v>
      </c>
      <c r="D577" t="s">
        <v>35</v>
      </c>
      <c r="E577" t="s">
        <v>36</v>
      </c>
      <c r="F577" t="s">
        <v>45</v>
      </c>
      <c r="G577">
        <v>1</v>
      </c>
      <c r="H577" t="s">
        <v>29</v>
      </c>
      <c r="I577" t="s">
        <v>49</v>
      </c>
      <c r="J577" t="s">
        <v>48</v>
      </c>
      <c r="K577" t="s">
        <v>24</v>
      </c>
      <c r="L577">
        <v>54</v>
      </c>
      <c r="M577">
        <v>19</v>
      </c>
      <c r="N577" t="s">
        <v>44</v>
      </c>
      <c r="O577">
        <v>4</v>
      </c>
      <c r="P577">
        <v>2</v>
      </c>
      <c r="Q577">
        <v>1</v>
      </c>
      <c r="R577">
        <v>5485</v>
      </c>
      <c r="S577">
        <v>9</v>
      </c>
      <c r="T577">
        <v>3</v>
      </c>
      <c r="U577">
        <v>5</v>
      </c>
      <c r="V577">
        <v>3</v>
      </c>
      <c r="W577">
        <v>1</v>
      </c>
      <c r="X577">
        <v>4</v>
      </c>
      <c r="Y577">
        <f>IF(HR_data[[#This Row],[Attrition]]= "Yes",1,0)</f>
        <v>0</v>
      </c>
    </row>
    <row r="578" spans="1:25">
      <c r="A578">
        <v>577</v>
      </c>
      <c r="B578" t="s">
        <v>33</v>
      </c>
      <c r="C578" t="s">
        <v>34</v>
      </c>
      <c r="D578" t="s">
        <v>43</v>
      </c>
      <c r="E578" t="s">
        <v>27</v>
      </c>
      <c r="F578" t="s">
        <v>56</v>
      </c>
      <c r="G578">
        <v>1</v>
      </c>
      <c r="H578" t="s">
        <v>37</v>
      </c>
      <c r="I578" t="s">
        <v>30</v>
      </c>
      <c r="J578" t="s">
        <v>39</v>
      </c>
      <c r="K578" t="s">
        <v>33</v>
      </c>
      <c r="L578">
        <v>27</v>
      </c>
      <c r="M578">
        <v>8</v>
      </c>
      <c r="N578" t="s">
        <v>40</v>
      </c>
      <c r="O578">
        <v>3</v>
      </c>
      <c r="P578">
        <v>2</v>
      </c>
      <c r="Q578">
        <v>4</v>
      </c>
      <c r="R578">
        <v>4342</v>
      </c>
      <c r="S578">
        <v>5</v>
      </c>
      <c r="T578">
        <v>3</v>
      </c>
      <c r="U578">
        <v>4</v>
      </c>
      <c r="V578">
        <v>2</v>
      </c>
      <c r="W578">
        <v>1</v>
      </c>
      <c r="X578">
        <v>1</v>
      </c>
      <c r="Y578">
        <f>IF(HR_data[[#This Row],[Attrition]]= "Yes",1,0)</f>
        <v>0</v>
      </c>
    </row>
    <row r="579" spans="1:25">
      <c r="A579">
        <v>578</v>
      </c>
      <c r="B579" t="s">
        <v>33</v>
      </c>
      <c r="C579" t="s">
        <v>25</v>
      </c>
      <c r="D579" t="s">
        <v>26</v>
      </c>
      <c r="E579" t="s">
        <v>36</v>
      </c>
      <c r="F579" t="s">
        <v>28</v>
      </c>
      <c r="G579">
        <v>1</v>
      </c>
      <c r="H579" t="s">
        <v>29</v>
      </c>
      <c r="I579" t="s">
        <v>38</v>
      </c>
      <c r="J579" t="s">
        <v>48</v>
      </c>
      <c r="K579" t="s">
        <v>24</v>
      </c>
      <c r="L579">
        <v>37</v>
      </c>
      <c r="M579">
        <v>10</v>
      </c>
      <c r="N579" t="s">
        <v>40</v>
      </c>
      <c r="O579">
        <v>4</v>
      </c>
      <c r="P579">
        <v>1</v>
      </c>
      <c r="Q579">
        <v>1</v>
      </c>
      <c r="R579">
        <v>2782</v>
      </c>
      <c r="S579">
        <v>6</v>
      </c>
      <c r="T579">
        <v>2</v>
      </c>
      <c r="U579">
        <v>5</v>
      </c>
      <c r="V579">
        <v>3</v>
      </c>
      <c r="W579">
        <v>4</v>
      </c>
      <c r="X579">
        <v>3</v>
      </c>
      <c r="Y579">
        <f>IF(HR_data[[#This Row],[Attrition]]= "Yes",1,0)</f>
        <v>0</v>
      </c>
    </row>
    <row r="580" spans="1:25">
      <c r="A580">
        <v>579</v>
      </c>
      <c r="B580" t="s">
        <v>33</v>
      </c>
      <c r="C580" t="s">
        <v>34</v>
      </c>
      <c r="D580" t="s">
        <v>26</v>
      </c>
      <c r="E580" t="s">
        <v>36</v>
      </c>
      <c r="F580" t="s">
        <v>28</v>
      </c>
      <c r="G580">
        <v>1</v>
      </c>
      <c r="H580" t="s">
        <v>29</v>
      </c>
      <c r="I580" t="s">
        <v>49</v>
      </c>
      <c r="J580" t="s">
        <v>31</v>
      </c>
      <c r="K580" t="s">
        <v>24</v>
      </c>
      <c r="L580">
        <v>38</v>
      </c>
      <c r="M580">
        <v>2</v>
      </c>
      <c r="N580" t="s">
        <v>44</v>
      </c>
      <c r="O580">
        <v>1</v>
      </c>
      <c r="P580">
        <v>2</v>
      </c>
      <c r="Q580">
        <v>1</v>
      </c>
      <c r="R580">
        <v>5980</v>
      </c>
      <c r="S580">
        <v>17</v>
      </c>
      <c r="T580">
        <v>3</v>
      </c>
      <c r="U580">
        <v>15</v>
      </c>
      <c r="V580">
        <v>7</v>
      </c>
      <c r="W580">
        <v>4</v>
      </c>
      <c r="X580">
        <v>12</v>
      </c>
      <c r="Y580">
        <f>IF(HR_data[[#This Row],[Attrition]]= "Yes",1,0)</f>
        <v>0</v>
      </c>
    </row>
    <row r="581" spans="1:25">
      <c r="A581">
        <v>580</v>
      </c>
      <c r="B581" t="s">
        <v>33</v>
      </c>
      <c r="C581" t="s">
        <v>25</v>
      </c>
      <c r="D581" t="s">
        <v>43</v>
      </c>
      <c r="E581" t="s">
        <v>36</v>
      </c>
      <c r="F581" t="s">
        <v>45</v>
      </c>
      <c r="G581">
        <v>1</v>
      </c>
      <c r="H581" t="s">
        <v>29</v>
      </c>
      <c r="I581" t="s">
        <v>38</v>
      </c>
      <c r="J581" t="s">
        <v>31</v>
      </c>
      <c r="K581" t="s">
        <v>33</v>
      </c>
      <c r="L581">
        <v>34</v>
      </c>
      <c r="M581">
        <v>2</v>
      </c>
      <c r="N581" t="s">
        <v>44</v>
      </c>
      <c r="O581">
        <v>3</v>
      </c>
      <c r="P581">
        <v>1</v>
      </c>
      <c r="Q581">
        <v>1</v>
      </c>
      <c r="R581">
        <v>4381</v>
      </c>
      <c r="S581">
        <v>6</v>
      </c>
      <c r="T581">
        <v>3</v>
      </c>
      <c r="U581">
        <v>6</v>
      </c>
      <c r="V581">
        <v>5</v>
      </c>
      <c r="W581">
        <v>1</v>
      </c>
      <c r="X581">
        <v>3</v>
      </c>
      <c r="Y581">
        <f>IF(HR_data[[#This Row],[Attrition]]= "Yes",1,0)</f>
        <v>0</v>
      </c>
    </row>
    <row r="582" spans="1:25">
      <c r="A582">
        <v>581</v>
      </c>
      <c r="B582" t="s">
        <v>33</v>
      </c>
      <c r="C582" t="s">
        <v>25</v>
      </c>
      <c r="D582" t="s">
        <v>26</v>
      </c>
      <c r="E582" t="s">
        <v>27</v>
      </c>
      <c r="F582" t="s">
        <v>28</v>
      </c>
      <c r="G582">
        <v>1</v>
      </c>
      <c r="H582" t="s">
        <v>29</v>
      </c>
      <c r="I582" t="s">
        <v>54</v>
      </c>
      <c r="J582" t="s">
        <v>39</v>
      </c>
      <c r="K582" t="s">
        <v>33</v>
      </c>
      <c r="L582">
        <v>35</v>
      </c>
      <c r="M582">
        <v>8</v>
      </c>
      <c r="N582" t="s">
        <v>44</v>
      </c>
      <c r="O582">
        <v>1</v>
      </c>
      <c r="P582">
        <v>1</v>
      </c>
      <c r="Q582">
        <v>4</v>
      </c>
      <c r="R582">
        <v>2572</v>
      </c>
      <c r="S582">
        <v>3</v>
      </c>
      <c r="T582">
        <v>2</v>
      </c>
      <c r="U582">
        <v>3</v>
      </c>
      <c r="V582">
        <v>2</v>
      </c>
      <c r="W582">
        <v>0</v>
      </c>
      <c r="X582">
        <v>2</v>
      </c>
      <c r="Y582">
        <f>IF(HR_data[[#This Row],[Attrition]]= "Yes",1,0)</f>
        <v>0</v>
      </c>
    </row>
    <row r="583" spans="1:25">
      <c r="A583">
        <v>582</v>
      </c>
      <c r="B583" t="s">
        <v>33</v>
      </c>
      <c r="C583" t="s">
        <v>25</v>
      </c>
      <c r="D583" t="s">
        <v>43</v>
      </c>
      <c r="E583" t="s">
        <v>36</v>
      </c>
      <c r="F583" t="s">
        <v>28</v>
      </c>
      <c r="G583">
        <v>1</v>
      </c>
      <c r="H583" t="s">
        <v>37</v>
      </c>
      <c r="I583" t="s">
        <v>42</v>
      </c>
      <c r="J583" t="s">
        <v>39</v>
      </c>
      <c r="K583" t="s">
        <v>33</v>
      </c>
      <c r="L583">
        <v>30</v>
      </c>
      <c r="M583">
        <v>1</v>
      </c>
      <c r="N583" t="s">
        <v>47</v>
      </c>
      <c r="O583">
        <v>4</v>
      </c>
      <c r="P583">
        <v>1</v>
      </c>
      <c r="Q583">
        <v>3</v>
      </c>
      <c r="R583">
        <v>3833</v>
      </c>
      <c r="S583">
        <v>7</v>
      </c>
      <c r="T583">
        <v>3</v>
      </c>
      <c r="U583">
        <v>2</v>
      </c>
      <c r="V583">
        <v>2</v>
      </c>
      <c r="W583">
        <v>0</v>
      </c>
      <c r="X583">
        <v>2</v>
      </c>
      <c r="Y583">
        <f>IF(HR_data[[#This Row],[Attrition]]= "Yes",1,0)</f>
        <v>0</v>
      </c>
    </row>
    <row r="584" spans="1:25">
      <c r="A584">
        <v>583</v>
      </c>
      <c r="B584" t="s">
        <v>33</v>
      </c>
      <c r="C584" t="s">
        <v>34</v>
      </c>
      <c r="D584" t="s">
        <v>26</v>
      </c>
      <c r="E584" t="s">
        <v>36</v>
      </c>
      <c r="F584" t="s">
        <v>45</v>
      </c>
      <c r="G584">
        <v>1</v>
      </c>
      <c r="H584" t="s">
        <v>29</v>
      </c>
      <c r="I584" t="s">
        <v>50</v>
      </c>
      <c r="J584" t="s">
        <v>39</v>
      </c>
      <c r="K584" t="s">
        <v>33</v>
      </c>
      <c r="L584">
        <v>40</v>
      </c>
      <c r="M584">
        <v>2</v>
      </c>
      <c r="N584" t="s">
        <v>32</v>
      </c>
      <c r="O584">
        <v>3</v>
      </c>
      <c r="P584">
        <v>2</v>
      </c>
      <c r="Q584">
        <v>2</v>
      </c>
      <c r="R584">
        <v>4244</v>
      </c>
      <c r="S584">
        <v>8</v>
      </c>
      <c r="T584">
        <v>3</v>
      </c>
      <c r="U584">
        <v>8</v>
      </c>
      <c r="V584">
        <v>7</v>
      </c>
      <c r="W584">
        <v>3</v>
      </c>
      <c r="X584">
        <v>7</v>
      </c>
      <c r="Y584">
        <f>IF(HR_data[[#This Row],[Attrition]]= "Yes",1,0)</f>
        <v>0</v>
      </c>
    </row>
    <row r="585" spans="1:25">
      <c r="A585">
        <v>584</v>
      </c>
      <c r="B585" t="s">
        <v>33</v>
      </c>
      <c r="C585" t="s">
        <v>25</v>
      </c>
      <c r="D585" t="s">
        <v>43</v>
      </c>
      <c r="E585" t="s">
        <v>27</v>
      </c>
      <c r="F585" t="s">
        <v>28</v>
      </c>
      <c r="G585">
        <v>1</v>
      </c>
      <c r="H585" t="s">
        <v>29</v>
      </c>
      <c r="I585" t="s">
        <v>30</v>
      </c>
      <c r="J585" t="s">
        <v>39</v>
      </c>
      <c r="K585" t="s">
        <v>33</v>
      </c>
      <c r="L585">
        <v>34</v>
      </c>
      <c r="M585">
        <v>8</v>
      </c>
      <c r="N585" t="s">
        <v>32</v>
      </c>
      <c r="O585">
        <v>3</v>
      </c>
      <c r="P585">
        <v>2</v>
      </c>
      <c r="Q585">
        <v>1</v>
      </c>
      <c r="R585">
        <v>6500</v>
      </c>
      <c r="S585">
        <v>6</v>
      </c>
      <c r="T585">
        <v>3</v>
      </c>
      <c r="U585">
        <v>3</v>
      </c>
      <c r="V585">
        <v>2</v>
      </c>
      <c r="W585">
        <v>1</v>
      </c>
      <c r="X585">
        <v>2</v>
      </c>
      <c r="Y585">
        <f>IF(HR_data[[#This Row],[Attrition]]= "Yes",1,0)</f>
        <v>0</v>
      </c>
    </row>
    <row r="586" spans="1:25">
      <c r="A586">
        <v>585</v>
      </c>
      <c r="B586" t="s">
        <v>33</v>
      </c>
      <c r="C586" t="s">
        <v>34</v>
      </c>
      <c r="D586" t="s">
        <v>26</v>
      </c>
      <c r="E586" t="s">
        <v>36</v>
      </c>
      <c r="F586" t="s">
        <v>28</v>
      </c>
      <c r="G586">
        <v>1</v>
      </c>
      <c r="H586" t="s">
        <v>37</v>
      </c>
      <c r="I586" t="s">
        <v>53</v>
      </c>
      <c r="J586" t="s">
        <v>48</v>
      </c>
      <c r="K586" t="s">
        <v>33</v>
      </c>
      <c r="L586">
        <v>42</v>
      </c>
      <c r="M586">
        <v>8</v>
      </c>
      <c r="N586" t="s">
        <v>47</v>
      </c>
      <c r="O586">
        <v>2</v>
      </c>
      <c r="P586">
        <v>5</v>
      </c>
      <c r="Q586">
        <v>4</v>
      </c>
      <c r="R586">
        <v>18430</v>
      </c>
      <c r="S586">
        <v>24</v>
      </c>
      <c r="T586">
        <v>2</v>
      </c>
      <c r="U586">
        <v>24</v>
      </c>
      <c r="V586">
        <v>7</v>
      </c>
      <c r="W586">
        <v>14</v>
      </c>
      <c r="X586">
        <v>9</v>
      </c>
      <c r="Y586">
        <f>IF(HR_data[[#This Row],[Attrition]]= "Yes",1,0)</f>
        <v>0</v>
      </c>
    </row>
    <row r="587" spans="1:25">
      <c r="A587">
        <v>586</v>
      </c>
      <c r="B587" t="s">
        <v>24</v>
      </c>
      <c r="C587" t="s">
        <v>25</v>
      </c>
      <c r="D587" t="s">
        <v>52</v>
      </c>
      <c r="E587" t="s">
        <v>36</v>
      </c>
      <c r="F587" t="s">
        <v>28</v>
      </c>
      <c r="G587">
        <v>1</v>
      </c>
      <c r="H587" t="s">
        <v>37</v>
      </c>
      <c r="I587" t="s">
        <v>42</v>
      </c>
      <c r="J587" t="s">
        <v>39</v>
      </c>
      <c r="K587" t="s">
        <v>24</v>
      </c>
      <c r="L587">
        <v>23</v>
      </c>
      <c r="M587">
        <v>6</v>
      </c>
      <c r="N587" t="s">
        <v>47</v>
      </c>
      <c r="O587">
        <v>3</v>
      </c>
      <c r="P587">
        <v>1</v>
      </c>
      <c r="Q587">
        <v>1</v>
      </c>
      <c r="R587">
        <v>1601</v>
      </c>
      <c r="S587">
        <v>1</v>
      </c>
      <c r="T587">
        <v>3</v>
      </c>
      <c r="U587">
        <v>0</v>
      </c>
      <c r="V587">
        <v>0</v>
      </c>
      <c r="W587">
        <v>0</v>
      </c>
      <c r="X587">
        <v>0</v>
      </c>
      <c r="Y587">
        <f>IF(HR_data[[#This Row],[Attrition]]= "Yes",1,0)</f>
        <v>1</v>
      </c>
    </row>
    <row r="588" spans="1:25">
      <c r="A588">
        <v>587</v>
      </c>
      <c r="B588" t="s">
        <v>33</v>
      </c>
      <c r="C588" t="s">
        <v>51</v>
      </c>
      <c r="D588" t="s">
        <v>52</v>
      </c>
      <c r="E588" t="s">
        <v>36</v>
      </c>
      <c r="F588" t="s">
        <v>28</v>
      </c>
      <c r="G588">
        <v>1</v>
      </c>
      <c r="H588" t="s">
        <v>37</v>
      </c>
      <c r="I588" t="s">
        <v>42</v>
      </c>
      <c r="J588" t="s">
        <v>48</v>
      </c>
      <c r="K588" t="s">
        <v>33</v>
      </c>
      <c r="L588">
        <v>24</v>
      </c>
      <c r="M588">
        <v>9</v>
      </c>
      <c r="N588" t="s">
        <v>47</v>
      </c>
      <c r="O588">
        <v>3</v>
      </c>
      <c r="P588">
        <v>1</v>
      </c>
      <c r="Q588">
        <v>2</v>
      </c>
      <c r="R588">
        <v>2694</v>
      </c>
      <c r="S588">
        <v>1</v>
      </c>
      <c r="T588">
        <v>3</v>
      </c>
      <c r="U588">
        <v>1</v>
      </c>
      <c r="V588">
        <v>0</v>
      </c>
      <c r="W588">
        <v>0</v>
      </c>
      <c r="X588">
        <v>0</v>
      </c>
      <c r="Y588">
        <f>IF(HR_data[[#This Row],[Attrition]]= "Yes",1,0)</f>
        <v>0</v>
      </c>
    </row>
    <row r="589" spans="1:25">
      <c r="A589">
        <v>588</v>
      </c>
      <c r="B589" t="s">
        <v>33</v>
      </c>
      <c r="C589" t="s">
        <v>25</v>
      </c>
      <c r="D589" t="s">
        <v>35</v>
      </c>
      <c r="E589" t="s">
        <v>36</v>
      </c>
      <c r="F589" t="s">
        <v>28</v>
      </c>
      <c r="G589">
        <v>1</v>
      </c>
      <c r="H589" t="s">
        <v>29</v>
      </c>
      <c r="I589" t="s">
        <v>42</v>
      </c>
      <c r="J589" t="s">
        <v>39</v>
      </c>
      <c r="K589" t="s">
        <v>33</v>
      </c>
      <c r="L589">
        <v>52</v>
      </c>
      <c r="M589">
        <v>11</v>
      </c>
      <c r="N589" t="s">
        <v>44</v>
      </c>
      <c r="O589">
        <v>4</v>
      </c>
      <c r="P589">
        <v>2</v>
      </c>
      <c r="Q589">
        <v>3</v>
      </c>
      <c r="R589">
        <v>3149</v>
      </c>
      <c r="S589">
        <v>9</v>
      </c>
      <c r="T589">
        <v>3</v>
      </c>
      <c r="U589">
        <v>5</v>
      </c>
      <c r="V589">
        <v>2</v>
      </c>
      <c r="W589">
        <v>1</v>
      </c>
      <c r="X589">
        <v>4</v>
      </c>
      <c r="Y589">
        <f>IF(HR_data[[#This Row],[Attrition]]= "Yes",1,0)</f>
        <v>0</v>
      </c>
    </row>
    <row r="590" spans="1:25">
      <c r="A590">
        <v>589</v>
      </c>
      <c r="B590" t="s">
        <v>33</v>
      </c>
      <c r="C590" t="s">
        <v>25</v>
      </c>
      <c r="D590" t="s">
        <v>35</v>
      </c>
      <c r="E590" t="s">
        <v>36</v>
      </c>
      <c r="F590" t="s">
        <v>45</v>
      </c>
      <c r="G590">
        <v>1</v>
      </c>
      <c r="H590" t="s">
        <v>37</v>
      </c>
      <c r="I590" t="s">
        <v>55</v>
      </c>
      <c r="J590" t="s">
        <v>39</v>
      </c>
      <c r="K590" t="s">
        <v>33</v>
      </c>
      <c r="L590">
        <v>50</v>
      </c>
      <c r="M590">
        <v>2</v>
      </c>
      <c r="N590" t="s">
        <v>47</v>
      </c>
      <c r="O590">
        <v>3</v>
      </c>
      <c r="P590">
        <v>4</v>
      </c>
      <c r="Q590">
        <v>3</v>
      </c>
      <c r="R590">
        <v>17639</v>
      </c>
      <c r="S590">
        <v>30</v>
      </c>
      <c r="T590">
        <v>3</v>
      </c>
      <c r="U590">
        <v>4</v>
      </c>
      <c r="V590">
        <v>3</v>
      </c>
      <c r="W590">
        <v>0</v>
      </c>
      <c r="X590">
        <v>3</v>
      </c>
      <c r="Y590">
        <f>IF(HR_data[[#This Row],[Attrition]]= "Yes",1,0)</f>
        <v>0</v>
      </c>
    </row>
    <row r="591" spans="1:25">
      <c r="A591">
        <v>590</v>
      </c>
      <c r="B591" t="s">
        <v>24</v>
      </c>
      <c r="C591" t="s">
        <v>25</v>
      </c>
      <c r="D591" t="s">
        <v>43</v>
      </c>
      <c r="E591" t="s">
        <v>36</v>
      </c>
      <c r="F591" t="s">
        <v>28</v>
      </c>
      <c r="G591">
        <v>1</v>
      </c>
      <c r="H591" t="s">
        <v>29</v>
      </c>
      <c r="I591" t="s">
        <v>42</v>
      </c>
      <c r="J591" t="s">
        <v>39</v>
      </c>
      <c r="K591" t="s">
        <v>24</v>
      </c>
      <c r="L591">
        <v>29</v>
      </c>
      <c r="M591">
        <v>1</v>
      </c>
      <c r="N591" t="s">
        <v>32</v>
      </c>
      <c r="O591">
        <v>2</v>
      </c>
      <c r="P591">
        <v>1</v>
      </c>
      <c r="Q591">
        <v>1</v>
      </c>
      <c r="R591">
        <v>2319</v>
      </c>
      <c r="S591">
        <v>1</v>
      </c>
      <c r="T591">
        <v>3</v>
      </c>
      <c r="U591">
        <v>1</v>
      </c>
      <c r="V591">
        <v>0</v>
      </c>
      <c r="W591">
        <v>0</v>
      </c>
      <c r="X591">
        <v>0</v>
      </c>
      <c r="Y591">
        <f>IF(HR_data[[#This Row],[Attrition]]= "Yes",1,0)</f>
        <v>1</v>
      </c>
    </row>
    <row r="592" spans="1:25">
      <c r="A592">
        <v>591</v>
      </c>
      <c r="B592" t="s">
        <v>33</v>
      </c>
      <c r="C592" t="s">
        <v>25</v>
      </c>
      <c r="D592" t="s">
        <v>43</v>
      </c>
      <c r="E592" t="s">
        <v>36</v>
      </c>
      <c r="F592" t="s">
        <v>45</v>
      </c>
      <c r="G592">
        <v>1</v>
      </c>
      <c r="H592" t="s">
        <v>37</v>
      </c>
      <c r="I592" t="s">
        <v>55</v>
      </c>
      <c r="J592" t="s">
        <v>39</v>
      </c>
      <c r="K592" t="s">
        <v>33</v>
      </c>
      <c r="L592">
        <v>33</v>
      </c>
      <c r="M592">
        <v>7</v>
      </c>
      <c r="N592" t="s">
        <v>47</v>
      </c>
      <c r="O592">
        <v>3</v>
      </c>
      <c r="P592">
        <v>3</v>
      </c>
      <c r="Q592">
        <v>3</v>
      </c>
      <c r="R592">
        <v>11691</v>
      </c>
      <c r="S592">
        <v>14</v>
      </c>
      <c r="T592">
        <v>4</v>
      </c>
      <c r="U592">
        <v>13</v>
      </c>
      <c r="V592">
        <v>9</v>
      </c>
      <c r="W592">
        <v>3</v>
      </c>
      <c r="X592">
        <v>7</v>
      </c>
      <c r="Y592">
        <f>IF(HR_data[[#This Row],[Attrition]]= "Yes",1,0)</f>
        <v>0</v>
      </c>
    </row>
    <row r="593" spans="1:25">
      <c r="A593">
        <v>592</v>
      </c>
      <c r="B593" t="s">
        <v>24</v>
      </c>
      <c r="C593" t="s">
        <v>25</v>
      </c>
      <c r="D593" t="s">
        <v>43</v>
      </c>
      <c r="E593" t="s">
        <v>27</v>
      </c>
      <c r="F593" t="s">
        <v>56</v>
      </c>
      <c r="G593">
        <v>1</v>
      </c>
      <c r="H593" t="s">
        <v>29</v>
      </c>
      <c r="I593" t="s">
        <v>30</v>
      </c>
      <c r="J593" t="s">
        <v>31</v>
      </c>
      <c r="K593" t="s">
        <v>33</v>
      </c>
      <c r="L593">
        <v>33</v>
      </c>
      <c r="M593">
        <v>16</v>
      </c>
      <c r="N593" t="s">
        <v>47</v>
      </c>
      <c r="O593">
        <v>1</v>
      </c>
      <c r="P593">
        <v>2</v>
      </c>
      <c r="Q593">
        <v>1</v>
      </c>
      <c r="R593">
        <v>5324</v>
      </c>
      <c r="S593">
        <v>6</v>
      </c>
      <c r="T593">
        <v>3</v>
      </c>
      <c r="U593">
        <v>3</v>
      </c>
      <c r="V593">
        <v>2</v>
      </c>
      <c r="W593">
        <v>0</v>
      </c>
      <c r="X593">
        <v>2</v>
      </c>
      <c r="Y593">
        <f>IF(HR_data[[#This Row],[Attrition]]= "Yes",1,0)</f>
        <v>1</v>
      </c>
    </row>
    <row r="594" spans="1:25">
      <c r="A594">
        <v>593</v>
      </c>
      <c r="B594" t="s">
        <v>33</v>
      </c>
      <c r="C594" t="s">
        <v>25</v>
      </c>
      <c r="D594" t="s">
        <v>35</v>
      </c>
      <c r="E594" t="s">
        <v>36</v>
      </c>
      <c r="F594" t="s">
        <v>41</v>
      </c>
      <c r="G594">
        <v>1</v>
      </c>
      <c r="H594" t="s">
        <v>29</v>
      </c>
      <c r="I594" t="s">
        <v>53</v>
      </c>
      <c r="J594" t="s">
        <v>39</v>
      </c>
      <c r="K594" t="s">
        <v>24</v>
      </c>
      <c r="L594">
        <v>47</v>
      </c>
      <c r="M594">
        <v>2</v>
      </c>
      <c r="N594" t="s">
        <v>32</v>
      </c>
      <c r="O594">
        <v>3</v>
      </c>
      <c r="P594">
        <v>4</v>
      </c>
      <c r="Q594">
        <v>4</v>
      </c>
      <c r="R594">
        <v>16752</v>
      </c>
      <c r="S594">
        <v>26</v>
      </c>
      <c r="T594">
        <v>2</v>
      </c>
      <c r="U594">
        <v>26</v>
      </c>
      <c r="V594">
        <v>14</v>
      </c>
      <c r="W594">
        <v>3</v>
      </c>
      <c r="X594">
        <v>0</v>
      </c>
      <c r="Y594">
        <f>IF(HR_data[[#This Row],[Attrition]]= "Yes",1,0)</f>
        <v>0</v>
      </c>
    </row>
    <row r="595" spans="1:25">
      <c r="A595">
        <v>594</v>
      </c>
      <c r="B595" t="s">
        <v>33</v>
      </c>
      <c r="C595" t="s">
        <v>25</v>
      </c>
      <c r="D595" t="s">
        <v>26</v>
      </c>
      <c r="E595" t="s">
        <v>36</v>
      </c>
      <c r="F595" t="s">
        <v>41</v>
      </c>
      <c r="G595">
        <v>1</v>
      </c>
      <c r="H595" t="s">
        <v>29</v>
      </c>
      <c r="I595" t="s">
        <v>49</v>
      </c>
      <c r="J595" t="s">
        <v>39</v>
      </c>
      <c r="K595" t="s">
        <v>33</v>
      </c>
      <c r="L595">
        <v>36</v>
      </c>
      <c r="M595">
        <v>1</v>
      </c>
      <c r="N595" t="s">
        <v>47</v>
      </c>
      <c r="O595">
        <v>3</v>
      </c>
      <c r="P595">
        <v>2</v>
      </c>
      <c r="Q595">
        <v>2</v>
      </c>
      <c r="R595">
        <v>5228</v>
      </c>
      <c r="S595">
        <v>10</v>
      </c>
      <c r="T595">
        <v>3</v>
      </c>
      <c r="U595">
        <v>9</v>
      </c>
      <c r="V595">
        <v>7</v>
      </c>
      <c r="W595">
        <v>0</v>
      </c>
      <c r="X595">
        <v>5</v>
      </c>
      <c r="Y595">
        <f>IF(HR_data[[#This Row],[Attrition]]= "Yes",1,0)</f>
        <v>0</v>
      </c>
    </row>
    <row r="596" spans="1:25">
      <c r="A596">
        <v>595</v>
      </c>
      <c r="B596" t="s">
        <v>33</v>
      </c>
      <c r="C596" t="s">
        <v>25</v>
      </c>
      <c r="D596" t="s">
        <v>43</v>
      </c>
      <c r="E596" t="s">
        <v>36</v>
      </c>
      <c r="F596" t="s">
        <v>28</v>
      </c>
      <c r="G596">
        <v>1</v>
      </c>
      <c r="H596" t="s">
        <v>37</v>
      </c>
      <c r="I596" t="s">
        <v>38</v>
      </c>
      <c r="J596" t="s">
        <v>39</v>
      </c>
      <c r="K596" t="s">
        <v>33</v>
      </c>
      <c r="L596">
        <v>29</v>
      </c>
      <c r="M596">
        <v>23</v>
      </c>
      <c r="N596" t="s">
        <v>32</v>
      </c>
      <c r="O596">
        <v>3</v>
      </c>
      <c r="P596">
        <v>1</v>
      </c>
      <c r="Q596">
        <v>3</v>
      </c>
      <c r="R596">
        <v>2700</v>
      </c>
      <c r="S596">
        <v>10</v>
      </c>
      <c r="T596">
        <v>3</v>
      </c>
      <c r="U596">
        <v>10</v>
      </c>
      <c r="V596">
        <v>7</v>
      </c>
      <c r="W596">
        <v>0</v>
      </c>
      <c r="X596">
        <v>7</v>
      </c>
      <c r="Y596">
        <f>IF(HR_data[[#This Row],[Attrition]]= "Yes",1,0)</f>
        <v>0</v>
      </c>
    </row>
    <row r="597" spans="1:25">
      <c r="A597">
        <v>596</v>
      </c>
      <c r="B597" t="s">
        <v>24</v>
      </c>
      <c r="C597" t="s">
        <v>25</v>
      </c>
      <c r="D597" t="s">
        <v>46</v>
      </c>
      <c r="E597" t="s">
        <v>36</v>
      </c>
      <c r="F597" t="s">
        <v>28</v>
      </c>
      <c r="G597">
        <v>1</v>
      </c>
      <c r="H597" t="s">
        <v>37</v>
      </c>
      <c r="I597" t="s">
        <v>55</v>
      </c>
      <c r="J597" t="s">
        <v>31</v>
      </c>
      <c r="K597" t="s">
        <v>24</v>
      </c>
      <c r="L597">
        <v>58</v>
      </c>
      <c r="M597">
        <v>2</v>
      </c>
      <c r="N597" t="s">
        <v>44</v>
      </c>
      <c r="O597">
        <v>4</v>
      </c>
      <c r="P597">
        <v>5</v>
      </c>
      <c r="Q597">
        <v>2</v>
      </c>
      <c r="R597">
        <v>19246</v>
      </c>
      <c r="S597">
        <v>40</v>
      </c>
      <c r="T597">
        <v>3</v>
      </c>
      <c r="U597">
        <v>31</v>
      </c>
      <c r="V597">
        <v>15</v>
      </c>
      <c r="W597">
        <v>13</v>
      </c>
      <c r="X597">
        <v>8</v>
      </c>
      <c r="Y597">
        <f>IF(HR_data[[#This Row],[Attrition]]= "Yes",1,0)</f>
        <v>1</v>
      </c>
    </row>
    <row r="598" spans="1:25">
      <c r="A598">
        <v>597</v>
      </c>
      <c r="B598" t="s">
        <v>33</v>
      </c>
      <c r="C598" t="s">
        <v>25</v>
      </c>
      <c r="D598" t="s">
        <v>26</v>
      </c>
      <c r="E598" t="s">
        <v>36</v>
      </c>
      <c r="F598" t="s">
        <v>28</v>
      </c>
      <c r="G598">
        <v>1</v>
      </c>
      <c r="H598" t="s">
        <v>29</v>
      </c>
      <c r="I598" t="s">
        <v>38</v>
      </c>
      <c r="J598" t="s">
        <v>31</v>
      </c>
      <c r="K598" t="s">
        <v>33</v>
      </c>
      <c r="L598">
        <v>35</v>
      </c>
      <c r="M598">
        <v>1</v>
      </c>
      <c r="N598" t="s">
        <v>44</v>
      </c>
      <c r="O598">
        <v>4</v>
      </c>
      <c r="P598">
        <v>1</v>
      </c>
      <c r="Q598">
        <v>3</v>
      </c>
      <c r="R598">
        <v>2506</v>
      </c>
      <c r="S598">
        <v>7</v>
      </c>
      <c r="T598">
        <v>3</v>
      </c>
      <c r="U598">
        <v>2</v>
      </c>
      <c r="V598">
        <v>2</v>
      </c>
      <c r="W598">
        <v>2</v>
      </c>
      <c r="X598">
        <v>2</v>
      </c>
      <c r="Y598">
        <f>IF(HR_data[[#This Row],[Attrition]]= "Yes",1,0)</f>
        <v>0</v>
      </c>
    </row>
    <row r="599" spans="1:25">
      <c r="A599">
        <v>598</v>
      </c>
      <c r="B599" t="s">
        <v>33</v>
      </c>
      <c r="C599" t="s">
        <v>25</v>
      </c>
      <c r="D599" t="s">
        <v>26</v>
      </c>
      <c r="E599" t="s">
        <v>36</v>
      </c>
      <c r="F599" t="s">
        <v>28</v>
      </c>
      <c r="G599">
        <v>1</v>
      </c>
      <c r="H599" t="s">
        <v>29</v>
      </c>
      <c r="I599" t="s">
        <v>49</v>
      </c>
      <c r="J599" t="s">
        <v>39</v>
      </c>
      <c r="K599" t="s">
        <v>24</v>
      </c>
      <c r="L599">
        <v>42</v>
      </c>
      <c r="M599">
        <v>1</v>
      </c>
      <c r="N599" t="s">
        <v>32</v>
      </c>
      <c r="O599">
        <v>4</v>
      </c>
      <c r="P599">
        <v>2</v>
      </c>
      <c r="Q599">
        <v>4</v>
      </c>
      <c r="R599">
        <v>6062</v>
      </c>
      <c r="S599">
        <v>8</v>
      </c>
      <c r="T599">
        <v>3</v>
      </c>
      <c r="U599">
        <v>4</v>
      </c>
      <c r="V599">
        <v>3</v>
      </c>
      <c r="W599">
        <v>0</v>
      </c>
      <c r="X599">
        <v>2</v>
      </c>
      <c r="Y599">
        <f>IF(HR_data[[#This Row],[Attrition]]= "Yes",1,0)</f>
        <v>0</v>
      </c>
    </row>
    <row r="600" spans="1:25">
      <c r="A600">
        <v>599</v>
      </c>
      <c r="B600" t="s">
        <v>24</v>
      </c>
      <c r="C600" t="s">
        <v>25</v>
      </c>
      <c r="D600" t="s">
        <v>43</v>
      </c>
      <c r="E600" t="s">
        <v>36</v>
      </c>
      <c r="F600" t="s">
        <v>45</v>
      </c>
      <c r="G600">
        <v>1</v>
      </c>
      <c r="H600" t="s">
        <v>37</v>
      </c>
      <c r="I600" t="s">
        <v>38</v>
      </c>
      <c r="J600" t="s">
        <v>31</v>
      </c>
      <c r="K600" t="s">
        <v>33</v>
      </c>
      <c r="L600">
        <v>28</v>
      </c>
      <c r="M600">
        <v>2</v>
      </c>
      <c r="N600" t="s">
        <v>44</v>
      </c>
      <c r="O600">
        <v>3</v>
      </c>
      <c r="P600">
        <v>1</v>
      </c>
      <c r="Q600">
        <v>3</v>
      </c>
      <c r="R600">
        <v>4382</v>
      </c>
      <c r="S600">
        <v>5</v>
      </c>
      <c r="T600">
        <v>2</v>
      </c>
      <c r="U600">
        <v>2</v>
      </c>
      <c r="V600">
        <v>2</v>
      </c>
      <c r="W600">
        <v>2</v>
      </c>
      <c r="X600">
        <v>1</v>
      </c>
      <c r="Y600">
        <f>IF(HR_data[[#This Row],[Attrition]]= "Yes",1,0)</f>
        <v>1</v>
      </c>
    </row>
    <row r="601" spans="1:25">
      <c r="A601">
        <v>600</v>
      </c>
      <c r="B601" t="s">
        <v>33</v>
      </c>
      <c r="C601" t="s">
        <v>25</v>
      </c>
      <c r="D601" t="s">
        <v>26</v>
      </c>
      <c r="E601" t="s">
        <v>59</v>
      </c>
      <c r="F601" t="s">
        <v>60</v>
      </c>
      <c r="G601">
        <v>1</v>
      </c>
      <c r="H601" t="s">
        <v>37</v>
      </c>
      <c r="I601" t="s">
        <v>60</v>
      </c>
      <c r="J601" t="s">
        <v>39</v>
      </c>
      <c r="K601" t="s">
        <v>33</v>
      </c>
      <c r="L601">
        <v>36</v>
      </c>
      <c r="M601">
        <v>13</v>
      </c>
      <c r="N601" t="s">
        <v>47</v>
      </c>
      <c r="O601">
        <v>3</v>
      </c>
      <c r="P601">
        <v>1</v>
      </c>
      <c r="Q601">
        <v>2</v>
      </c>
      <c r="R601">
        <v>2143</v>
      </c>
      <c r="S601">
        <v>8</v>
      </c>
      <c r="T601">
        <v>3</v>
      </c>
      <c r="U601">
        <v>5</v>
      </c>
      <c r="V601">
        <v>2</v>
      </c>
      <c r="W601">
        <v>0</v>
      </c>
      <c r="X601">
        <v>4</v>
      </c>
      <c r="Y601">
        <f>IF(HR_data[[#This Row],[Attrition]]= "Yes",1,0)</f>
        <v>0</v>
      </c>
    </row>
    <row r="602" spans="1:25">
      <c r="A602">
        <v>601</v>
      </c>
      <c r="B602" t="s">
        <v>33</v>
      </c>
      <c r="C602" t="s">
        <v>25</v>
      </c>
      <c r="D602" t="s">
        <v>43</v>
      </c>
      <c r="E602" t="s">
        <v>36</v>
      </c>
      <c r="F602" t="s">
        <v>28</v>
      </c>
      <c r="G602">
        <v>1</v>
      </c>
      <c r="H602" t="s">
        <v>29</v>
      </c>
      <c r="I602" t="s">
        <v>49</v>
      </c>
      <c r="J602" t="s">
        <v>39</v>
      </c>
      <c r="K602" t="s">
        <v>33</v>
      </c>
      <c r="L602">
        <v>32</v>
      </c>
      <c r="M602">
        <v>4</v>
      </c>
      <c r="N602" t="s">
        <v>47</v>
      </c>
      <c r="O602">
        <v>3</v>
      </c>
      <c r="P602">
        <v>2</v>
      </c>
      <c r="Q602">
        <v>3</v>
      </c>
      <c r="R602">
        <v>6162</v>
      </c>
      <c r="S602">
        <v>14</v>
      </c>
      <c r="T602">
        <v>3</v>
      </c>
      <c r="U602">
        <v>14</v>
      </c>
      <c r="V602">
        <v>13</v>
      </c>
      <c r="W602">
        <v>6</v>
      </c>
      <c r="X602">
        <v>8</v>
      </c>
      <c r="Y602">
        <f>IF(HR_data[[#This Row],[Attrition]]= "Yes",1,0)</f>
        <v>0</v>
      </c>
    </row>
    <row r="603" spans="1:25">
      <c r="A603">
        <v>602</v>
      </c>
      <c r="B603" t="s">
        <v>33</v>
      </c>
      <c r="C603" t="s">
        <v>34</v>
      </c>
      <c r="D603" t="s">
        <v>26</v>
      </c>
      <c r="E603" t="s">
        <v>36</v>
      </c>
      <c r="F603" t="s">
        <v>45</v>
      </c>
      <c r="G603">
        <v>1</v>
      </c>
      <c r="H603" t="s">
        <v>37</v>
      </c>
      <c r="I603" t="s">
        <v>42</v>
      </c>
      <c r="J603" t="s">
        <v>31</v>
      </c>
      <c r="K603" t="s">
        <v>33</v>
      </c>
      <c r="L603">
        <v>40</v>
      </c>
      <c r="M603">
        <v>16</v>
      </c>
      <c r="N603" t="s">
        <v>44</v>
      </c>
      <c r="O603">
        <v>1</v>
      </c>
      <c r="P603">
        <v>2</v>
      </c>
      <c r="Q603">
        <v>3</v>
      </c>
      <c r="R603">
        <v>5094</v>
      </c>
      <c r="S603">
        <v>10</v>
      </c>
      <c r="T603">
        <v>3</v>
      </c>
      <c r="U603">
        <v>1</v>
      </c>
      <c r="V603">
        <v>0</v>
      </c>
      <c r="W603">
        <v>0</v>
      </c>
      <c r="X603">
        <v>0</v>
      </c>
      <c r="Y603">
        <f>IF(HR_data[[#This Row],[Attrition]]= "Yes",1,0)</f>
        <v>0</v>
      </c>
    </row>
    <row r="604" spans="1:25">
      <c r="A604">
        <v>603</v>
      </c>
      <c r="B604" t="s">
        <v>33</v>
      </c>
      <c r="C604" t="s">
        <v>25</v>
      </c>
      <c r="D604" t="s">
        <v>43</v>
      </c>
      <c r="E604" t="s">
        <v>36</v>
      </c>
      <c r="F604" t="s">
        <v>45</v>
      </c>
      <c r="G604">
        <v>1</v>
      </c>
      <c r="H604" t="s">
        <v>29</v>
      </c>
      <c r="I604" t="s">
        <v>49</v>
      </c>
      <c r="J604" t="s">
        <v>31</v>
      </c>
      <c r="K604" t="s">
        <v>24</v>
      </c>
      <c r="L604">
        <v>30</v>
      </c>
      <c r="M604">
        <v>2</v>
      </c>
      <c r="N604" t="s">
        <v>47</v>
      </c>
      <c r="O604">
        <v>3</v>
      </c>
      <c r="P604">
        <v>2</v>
      </c>
      <c r="Q604">
        <v>4</v>
      </c>
      <c r="R604">
        <v>6877</v>
      </c>
      <c r="S604">
        <v>12</v>
      </c>
      <c r="T604">
        <v>2</v>
      </c>
      <c r="U604">
        <v>0</v>
      </c>
      <c r="V604">
        <v>0</v>
      </c>
      <c r="W604">
        <v>0</v>
      </c>
      <c r="X604">
        <v>0</v>
      </c>
      <c r="Y604">
        <f>IF(HR_data[[#This Row],[Attrition]]= "Yes",1,0)</f>
        <v>0</v>
      </c>
    </row>
    <row r="605" spans="1:25">
      <c r="A605">
        <v>604</v>
      </c>
      <c r="B605" t="s">
        <v>33</v>
      </c>
      <c r="C605" t="s">
        <v>25</v>
      </c>
      <c r="D605" t="s">
        <v>35</v>
      </c>
      <c r="E605" t="s">
        <v>36</v>
      </c>
      <c r="F605" t="s">
        <v>28</v>
      </c>
      <c r="G605">
        <v>1</v>
      </c>
      <c r="H605" t="s">
        <v>29</v>
      </c>
      <c r="I605" t="s">
        <v>38</v>
      </c>
      <c r="J605" t="s">
        <v>31</v>
      </c>
      <c r="K605" t="s">
        <v>33</v>
      </c>
      <c r="L605">
        <v>45</v>
      </c>
      <c r="M605">
        <v>2</v>
      </c>
      <c r="N605" t="s">
        <v>47</v>
      </c>
      <c r="O605">
        <v>2</v>
      </c>
      <c r="P605">
        <v>1</v>
      </c>
      <c r="Q605">
        <v>3</v>
      </c>
      <c r="R605">
        <v>2274</v>
      </c>
      <c r="S605">
        <v>1</v>
      </c>
      <c r="T605">
        <v>3</v>
      </c>
      <c r="U605">
        <v>1</v>
      </c>
      <c r="V605">
        <v>0</v>
      </c>
      <c r="W605">
        <v>0</v>
      </c>
      <c r="X605">
        <v>0</v>
      </c>
      <c r="Y605">
        <f>IF(HR_data[[#This Row],[Attrition]]= "Yes",1,0)</f>
        <v>0</v>
      </c>
    </row>
    <row r="606" spans="1:25">
      <c r="A606">
        <v>605</v>
      </c>
      <c r="B606" t="s">
        <v>33</v>
      </c>
      <c r="C606" t="s">
        <v>25</v>
      </c>
      <c r="D606" t="s">
        <v>26</v>
      </c>
      <c r="E606" t="s">
        <v>36</v>
      </c>
      <c r="F606" t="s">
        <v>28</v>
      </c>
      <c r="G606">
        <v>1</v>
      </c>
      <c r="H606" t="s">
        <v>37</v>
      </c>
      <c r="I606" t="s">
        <v>49</v>
      </c>
      <c r="J606" t="s">
        <v>39</v>
      </c>
      <c r="K606" t="s">
        <v>33</v>
      </c>
      <c r="L606">
        <v>42</v>
      </c>
      <c r="M606">
        <v>29</v>
      </c>
      <c r="N606" t="s">
        <v>47</v>
      </c>
      <c r="O606">
        <v>2</v>
      </c>
      <c r="P606">
        <v>2</v>
      </c>
      <c r="Q606">
        <v>2</v>
      </c>
      <c r="R606">
        <v>4434</v>
      </c>
      <c r="S606">
        <v>10</v>
      </c>
      <c r="T606">
        <v>2</v>
      </c>
      <c r="U606">
        <v>9</v>
      </c>
      <c r="V606">
        <v>8</v>
      </c>
      <c r="W606">
        <v>7</v>
      </c>
      <c r="X606">
        <v>8</v>
      </c>
      <c r="Y606">
        <f>IF(HR_data[[#This Row],[Attrition]]= "Yes",1,0)</f>
        <v>0</v>
      </c>
    </row>
    <row r="607" spans="1:25">
      <c r="A607">
        <v>606</v>
      </c>
      <c r="B607" t="s">
        <v>33</v>
      </c>
      <c r="C607" t="s">
        <v>34</v>
      </c>
      <c r="D607" t="s">
        <v>26</v>
      </c>
      <c r="E607" t="s">
        <v>36</v>
      </c>
      <c r="F607" t="s">
        <v>28</v>
      </c>
      <c r="G607">
        <v>1</v>
      </c>
      <c r="H607" t="s">
        <v>37</v>
      </c>
      <c r="I607" t="s">
        <v>50</v>
      </c>
      <c r="J607" t="s">
        <v>48</v>
      </c>
      <c r="K607" t="s">
        <v>33</v>
      </c>
      <c r="L607">
        <v>38</v>
      </c>
      <c r="M607">
        <v>12</v>
      </c>
      <c r="N607" t="s">
        <v>47</v>
      </c>
      <c r="O607">
        <v>1</v>
      </c>
      <c r="P607">
        <v>2</v>
      </c>
      <c r="Q607">
        <v>1</v>
      </c>
      <c r="R607">
        <v>6288</v>
      </c>
      <c r="S607">
        <v>13</v>
      </c>
      <c r="T607">
        <v>2</v>
      </c>
      <c r="U607">
        <v>4</v>
      </c>
      <c r="V607">
        <v>3</v>
      </c>
      <c r="W607">
        <v>1</v>
      </c>
      <c r="X607">
        <v>2</v>
      </c>
      <c r="Y607">
        <f>IF(HR_data[[#This Row],[Attrition]]= "Yes",1,0)</f>
        <v>0</v>
      </c>
    </row>
    <row r="608" spans="1:25">
      <c r="A608">
        <v>607</v>
      </c>
      <c r="B608" t="s">
        <v>33</v>
      </c>
      <c r="C608" t="s">
        <v>34</v>
      </c>
      <c r="D608" t="s">
        <v>43</v>
      </c>
      <c r="E608" t="s">
        <v>36</v>
      </c>
      <c r="F608" t="s">
        <v>28</v>
      </c>
      <c r="G608">
        <v>1</v>
      </c>
      <c r="H608" t="s">
        <v>29</v>
      </c>
      <c r="I608" t="s">
        <v>38</v>
      </c>
      <c r="J608" t="s">
        <v>31</v>
      </c>
      <c r="K608" t="s">
        <v>33</v>
      </c>
      <c r="L608">
        <v>34</v>
      </c>
      <c r="M608">
        <v>16</v>
      </c>
      <c r="N608" t="s">
        <v>44</v>
      </c>
      <c r="O608">
        <v>3</v>
      </c>
      <c r="P608">
        <v>1</v>
      </c>
      <c r="Q608">
        <v>4</v>
      </c>
      <c r="R608">
        <v>2553</v>
      </c>
      <c r="S608">
        <v>6</v>
      </c>
      <c r="T608">
        <v>3</v>
      </c>
      <c r="U608">
        <v>5</v>
      </c>
      <c r="V608">
        <v>2</v>
      </c>
      <c r="W608">
        <v>1</v>
      </c>
      <c r="X608">
        <v>3</v>
      </c>
      <c r="Y608">
        <f>IF(HR_data[[#This Row],[Attrition]]= "Yes",1,0)</f>
        <v>0</v>
      </c>
    </row>
    <row r="609" spans="1:25">
      <c r="A609">
        <v>608</v>
      </c>
      <c r="B609" t="s">
        <v>24</v>
      </c>
      <c r="C609" t="s">
        <v>25</v>
      </c>
      <c r="D609" t="s">
        <v>35</v>
      </c>
      <c r="E609" t="s">
        <v>27</v>
      </c>
      <c r="F609" t="s">
        <v>56</v>
      </c>
      <c r="G609">
        <v>1</v>
      </c>
      <c r="H609" t="s">
        <v>29</v>
      </c>
      <c r="I609" t="s">
        <v>30</v>
      </c>
      <c r="J609" t="s">
        <v>39</v>
      </c>
      <c r="K609" t="s">
        <v>33</v>
      </c>
      <c r="L609">
        <v>49</v>
      </c>
      <c r="M609">
        <v>11</v>
      </c>
      <c r="N609" t="s">
        <v>47</v>
      </c>
      <c r="O609">
        <v>3</v>
      </c>
      <c r="P609">
        <v>3</v>
      </c>
      <c r="Q609">
        <v>4</v>
      </c>
      <c r="R609">
        <v>7654</v>
      </c>
      <c r="S609">
        <v>9</v>
      </c>
      <c r="T609">
        <v>4</v>
      </c>
      <c r="U609">
        <v>9</v>
      </c>
      <c r="V609">
        <v>8</v>
      </c>
      <c r="W609">
        <v>7</v>
      </c>
      <c r="X609">
        <v>7</v>
      </c>
      <c r="Y609">
        <f>IF(HR_data[[#This Row],[Attrition]]= "Yes",1,0)</f>
        <v>1</v>
      </c>
    </row>
    <row r="610" spans="1:25">
      <c r="A610">
        <v>609</v>
      </c>
      <c r="B610" t="s">
        <v>24</v>
      </c>
      <c r="C610" t="s">
        <v>25</v>
      </c>
      <c r="D610" t="s">
        <v>46</v>
      </c>
      <c r="E610" t="s">
        <v>27</v>
      </c>
      <c r="F610" t="s">
        <v>45</v>
      </c>
      <c r="G610">
        <v>1</v>
      </c>
      <c r="H610" t="s">
        <v>37</v>
      </c>
      <c r="I610" t="s">
        <v>30</v>
      </c>
      <c r="J610" t="s">
        <v>31</v>
      </c>
      <c r="K610" t="s">
        <v>33</v>
      </c>
      <c r="L610">
        <v>55</v>
      </c>
      <c r="M610">
        <v>2</v>
      </c>
      <c r="N610" t="s">
        <v>40</v>
      </c>
      <c r="O610">
        <v>3</v>
      </c>
      <c r="P610">
        <v>2</v>
      </c>
      <c r="Q610">
        <v>4</v>
      </c>
      <c r="R610">
        <v>5160</v>
      </c>
      <c r="S610">
        <v>12</v>
      </c>
      <c r="T610">
        <v>2</v>
      </c>
      <c r="U610">
        <v>9</v>
      </c>
      <c r="V610">
        <v>7</v>
      </c>
      <c r="W610">
        <v>7</v>
      </c>
      <c r="X610">
        <v>3</v>
      </c>
      <c r="Y610">
        <f>IF(HR_data[[#This Row],[Attrition]]= "Yes",1,0)</f>
        <v>1</v>
      </c>
    </row>
    <row r="611" spans="1:25">
      <c r="A611">
        <v>610</v>
      </c>
      <c r="B611" t="s">
        <v>33</v>
      </c>
      <c r="C611" t="s">
        <v>25</v>
      </c>
      <c r="D611" t="s">
        <v>26</v>
      </c>
      <c r="E611" t="s">
        <v>36</v>
      </c>
      <c r="F611" t="s">
        <v>28</v>
      </c>
      <c r="G611">
        <v>1</v>
      </c>
      <c r="H611" t="s">
        <v>37</v>
      </c>
      <c r="I611" t="s">
        <v>55</v>
      </c>
      <c r="J611" t="s">
        <v>39</v>
      </c>
      <c r="K611" t="s">
        <v>33</v>
      </c>
      <c r="L611">
        <v>43</v>
      </c>
      <c r="M611">
        <v>14</v>
      </c>
      <c r="N611" t="s">
        <v>32</v>
      </c>
      <c r="O611">
        <v>2</v>
      </c>
      <c r="P611">
        <v>4</v>
      </c>
      <c r="Q611">
        <v>1</v>
      </c>
      <c r="R611">
        <v>17159</v>
      </c>
      <c r="S611">
        <v>22</v>
      </c>
      <c r="T611">
        <v>3</v>
      </c>
      <c r="U611">
        <v>4</v>
      </c>
      <c r="V611">
        <v>1</v>
      </c>
      <c r="W611">
        <v>1</v>
      </c>
      <c r="X611">
        <v>0</v>
      </c>
      <c r="Y611">
        <f>IF(HR_data[[#This Row],[Attrition]]= "Yes",1,0)</f>
        <v>0</v>
      </c>
    </row>
    <row r="612" spans="1:25">
      <c r="A612">
        <v>611</v>
      </c>
      <c r="B612" t="s">
        <v>33</v>
      </c>
      <c r="C612" t="s">
        <v>25</v>
      </c>
      <c r="D612" t="s">
        <v>43</v>
      </c>
      <c r="E612" t="s">
        <v>36</v>
      </c>
      <c r="F612" t="s">
        <v>57</v>
      </c>
      <c r="G612">
        <v>1</v>
      </c>
      <c r="H612" t="s">
        <v>37</v>
      </c>
      <c r="I612" t="s">
        <v>55</v>
      </c>
      <c r="J612" t="s">
        <v>48</v>
      </c>
      <c r="K612" t="s">
        <v>24</v>
      </c>
      <c r="L612">
        <v>27</v>
      </c>
      <c r="M612">
        <v>5</v>
      </c>
      <c r="N612" t="s">
        <v>40</v>
      </c>
      <c r="O612">
        <v>3</v>
      </c>
      <c r="P612">
        <v>3</v>
      </c>
      <c r="Q612">
        <v>4</v>
      </c>
      <c r="R612">
        <v>12808</v>
      </c>
      <c r="S612">
        <v>9</v>
      </c>
      <c r="T612">
        <v>3</v>
      </c>
      <c r="U612">
        <v>9</v>
      </c>
      <c r="V612">
        <v>8</v>
      </c>
      <c r="W612">
        <v>0</v>
      </c>
      <c r="X612">
        <v>8</v>
      </c>
      <c r="Y612">
        <f>IF(HR_data[[#This Row],[Attrition]]= "Yes",1,0)</f>
        <v>0</v>
      </c>
    </row>
    <row r="613" spans="1:25">
      <c r="A613">
        <v>612</v>
      </c>
      <c r="B613" t="s">
        <v>33</v>
      </c>
      <c r="C613" t="s">
        <v>25</v>
      </c>
      <c r="D613" t="s">
        <v>26</v>
      </c>
      <c r="E613" t="s">
        <v>36</v>
      </c>
      <c r="F613" t="s">
        <v>41</v>
      </c>
      <c r="G613">
        <v>1</v>
      </c>
      <c r="H613" t="s">
        <v>37</v>
      </c>
      <c r="I613" t="s">
        <v>49</v>
      </c>
      <c r="J613" t="s">
        <v>31</v>
      </c>
      <c r="K613" t="s">
        <v>33</v>
      </c>
      <c r="L613">
        <v>35</v>
      </c>
      <c r="M613">
        <v>7</v>
      </c>
      <c r="N613" t="s">
        <v>47</v>
      </c>
      <c r="O613">
        <v>3</v>
      </c>
      <c r="P613">
        <v>3</v>
      </c>
      <c r="Q613">
        <v>3</v>
      </c>
      <c r="R613">
        <v>10221</v>
      </c>
      <c r="S613">
        <v>17</v>
      </c>
      <c r="T613">
        <v>4</v>
      </c>
      <c r="U613">
        <v>8</v>
      </c>
      <c r="V613">
        <v>5</v>
      </c>
      <c r="W613">
        <v>1</v>
      </c>
      <c r="X613">
        <v>6</v>
      </c>
      <c r="Y613">
        <f>IF(HR_data[[#This Row],[Attrition]]= "Yes",1,0)</f>
        <v>0</v>
      </c>
    </row>
    <row r="614" spans="1:25">
      <c r="A614">
        <v>613</v>
      </c>
      <c r="B614" t="s">
        <v>33</v>
      </c>
      <c r="C614" t="s">
        <v>25</v>
      </c>
      <c r="D614" t="s">
        <v>43</v>
      </c>
      <c r="E614" t="s">
        <v>27</v>
      </c>
      <c r="F614" t="s">
        <v>56</v>
      </c>
      <c r="G614">
        <v>1</v>
      </c>
      <c r="H614" t="s">
        <v>29</v>
      </c>
      <c r="I614" t="s">
        <v>30</v>
      </c>
      <c r="J614" t="s">
        <v>39</v>
      </c>
      <c r="K614" t="s">
        <v>24</v>
      </c>
      <c r="L614">
        <v>28</v>
      </c>
      <c r="M614">
        <v>2</v>
      </c>
      <c r="N614" t="s">
        <v>44</v>
      </c>
      <c r="O614">
        <v>2</v>
      </c>
      <c r="P614">
        <v>2</v>
      </c>
      <c r="Q614">
        <v>2</v>
      </c>
      <c r="R614">
        <v>4779</v>
      </c>
      <c r="S614">
        <v>8</v>
      </c>
      <c r="T614">
        <v>3</v>
      </c>
      <c r="U614">
        <v>8</v>
      </c>
      <c r="V614">
        <v>7</v>
      </c>
      <c r="W614">
        <v>7</v>
      </c>
      <c r="X614">
        <v>5</v>
      </c>
      <c r="Y614">
        <f>IF(HR_data[[#This Row],[Attrition]]= "Yes",1,0)</f>
        <v>0</v>
      </c>
    </row>
    <row r="615" spans="1:25">
      <c r="A615">
        <v>614</v>
      </c>
      <c r="B615" t="s">
        <v>33</v>
      </c>
      <c r="C615" t="s">
        <v>25</v>
      </c>
      <c r="D615" t="s">
        <v>43</v>
      </c>
      <c r="E615" t="s">
        <v>59</v>
      </c>
      <c r="F615" t="s">
        <v>60</v>
      </c>
      <c r="G615">
        <v>1</v>
      </c>
      <c r="H615" t="s">
        <v>37</v>
      </c>
      <c r="I615" t="s">
        <v>60</v>
      </c>
      <c r="J615" t="s">
        <v>39</v>
      </c>
      <c r="K615" t="s">
        <v>33</v>
      </c>
      <c r="L615">
        <v>34</v>
      </c>
      <c r="M615">
        <v>3</v>
      </c>
      <c r="N615" t="s">
        <v>32</v>
      </c>
      <c r="O615">
        <v>3</v>
      </c>
      <c r="P615">
        <v>1</v>
      </c>
      <c r="Q615">
        <v>4</v>
      </c>
      <c r="R615">
        <v>3737</v>
      </c>
      <c r="S615">
        <v>4</v>
      </c>
      <c r="T615">
        <v>1</v>
      </c>
      <c r="U615">
        <v>3</v>
      </c>
      <c r="V615">
        <v>2</v>
      </c>
      <c r="W615">
        <v>0</v>
      </c>
      <c r="X615">
        <v>2</v>
      </c>
      <c r="Y615">
        <f>IF(HR_data[[#This Row],[Attrition]]= "Yes",1,0)</f>
        <v>0</v>
      </c>
    </row>
    <row r="616" spans="1:25">
      <c r="A616">
        <v>615</v>
      </c>
      <c r="B616" t="s">
        <v>24</v>
      </c>
      <c r="C616" t="s">
        <v>34</v>
      </c>
      <c r="D616" t="s">
        <v>43</v>
      </c>
      <c r="E616" t="s">
        <v>36</v>
      </c>
      <c r="F616" t="s">
        <v>45</v>
      </c>
      <c r="G616">
        <v>1</v>
      </c>
      <c r="H616" t="s">
        <v>29</v>
      </c>
      <c r="I616" t="s">
        <v>38</v>
      </c>
      <c r="J616" t="s">
        <v>39</v>
      </c>
      <c r="K616" t="s">
        <v>24</v>
      </c>
      <c r="L616">
        <v>26</v>
      </c>
      <c r="M616">
        <v>5</v>
      </c>
      <c r="N616" t="s">
        <v>32</v>
      </c>
      <c r="O616">
        <v>3</v>
      </c>
      <c r="P616">
        <v>1</v>
      </c>
      <c r="Q616">
        <v>3</v>
      </c>
      <c r="R616">
        <v>2366</v>
      </c>
      <c r="S616">
        <v>8</v>
      </c>
      <c r="T616">
        <v>3</v>
      </c>
      <c r="U616">
        <v>8</v>
      </c>
      <c r="V616">
        <v>7</v>
      </c>
      <c r="W616">
        <v>1</v>
      </c>
      <c r="X616">
        <v>7</v>
      </c>
      <c r="Y616">
        <f>IF(HR_data[[#This Row],[Attrition]]= "Yes",1,0)</f>
        <v>1</v>
      </c>
    </row>
    <row r="617" spans="1:25">
      <c r="A617">
        <v>616</v>
      </c>
      <c r="B617" t="s">
        <v>33</v>
      </c>
      <c r="C617" t="s">
        <v>51</v>
      </c>
      <c r="D617" t="s">
        <v>43</v>
      </c>
      <c r="E617" t="s">
        <v>36</v>
      </c>
      <c r="F617" t="s">
        <v>45</v>
      </c>
      <c r="G617">
        <v>1</v>
      </c>
      <c r="H617" t="s">
        <v>37</v>
      </c>
      <c r="I617" t="s">
        <v>38</v>
      </c>
      <c r="J617" t="s">
        <v>39</v>
      </c>
      <c r="K617" t="s">
        <v>33</v>
      </c>
      <c r="L617">
        <v>27</v>
      </c>
      <c r="M617">
        <v>3</v>
      </c>
      <c r="N617" t="s">
        <v>47</v>
      </c>
      <c r="O617">
        <v>4</v>
      </c>
      <c r="P617">
        <v>1</v>
      </c>
      <c r="Q617">
        <v>4</v>
      </c>
      <c r="R617">
        <v>1706</v>
      </c>
      <c r="S617">
        <v>0</v>
      </c>
      <c r="T617">
        <v>2</v>
      </c>
      <c r="U617">
        <v>0</v>
      </c>
      <c r="V617">
        <v>0</v>
      </c>
      <c r="W617">
        <v>0</v>
      </c>
      <c r="X617">
        <v>0</v>
      </c>
      <c r="Y617">
        <f>IF(HR_data[[#This Row],[Attrition]]= "Yes",1,0)</f>
        <v>0</v>
      </c>
    </row>
    <row r="618" spans="1:25">
      <c r="A618">
        <v>617</v>
      </c>
      <c r="B618" t="s">
        <v>33</v>
      </c>
      <c r="C618" t="s">
        <v>25</v>
      </c>
      <c r="D618" t="s">
        <v>35</v>
      </c>
      <c r="E618" t="s">
        <v>27</v>
      </c>
      <c r="F618" t="s">
        <v>56</v>
      </c>
      <c r="G618">
        <v>1</v>
      </c>
      <c r="H618" t="s">
        <v>29</v>
      </c>
      <c r="I618" t="s">
        <v>53</v>
      </c>
      <c r="J618" t="s">
        <v>39</v>
      </c>
      <c r="K618" t="s">
        <v>33</v>
      </c>
      <c r="L618">
        <v>51</v>
      </c>
      <c r="M618">
        <v>26</v>
      </c>
      <c r="N618" t="s">
        <v>44</v>
      </c>
      <c r="O618">
        <v>1</v>
      </c>
      <c r="P618">
        <v>4</v>
      </c>
      <c r="Q618">
        <v>3</v>
      </c>
      <c r="R618">
        <v>16307</v>
      </c>
      <c r="S618">
        <v>29</v>
      </c>
      <c r="T618">
        <v>2</v>
      </c>
      <c r="U618">
        <v>20</v>
      </c>
      <c r="V618">
        <v>6</v>
      </c>
      <c r="W618">
        <v>4</v>
      </c>
      <c r="X618">
        <v>17</v>
      </c>
      <c r="Y618">
        <f>IF(HR_data[[#This Row],[Attrition]]= "Yes",1,0)</f>
        <v>0</v>
      </c>
    </row>
    <row r="619" spans="1:25">
      <c r="A619">
        <v>618</v>
      </c>
      <c r="B619" t="s">
        <v>33</v>
      </c>
      <c r="C619" t="s">
        <v>25</v>
      </c>
      <c r="D619" t="s">
        <v>26</v>
      </c>
      <c r="E619" t="s">
        <v>36</v>
      </c>
      <c r="F619" t="s">
        <v>45</v>
      </c>
      <c r="G619">
        <v>1</v>
      </c>
      <c r="H619" t="s">
        <v>37</v>
      </c>
      <c r="I619" t="s">
        <v>50</v>
      </c>
      <c r="J619" t="s">
        <v>31</v>
      </c>
      <c r="K619" t="s">
        <v>33</v>
      </c>
      <c r="L619">
        <v>44</v>
      </c>
      <c r="M619">
        <v>4</v>
      </c>
      <c r="N619" t="s">
        <v>47</v>
      </c>
      <c r="O619">
        <v>4</v>
      </c>
      <c r="P619">
        <v>2</v>
      </c>
      <c r="Q619">
        <v>2</v>
      </c>
      <c r="R619">
        <v>5933</v>
      </c>
      <c r="S619">
        <v>10</v>
      </c>
      <c r="T619">
        <v>2</v>
      </c>
      <c r="U619">
        <v>5</v>
      </c>
      <c r="V619">
        <v>2</v>
      </c>
      <c r="W619">
        <v>2</v>
      </c>
      <c r="X619">
        <v>3</v>
      </c>
      <c r="Y619">
        <f>IF(HR_data[[#This Row],[Attrition]]= "Yes",1,0)</f>
        <v>0</v>
      </c>
    </row>
    <row r="620" spans="1:25">
      <c r="A620">
        <v>619</v>
      </c>
      <c r="B620" t="s">
        <v>33</v>
      </c>
      <c r="C620" t="s">
        <v>25</v>
      </c>
      <c r="D620" t="s">
        <v>43</v>
      </c>
      <c r="E620" t="s">
        <v>36</v>
      </c>
      <c r="F620" t="s">
        <v>45</v>
      </c>
      <c r="G620">
        <v>1</v>
      </c>
      <c r="H620" t="s">
        <v>37</v>
      </c>
      <c r="I620" t="s">
        <v>38</v>
      </c>
      <c r="J620" t="s">
        <v>31</v>
      </c>
      <c r="K620" t="s">
        <v>33</v>
      </c>
      <c r="L620">
        <v>25</v>
      </c>
      <c r="M620">
        <v>2</v>
      </c>
      <c r="N620" t="s">
        <v>40</v>
      </c>
      <c r="O620">
        <v>1</v>
      </c>
      <c r="P620">
        <v>1</v>
      </c>
      <c r="Q620">
        <v>1</v>
      </c>
      <c r="R620">
        <v>3424</v>
      </c>
      <c r="S620">
        <v>6</v>
      </c>
      <c r="T620">
        <v>2</v>
      </c>
      <c r="U620">
        <v>4</v>
      </c>
      <c r="V620">
        <v>3</v>
      </c>
      <c r="W620">
        <v>0</v>
      </c>
      <c r="X620">
        <v>1</v>
      </c>
      <c r="Y620">
        <f>IF(HR_data[[#This Row],[Attrition]]= "Yes",1,0)</f>
        <v>0</v>
      </c>
    </row>
    <row r="621" spans="1:25">
      <c r="A621">
        <v>620</v>
      </c>
      <c r="B621" t="s">
        <v>33</v>
      </c>
      <c r="C621" t="s">
        <v>25</v>
      </c>
      <c r="D621" t="s">
        <v>43</v>
      </c>
      <c r="E621" t="s">
        <v>27</v>
      </c>
      <c r="F621" t="s">
        <v>45</v>
      </c>
      <c r="G621">
        <v>1</v>
      </c>
      <c r="H621" t="s">
        <v>37</v>
      </c>
      <c r="I621" t="s">
        <v>30</v>
      </c>
      <c r="J621" t="s">
        <v>48</v>
      </c>
      <c r="K621" t="s">
        <v>33</v>
      </c>
      <c r="L621">
        <v>33</v>
      </c>
      <c r="M621">
        <v>1</v>
      </c>
      <c r="N621" t="s">
        <v>47</v>
      </c>
      <c r="O621">
        <v>1</v>
      </c>
      <c r="P621">
        <v>2</v>
      </c>
      <c r="Q621">
        <v>1</v>
      </c>
      <c r="R621">
        <v>4037</v>
      </c>
      <c r="S621">
        <v>9</v>
      </c>
      <c r="T621">
        <v>3</v>
      </c>
      <c r="U621">
        <v>9</v>
      </c>
      <c r="V621">
        <v>8</v>
      </c>
      <c r="W621">
        <v>0</v>
      </c>
      <c r="X621">
        <v>8</v>
      </c>
      <c r="Y621">
        <f>IF(HR_data[[#This Row],[Attrition]]= "Yes",1,0)</f>
        <v>0</v>
      </c>
    </row>
    <row r="622" spans="1:25">
      <c r="A622">
        <v>621</v>
      </c>
      <c r="B622" t="s">
        <v>33</v>
      </c>
      <c r="C622" t="s">
        <v>25</v>
      </c>
      <c r="D622" t="s">
        <v>26</v>
      </c>
      <c r="E622" t="s">
        <v>36</v>
      </c>
      <c r="F622" t="s">
        <v>45</v>
      </c>
      <c r="G622">
        <v>1</v>
      </c>
      <c r="H622" t="s">
        <v>29</v>
      </c>
      <c r="I622" t="s">
        <v>38</v>
      </c>
      <c r="J622" t="s">
        <v>31</v>
      </c>
      <c r="K622" t="s">
        <v>33</v>
      </c>
      <c r="L622">
        <v>35</v>
      </c>
      <c r="M622">
        <v>27</v>
      </c>
      <c r="N622" t="s">
        <v>40</v>
      </c>
      <c r="O622">
        <v>3</v>
      </c>
      <c r="P622">
        <v>1</v>
      </c>
      <c r="Q622">
        <v>1</v>
      </c>
      <c r="R622">
        <v>2559</v>
      </c>
      <c r="S622">
        <v>6</v>
      </c>
      <c r="T622">
        <v>2</v>
      </c>
      <c r="U622">
        <v>6</v>
      </c>
      <c r="V622">
        <v>5</v>
      </c>
      <c r="W622">
        <v>1</v>
      </c>
      <c r="X622">
        <v>1</v>
      </c>
      <c r="Y622">
        <f>IF(HR_data[[#This Row],[Attrition]]= "Yes",1,0)</f>
        <v>0</v>
      </c>
    </row>
    <row r="623" spans="1:25">
      <c r="A623">
        <v>622</v>
      </c>
      <c r="B623" t="s">
        <v>33</v>
      </c>
      <c r="C623" t="s">
        <v>25</v>
      </c>
      <c r="D623" t="s">
        <v>26</v>
      </c>
      <c r="E623" t="s">
        <v>27</v>
      </c>
      <c r="F623" t="s">
        <v>28</v>
      </c>
      <c r="G623">
        <v>1</v>
      </c>
      <c r="H623" t="s">
        <v>37</v>
      </c>
      <c r="I623" t="s">
        <v>30</v>
      </c>
      <c r="J623" t="s">
        <v>39</v>
      </c>
      <c r="K623" t="s">
        <v>24</v>
      </c>
      <c r="L623">
        <v>36</v>
      </c>
      <c r="M623">
        <v>1</v>
      </c>
      <c r="N623" t="s">
        <v>32</v>
      </c>
      <c r="O623">
        <v>2</v>
      </c>
      <c r="P623">
        <v>2</v>
      </c>
      <c r="Q623">
        <v>4</v>
      </c>
      <c r="R623">
        <v>6201</v>
      </c>
      <c r="S623">
        <v>18</v>
      </c>
      <c r="T623">
        <v>2</v>
      </c>
      <c r="U623">
        <v>18</v>
      </c>
      <c r="V623">
        <v>14</v>
      </c>
      <c r="W623">
        <v>4</v>
      </c>
      <c r="X623">
        <v>11</v>
      </c>
      <c r="Y623">
        <f>IF(HR_data[[#This Row],[Attrition]]= "Yes",1,0)</f>
        <v>0</v>
      </c>
    </row>
    <row r="624" spans="1:25">
      <c r="A624">
        <v>623</v>
      </c>
      <c r="B624" t="s">
        <v>33</v>
      </c>
      <c r="C624" t="s">
        <v>25</v>
      </c>
      <c r="D624" t="s">
        <v>43</v>
      </c>
      <c r="E624" t="s">
        <v>27</v>
      </c>
      <c r="F624" t="s">
        <v>28</v>
      </c>
      <c r="G624">
        <v>1</v>
      </c>
      <c r="H624" t="s">
        <v>37</v>
      </c>
      <c r="I624" t="s">
        <v>30</v>
      </c>
      <c r="J624" t="s">
        <v>48</v>
      </c>
      <c r="K624" t="s">
        <v>33</v>
      </c>
      <c r="L624">
        <v>32</v>
      </c>
      <c r="M624">
        <v>13</v>
      </c>
      <c r="N624" t="s">
        <v>44</v>
      </c>
      <c r="O624">
        <v>2</v>
      </c>
      <c r="P624">
        <v>2</v>
      </c>
      <c r="Q624">
        <v>4</v>
      </c>
      <c r="R624">
        <v>4403</v>
      </c>
      <c r="S624">
        <v>8</v>
      </c>
      <c r="T624">
        <v>2</v>
      </c>
      <c r="U624">
        <v>5</v>
      </c>
      <c r="V624">
        <v>2</v>
      </c>
      <c r="W624">
        <v>0</v>
      </c>
      <c r="X624">
        <v>3</v>
      </c>
      <c r="Y624">
        <f>IF(HR_data[[#This Row],[Attrition]]= "Yes",1,0)</f>
        <v>0</v>
      </c>
    </row>
    <row r="625" spans="1:25">
      <c r="A625">
        <v>624</v>
      </c>
      <c r="B625" t="s">
        <v>33</v>
      </c>
      <c r="C625" t="s">
        <v>34</v>
      </c>
      <c r="D625" t="s">
        <v>43</v>
      </c>
      <c r="E625" t="s">
        <v>36</v>
      </c>
      <c r="F625" t="s">
        <v>28</v>
      </c>
      <c r="G625">
        <v>1</v>
      </c>
      <c r="H625" t="s">
        <v>37</v>
      </c>
      <c r="I625" t="s">
        <v>38</v>
      </c>
      <c r="J625" t="s">
        <v>48</v>
      </c>
      <c r="K625" t="s">
        <v>33</v>
      </c>
      <c r="L625">
        <v>30</v>
      </c>
      <c r="M625">
        <v>5</v>
      </c>
      <c r="N625" t="s">
        <v>44</v>
      </c>
      <c r="O625">
        <v>2</v>
      </c>
      <c r="P625">
        <v>1</v>
      </c>
      <c r="Q625">
        <v>4</v>
      </c>
      <c r="R625">
        <v>3761</v>
      </c>
      <c r="S625">
        <v>10</v>
      </c>
      <c r="T625">
        <v>2</v>
      </c>
      <c r="U625">
        <v>5</v>
      </c>
      <c r="V625">
        <v>4</v>
      </c>
      <c r="W625">
        <v>0</v>
      </c>
      <c r="X625">
        <v>3</v>
      </c>
      <c r="Y625">
        <f>IF(HR_data[[#This Row],[Attrition]]= "Yes",1,0)</f>
        <v>0</v>
      </c>
    </row>
    <row r="626" spans="1:25">
      <c r="A626">
        <v>625</v>
      </c>
      <c r="B626" t="s">
        <v>33</v>
      </c>
      <c r="C626" t="s">
        <v>25</v>
      </c>
      <c r="D626" t="s">
        <v>35</v>
      </c>
      <c r="E626" t="s">
        <v>27</v>
      </c>
      <c r="F626" t="s">
        <v>56</v>
      </c>
      <c r="G626">
        <v>1</v>
      </c>
      <c r="H626" t="s">
        <v>29</v>
      </c>
      <c r="I626" t="s">
        <v>30</v>
      </c>
      <c r="J626" t="s">
        <v>39</v>
      </c>
      <c r="K626" t="s">
        <v>24</v>
      </c>
      <c r="L626">
        <v>53</v>
      </c>
      <c r="M626">
        <v>7</v>
      </c>
      <c r="N626" t="s">
        <v>32</v>
      </c>
      <c r="O626">
        <v>1</v>
      </c>
      <c r="P626">
        <v>3</v>
      </c>
      <c r="Q626">
        <v>4</v>
      </c>
      <c r="R626">
        <v>10934</v>
      </c>
      <c r="S626">
        <v>35</v>
      </c>
      <c r="T626">
        <v>3</v>
      </c>
      <c r="U626">
        <v>5</v>
      </c>
      <c r="V626">
        <v>2</v>
      </c>
      <c r="W626">
        <v>0</v>
      </c>
      <c r="X626">
        <v>4</v>
      </c>
      <c r="Y626">
        <f>IF(HR_data[[#This Row],[Attrition]]= "Yes",1,0)</f>
        <v>0</v>
      </c>
    </row>
    <row r="627" spans="1:25">
      <c r="A627">
        <v>626</v>
      </c>
      <c r="B627" t="s">
        <v>33</v>
      </c>
      <c r="C627" t="s">
        <v>25</v>
      </c>
      <c r="D627" t="s">
        <v>35</v>
      </c>
      <c r="E627" t="s">
        <v>27</v>
      </c>
      <c r="F627" t="s">
        <v>56</v>
      </c>
      <c r="G627">
        <v>1</v>
      </c>
      <c r="H627" t="s">
        <v>37</v>
      </c>
      <c r="I627" t="s">
        <v>30</v>
      </c>
      <c r="J627" t="s">
        <v>48</v>
      </c>
      <c r="K627" t="s">
        <v>24</v>
      </c>
      <c r="L627">
        <v>45</v>
      </c>
      <c r="M627">
        <v>9</v>
      </c>
      <c r="N627" t="s">
        <v>47</v>
      </c>
      <c r="O627">
        <v>4</v>
      </c>
      <c r="P627">
        <v>3</v>
      </c>
      <c r="Q627">
        <v>1</v>
      </c>
      <c r="R627">
        <v>10761</v>
      </c>
      <c r="S627">
        <v>18</v>
      </c>
      <c r="T627">
        <v>3</v>
      </c>
      <c r="U627">
        <v>5</v>
      </c>
      <c r="V627">
        <v>4</v>
      </c>
      <c r="W627">
        <v>0</v>
      </c>
      <c r="X627">
        <v>2</v>
      </c>
      <c r="Y627">
        <f>IF(HR_data[[#This Row],[Attrition]]= "Yes",1,0)</f>
        <v>0</v>
      </c>
    </row>
    <row r="628" spans="1:25">
      <c r="A628">
        <v>627</v>
      </c>
      <c r="B628" t="s">
        <v>33</v>
      </c>
      <c r="C628" t="s">
        <v>25</v>
      </c>
      <c r="D628" t="s">
        <v>43</v>
      </c>
      <c r="E628" t="s">
        <v>36</v>
      </c>
      <c r="F628" t="s">
        <v>45</v>
      </c>
      <c r="G628">
        <v>1</v>
      </c>
      <c r="H628" t="s">
        <v>29</v>
      </c>
      <c r="I628" t="s">
        <v>38</v>
      </c>
      <c r="J628" t="s">
        <v>39</v>
      </c>
      <c r="K628" t="s">
        <v>33</v>
      </c>
      <c r="L628">
        <v>32</v>
      </c>
      <c r="M628">
        <v>8</v>
      </c>
      <c r="N628" t="s">
        <v>32</v>
      </c>
      <c r="O628">
        <v>3</v>
      </c>
      <c r="P628">
        <v>2</v>
      </c>
      <c r="Q628">
        <v>3</v>
      </c>
      <c r="R628">
        <v>5175</v>
      </c>
      <c r="S628">
        <v>9</v>
      </c>
      <c r="T628">
        <v>2</v>
      </c>
      <c r="U628">
        <v>5</v>
      </c>
      <c r="V628">
        <v>3</v>
      </c>
      <c r="W628">
        <v>1</v>
      </c>
      <c r="X628">
        <v>3</v>
      </c>
      <c r="Y628">
        <f>IF(HR_data[[#This Row],[Attrition]]= "Yes",1,0)</f>
        <v>0</v>
      </c>
    </row>
    <row r="629" spans="1:25">
      <c r="A629">
        <v>628</v>
      </c>
      <c r="B629" t="s">
        <v>33</v>
      </c>
      <c r="C629" t="s">
        <v>34</v>
      </c>
      <c r="D629" t="s">
        <v>35</v>
      </c>
      <c r="E629" t="s">
        <v>36</v>
      </c>
      <c r="F629" t="s">
        <v>45</v>
      </c>
      <c r="G629">
        <v>1</v>
      </c>
      <c r="H629" t="s">
        <v>29</v>
      </c>
      <c r="I629" t="s">
        <v>49</v>
      </c>
      <c r="J629" t="s">
        <v>39</v>
      </c>
      <c r="K629" t="s">
        <v>33</v>
      </c>
      <c r="L629">
        <v>52</v>
      </c>
      <c r="M629">
        <v>25</v>
      </c>
      <c r="N629" t="s">
        <v>44</v>
      </c>
      <c r="O629">
        <v>3</v>
      </c>
      <c r="P629">
        <v>4</v>
      </c>
      <c r="Q629">
        <v>4</v>
      </c>
      <c r="R629">
        <v>13826</v>
      </c>
      <c r="S629">
        <v>31</v>
      </c>
      <c r="T629">
        <v>3</v>
      </c>
      <c r="U629">
        <v>9</v>
      </c>
      <c r="V629">
        <v>8</v>
      </c>
      <c r="W629">
        <v>0</v>
      </c>
      <c r="X629">
        <v>0</v>
      </c>
      <c r="Y629">
        <f>IF(HR_data[[#This Row],[Attrition]]= "Yes",1,0)</f>
        <v>0</v>
      </c>
    </row>
    <row r="630" spans="1:25">
      <c r="A630">
        <v>629</v>
      </c>
      <c r="B630" t="s">
        <v>33</v>
      </c>
      <c r="C630" t="s">
        <v>25</v>
      </c>
      <c r="D630" t="s">
        <v>26</v>
      </c>
      <c r="E630" t="s">
        <v>27</v>
      </c>
      <c r="F630" t="s">
        <v>56</v>
      </c>
      <c r="G630">
        <v>1</v>
      </c>
      <c r="H630" t="s">
        <v>37</v>
      </c>
      <c r="I630" t="s">
        <v>30</v>
      </c>
      <c r="J630" t="s">
        <v>48</v>
      </c>
      <c r="K630" t="s">
        <v>33</v>
      </c>
      <c r="L630">
        <v>37</v>
      </c>
      <c r="M630">
        <v>16</v>
      </c>
      <c r="N630" t="s">
        <v>44</v>
      </c>
      <c r="O630">
        <v>4</v>
      </c>
      <c r="P630">
        <v>2</v>
      </c>
      <c r="Q630">
        <v>3</v>
      </c>
      <c r="R630">
        <v>6334</v>
      </c>
      <c r="S630">
        <v>9</v>
      </c>
      <c r="T630">
        <v>3</v>
      </c>
      <c r="U630">
        <v>1</v>
      </c>
      <c r="V630">
        <v>0</v>
      </c>
      <c r="W630">
        <v>0</v>
      </c>
      <c r="X630">
        <v>0</v>
      </c>
      <c r="Y630">
        <f>IF(HR_data[[#This Row],[Attrition]]= "Yes",1,0)</f>
        <v>0</v>
      </c>
    </row>
    <row r="631" spans="1:25">
      <c r="A631">
        <v>630</v>
      </c>
      <c r="B631" t="s">
        <v>33</v>
      </c>
      <c r="C631" t="s">
        <v>25</v>
      </c>
      <c r="D631" t="s">
        <v>43</v>
      </c>
      <c r="E631" t="s">
        <v>59</v>
      </c>
      <c r="F631" t="s">
        <v>45</v>
      </c>
      <c r="G631">
        <v>1</v>
      </c>
      <c r="H631" t="s">
        <v>37</v>
      </c>
      <c r="I631" t="s">
        <v>60</v>
      </c>
      <c r="J631" t="s">
        <v>48</v>
      </c>
      <c r="K631" t="s">
        <v>33</v>
      </c>
      <c r="L631">
        <v>28</v>
      </c>
      <c r="M631">
        <v>8</v>
      </c>
      <c r="N631" t="s">
        <v>32</v>
      </c>
      <c r="O631">
        <v>2</v>
      </c>
      <c r="P631">
        <v>1</v>
      </c>
      <c r="Q631">
        <v>4</v>
      </c>
      <c r="R631">
        <v>4936</v>
      </c>
      <c r="S631">
        <v>6</v>
      </c>
      <c r="T631">
        <v>3</v>
      </c>
      <c r="U631">
        <v>5</v>
      </c>
      <c r="V631">
        <v>1</v>
      </c>
      <c r="W631">
        <v>0</v>
      </c>
      <c r="X631">
        <v>4</v>
      </c>
      <c r="Y631">
        <f>IF(HR_data[[#This Row],[Attrition]]= "Yes",1,0)</f>
        <v>0</v>
      </c>
    </row>
    <row r="632" spans="1:25">
      <c r="A632">
        <v>631</v>
      </c>
      <c r="B632" t="s">
        <v>33</v>
      </c>
      <c r="C632" t="s">
        <v>25</v>
      </c>
      <c r="D632" t="s">
        <v>52</v>
      </c>
      <c r="E632" t="s">
        <v>36</v>
      </c>
      <c r="F632" t="s">
        <v>28</v>
      </c>
      <c r="G632">
        <v>1</v>
      </c>
      <c r="H632" t="s">
        <v>37</v>
      </c>
      <c r="I632" t="s">
        <v>49</v>
      </c>
      <c r="J632" t="s">
        <v>39</v>
      </c>
      <c r="K632" t="s">
        <v>33</v>
      </c>
      <c r="L632">
        <v>22</v>
      </c>
      <c r="M632">
        <v>1</v>
      </c>
      <c r="N632" t="s">
        <v>32</v>
      </c>
      <c r="O632">
        <v>4</v>
      </c>
      <c r="P632">
        <v>2</v>
      </c>
      <c r="Q632">
        <v>4</v>
      </c>
      <c r="R632">
        <v>4775</v>
      </c>
      <c r="S632">
        <v>4</v>
      </c>
      <c r="T632">
        <v>1</v>
      </c>
      <c r="U632">
        <v>2</v>
      </c>
      <c r="V632">
        <v>2</v>
      </c>
      <c r="W632">
        <v>2</v>
      </c>
      <c r="X632">
        <v>2</v>
      </c>
      <c r="Y632">
        <f>IF(HR_data[[#This Row],[Attrition]]= "Yes",1,0)</f>
        <v>0</v>
      </c>
    </row>
    <row r="633" spans="1:25">
      <c r="A633">
        <v>632</v>
      </c>
      <c r="B633" t="s">
        <v>33</v>
      </c>
      <c r="C633" t="s">
        <v>25</v>
      </c>
      <c r="D633" t="s">
        <v>26</v>
      </c>
      <c r="E633" t="s">
        <v>36</v>
      </c>
      <c r="F633" t="s">
        <v>28</v>
      </c>
      <c r="G633">
        <v>1</v>
      </c>
      <c r="H633" t="s">
        <v>37</v>
      </c>
      <c r="I633" t="s">
        <v>42</v>
      </c>
      <c r="J633" t="s">
        <v>39</v>
      </c>
      <c r="K633" t="s">
        <v>24</v>
      </c>
      <c r="L633">
        <v>44</v>
      </c>
      <c r="M633">
        <v>8</v>
      </c>
      <c r="N633" t="s">
        <v>44</v>
      </c>
      <c r="O633">
        <v>1</v>
      </c>
      <c r="P633">
        <v>1</v>
      </c>
      <c r="Q633">
        <v>4</v>
      </c>
      <c r="R633">
        <v>2818</v>
      </c>
      <c r="S633">
        <v>10</v>
      </c>
      <c r="T633">
        <v>2</v>
      </c>
      <c r="U633">
        <v>3</v>
      </c>
      <c r="V633">
        <v>2</v>
      </c>
      <c r="W633">
        <v>0</v>
      </c>
      <c r="X633">
        <v>2</v>
      </c>
      <c r="Y633">
        <f>IF(HR_data[[#This Row],[Attrition]]= "Yes",1,0)</f>
        <v>0</v>
      </c>
    </row>
    <row r="634" spans="1:25">
      <c r="A634">
        <v>633</v>
      </c>
      <c r="B634" t="s">
        <v>33</v>
      </c>
      <c r="C634" t="s">
        <v>34</v>
      </c>
      <c r="D634" t="s">
        <v>26</v>
      </c>
      <c r="E634" t="s">
        <v>36</v>
      </c>
      <c r="F634" t="s">
        <v>45</v>
      </c>
      <c r="G634">
        <v>1</v>
      </c>
      <c r="H634" t="s">
        <v>37</v>
      </c>
      <c r="I634" t="s">
        <v>38</v>
      </c>
      <c r="J634" t="s">
        <v>31</v>
      </c>
      <c r="K634" t="s">
        <v>24</v>
      </c>
      <c r="L634">
        <v>42</v>
      </c>
      <c r="M634">
        <v>2</v>
      </c>
      <c r="N634" t="s">
        <v>40</v>
      </c>
      <c r="O634">
        <v>2</v>
      </c>
      <c r="P634">
        <v>1</v>
      </c>
      <c r="Q634">
        <v>4</v>
      </c>
      <c r="R634">
        <v>2515</v>
      </c>
      <c r="S634">
        <v>8</v>
      </c>
      <c r="T634">
        <v>3</v>
      </c>
      <c r="U634">
        <v>2</v>
      </c>
      <c r="V634">
        <v>1</v>
      </c>
      <c r="W634">
        <v>2</v>
      </c>
      <c r="X634">
        <v>2</v>
      </c>
      <c r="Y634">
        <f>IF(HR_data[[#This Row],[Attrition]]= "Yes",1,0)</f>
        <v>0</v>
      </c>
    </row>
    <row r="635" spans="1:25">
      <c r="A635">
        <v>634</v>
      </c>
      <c r="B635" t="s">
        <v>33</v>
      </c>
      <c r="C635" t="s">
        <v>25</v>
      </c>
      <c r="D635" t="s">
        <v>26</v>
      </c>
      <c r="E635" t="s">
        <v>59</v>
      </c>
      <c r="F635" t="s">
        <v>28</v>
      </c>
      <c r="G635">
        <v>1</v>
      </c>
      <c r="H635" t="s">
        <v>37</v>
      </c>
      <c r="I635" t="s">
        <v>60</v>
      </c>
      <c r="J635" t="s">
        <v>39</v>
      </c>
      <c r="K635" t="s">
        <v>33</v>
      </c>
      <c r="L635">
        <v>36</v>
      </c>
      <c r="M635">
        <v>8</v>
      </c>
      <c r="N635" t="s">
        <v>47</v>
      </c>
      <c r="O635">
        <v>1</v>
      </c>
      <c r="P635">
        <v>1</v>
      </c>
      <c r="Q635">
        <v>1</v>
      </c>
      <c r="R635">
        <v>2342</v>
      </c>
      <c r="S635">
        <v>6</v>
      </c>
      <c r="T635">
        <v>3</v>
      </c>
      <c r="U635">
        <v>5</v>
      </c>
      <c r="V635">
        <v>4</v>
      </c>
      <c r="W635">
        <v>0</v>
      </c>
      <c r="X635">
        <v>3</v>
      </c>
      <c r="Y635">
        <f>IF(HR_data[[#This Row],[Attrition]]= "Yes",1,0)</f>
        <v>0</v>
      </c>
    </row>
    <row r="636" spans="1:25">
      <c r="A636">
        <v>635</v>
      </c>
      <c r="B636" t="s">
        <v>33</v>
      </c>
      <c r="C636" t="s">
        <v>25</v>
      </c>
      <c r="D636" t="s">
        <v>43</v>
      </c>
      <c r="E636" t="s">
        <v>27</v>
      </c>
      <c r="F636" t="s">
        <v>41</v>
      </c>
      <c r="G636">
        <v>1</v>
      </c>
      <c r="H636" t="s">
        <v>37</v>
      </c>
      <c r="I636" t="s">
        <v>30</v>
      </c>
      <c r="J636" t="s">
        <v>39</v>
      </c>
      <c r="K636" t="s">
        <v>24</v>
      </c>
      <c r="L636">
        <v>25</v>
      </c>
      <c r="M636">
        <v>3</v>
      </c>
      <c r="N636" t="s">
        <v>40</v>
      </c>
      <c r="O636">
        <v>3</v>
      </c>
      <c r="P636">
        <v>2</v>
      </c>
      <c r="Q636">
        <v>1</v>
      </c>
      <c r="R636">
        <v>4194</v>
      </c>
      <c r="S636">
        <v>5</v>
      </c>
      <c r="T636">
        <v>3</v>
      </c>
      <c r="U636">
        <v>5</v>
      </c>
      <c r="V636">
        <v>3</v>
      </c>
      <c r="W636">
        <v>0</v>
      </c>
      <c r="X636">
        <v>3</v>
      </c>
      <c r="Y636">
        <f>IF(HR_data[[#This Row],[Attrition]]= "Yes",1,0)</f>
        <v>0</v>
      </c>
    </row>
    <row r="637" spans="1:25">
      <c r="A637">
        <v>636</v>
      </c>
      <c r="B637" t="s">
        <v>33</v>
      </c>
      <c r="C637" t="s">
        <v>25</v>
      </c>
      <c r="D637" t="s">
        <v>26</v>
      </c>
      <c r="E637" t="s">
        <v>36</v>
      </c>
      <c r="F637" t="s">
        <v>28</v>
      </c>
      <c r="G637">
        <v>1</v>
      </c>
      <c r="H637" t="s">
        <v>29</v>
      </c>
      <c r="I637" t="s">
        <v>49</v>
      </c>
      <c r="J637" t="s">
        <v>39</v>
      </c>
      <c r="K637" t="s">
        <v>24</v>
      </c>
      <c r="L637">
        <v>35</v>
      </c>
      <c r="M637">
        <v>9</v>
      </c>
      <c r="N637" t="s">
        <v>47</v>
      </c>
      <c r="O637">
        <v>4</v>
      </c>
      <c r="P637">
        <v>3</v>
      </c>
      <c r="Q637">
        <v>3</v>
      </c>
      <c r="R637">
        <v>10685</v>
      </c>
      <c r="S637">
        <v>17</v>
      </c>
      <c r="T637">
        <v>3</v>
      </c>
      <c r="U637">
        <v>17</v>
      </c>
      <c r="V637">
        <v>14</v>
      </c>
      <c r="W637">
        <v>5</v>
      </c>
      <c r="X637">
        <v>15</v>
      </c>
      <c r="Y637">
        <f>IF(HR_data[[#This Row],[Attrition]]= "Yes",1,0)</f>
        <v>0</v>
      </c>
    </row>
    <row r="638" spans="1:25">
      <c r="A638">
        <v>637</v>
      </c>
      <c r="B638" t="s">
        <v>24</v>
      </c>
      <c r="C638" t="s">
        <v>34</v>
      </c>
      <c r="D638" t="s">
        <v>26</v>
      </c>
      <c r="E638" t="s">
        <v>36</v>
      </c>
      <c r="F638" t="s">
        <v>28</v>
      </c>
      <c r="G638">
        <v>1</v>
      </c>
      <c r="H638" t="s">
        <v>29</v>
      </c>
      <c r="I638" t="s">
        <v>38</v>
      </c>
      <c r="J638" t="s">
        <v>48</v>
      </c>
      <c r="K638" t="s">
        <v>24</v>
      </c>
      <c r="L638">
        <v>35</v>
      </c>
      <c r="M638">
        <v>25</v>
      </c>
      <c r="N638" t="s">
        <v>44</v>
      </c>
      <c r="O638">
        <v>4</v>
      </c>
      <c r="P638">
        <v>1</v>
      </c>
      <c r="Q638">
        <v>2</v>
      </c>
      <c r="R638">
        <v>2022</v>
      </c>
      <c r="S638">
        <v>10</v>
      </c>
      <c r="T638">
        <v>2</v>
      </c>
      <c r="U638">
        <v>10</v>
      </c>
      <c r="V638">
        <v>2</v>
      </c>
      <c r="W638">
        <v>7</v>
      </c>
      <c r="X638">
        <v>8</v>
      </c>
      <c r="Y638">
        <f>IF(HR_data[[#This Row],[Attrition]]= "Yes",1,0)</f>
        <v>1</v>
      </c>
    </row>
    <row r="639" spans="1:25">
      <c r="A639">
        <v>638</v>
      </c>
      <c r="B639" t="s">
        <v>33</v>
      </c>
      <c r="C639" t="s">
        <v>51</v>
      </c>
      <c r="D639" t="s">
        <v>43</v>
      </c>
      <c r="E639" t="s">
        <v>36</v>
      </c>
      <c r="F639" t="s">
        <v>28</v>
      </c>
      <c r="G639">
        <v>1</v>
      </c>
      <c r="H639" t="s">
        <v>37</v>
      </c>
      <c r="I639" t="s">
        <v>42</v>
      </c>
      <c r="J639" t="s">
        <v>48</v>
      </c>
      <c r="K639" t="s">
        <v>33</v>
      </c>
      <c r="L639">
        <v>32</v>
      </c>
      <c r="M639">
        <v>1</v>
      </c>
      <c r="N639" t="s">
        <v>47</v>
      </c>
      <c r="O639">
        <v>4</v>
      </c>
      <c r="P639">
        <v>1</v>
      </c>
      <c r="Q639">
        <v>4</v>
      </c>
      <c r="R639">
        <v>2314</v>
      </c>
      <c r="S639">
        <v>4</v>
      </c>
      <c r="T639">
        <v>3</v>
      </c>
      <c r="U639">
        <v>3</v>
      </c>
      <c r="V639">
        <v>0</v>
      </c>
      <c r="W639">
        <v>0</v>
      </c>
      <c r="X639">
        <v>2</v>
      </c>
      <c r="Y639">
        <f>IF(HR_data[[#This Row],[Attrition]]= "Yes",1,0)</f>
        <v>0</v>
      </c>
    </row>
    <row r="640" spans="1:25">
      <c r="A640">
        <v>639</v>
      </c>
      <c r="B640" t="s">
        <v>33</v>
      </c>
      <c r="C640" t="s">
        <v>25</v>
      </c>
      <c r="D640" t="s">
        <v>43</v>
      </c>
      <c r="E640" t="s">
        <v>27</v>
      </c>
      <c r="F640" t="s">
        <v>56</v>
      </c>
      <c r="G640">
        <v>1</v>
      </c>
      <c r="H640" t="s">
        <v>37</v>
      </c>
      <c r="I640" t="s">
        <v>30</v>
      </c>
      <c r="J640" t="s">
        <v>39</v>
      </c>
      <c r="K640" t="s">
        <v>33</v>
      </c>
      <c r="L640">
        <v>25</v>
      </c>
      <c r="M640">
        <v>4</v>
      </c>
      <c r="N640" t="s">
        <v>40</v>
      </c>
      <c r="O640">
        <v>3</v>
      </c>
      <c r="P640">
        <v>2</v>
      </c>
      <c r="Q640">
        <v>1</v>
      </c>
      <c r="R640">
        <v>4256</v>
      </c>
      <c r="S640">
        <v>5</v>
      </c>
      <c r="T640">
        <v>4</v>
      </c>
      <c r="U640">
        <v>5</v>
      </c>
      <c r="V640">
        <v>2</v>
      </c>
      <c r="W640">
        <v>0</v>
      </c>
      <c r="X640">
        <v>3</v>
      </c>
      <c r="Y640">
        <f>IF(HR_data[[#This Row],[Attrition]]= "Yes",1,0)</f>
        <v>0</v>
      </c>
    </row>
    <row r="641" spans="1:25">
      <c r="A641">
        <v>640</v>
      </c>
      <c r="B641" t="s">
        <v>33</v>
      </c>
      <c r="C641" t="s">
        <v>25</v>
      </c>
      <c r="D641" t="s">
        <v>35</v>
      </c>
      <c r="E641" t="s">
        <v>36</v>
      </c>
      <c r="F641" t="s">
        <v>57</v>
      </c>
      <c r="G641">
        <v>1</v>
      </c>
      <c r="H641" t="s">
        <v>29</v>
      </c>
      <c r="I641" t="s">
        <v>38</v>
      </c>
      <c r="J641" t="s">
        <v>39</v>
      </c>
      <c r="K641" t="s">
        <v>33</v>
      </c>
      <c r="L641">
        <v>49</v>
      </c>
      <c r="M641">
        <v>1</v>
      </c>
      <c r="N641" t="s">
        <v>47</v>
      </c>
      <c r="O641">
        <v>3</v>
      </c>
      <c r="P641">
        <v>1</v>
      </c>
      <c r="Q641">
        <v>1</v>
      </c>
      <c r="R641">
        <v>3580</v>
      </c>
      <c r="S641">
        <v>7</v>
      </c>
      <c r="T641">
        <v>3</v>
      </c>
      <c r="U641">
        <v>4</v>
      </c>
      <c r="V641">
        <v>2</v>
      </c>
      <c r="W641">
        <v>0</v>
      </c>
      <c r="X641">
        <v>2</v>
      </c>
      <c r="Y641">
        <f>IF(HR_data[[#This Row],[Attrition]]= "Yes",1,0)</f>
        <v>0</v>
      </c>
    </row>
    <row r="642" spans="1:25">
      <c r="A642">
        <v>641</v>
      </c>
      <c r="B642" t="s">
        <v>33</v>
      </c>
      <c r="C642" t="s">
        <v>51</v>
      </c>
      <c r="D642" t="s">
        <v>52</v>
      </c>
      <c r="E642" t="s">
        <v>36</v>
      </c>
      <c r="F642" t="s">
        <v>28</v>
      </c>
      <c r="G642">
        <v>1</v>
      </c>
      <c r="H642" t="s">
        <v>37</v>
      </c>
      <c r="I642" t="s">
        <v>42</v>
      </c>
      <c r="J642" t="s">
        <v>39</v>
      </c>
      <c r="K642" t="s">
        <v>33</v>
      </c>
      <c r="L642">
        <v>24</v>
      </c>
      <c r="M642">
        <v>4</v>
      </c>
      <c r="N642" t="s">
        <v>40</v>
      </c>
      <c r="O642">
        <v>1</v>
      </c>
      <c r="P642">
        <v>1</v>
      </c>
      <c r="Q642">
        <v>4</v>
      </c>
      <c r="R642">
        <v>3162</v>
      </c>
      <c r="S642">
        <v>6</v>
      </c>
      <c r="T642">
        <v>2</v>
      </c>
      <c r="U642">
        <v>5</v>
      </c>
      <c r="V642">
        <v>2</v>
      </c>
      <c r="W642">
        <v>3</v>
      </c>
      <c r="X642">
        <v>4</v>
      </c>
      <c r="Y642">
        <f>IF(HR_data[[#This Row],[Attrition]]= "Yes",1,0)</f>
        <v>0</v>
      </c>
    </row>
    <row r="643" spans="1:25">
      <c r="A643">
        <v>642</v>
      </c>
      <c r="B643" t="s">
        <v>33</v>
      </c>
      <c r="C643" t="s">
        <v>34</v>
      </c>
      <c r="D643" t="s">
        <v>43</v>
      </c>
      <c r="E643" t="s">
        <v>27</v>
      </c>
      <c r="F643" t="s">
        <v>28</v>
      </c>
      <c r="G643">
        <v>1</v>
      </c>
      <c r="H643" t="s">
        <v>37</v>
      </c>
      <c r="I643" t="s">
        <v>30</v>
      </c>
      <c r="J643" t="s">
        <v>39</v>
      </c>
      <c r="K643" t="s">
        <v>33</v>
      </c>
      <c r="L643">
        <v>32</v>
      </c>
      <c r="M643">
        <v>5</v>
      </c>
      <c r="N643" t="s">
        <v>32</v>
      </c>
      <c r="O643">
        <v>2</v>
      </c>
      <c r="P643">
        <v>2</v>
      </c>
      <c r="Q643">
        <v>2</v>
      </c>
      <c r="R643">
        <v>6524</v>
      </c>
      <c r="S643">
        <v>10</v>
      </c>
      <c r="T643">
        <v>3</v>
      </c>
      <c r="U643">
        <v>10</v>
      </c>
      <c r="V643">
        <v>8</v>
      </c>
      <c r="W643">
        <v>5</v>
      </c>
      <c r="X643">
        <v>3</v>
      </c>
      <c r="Y643">
        <f>IF(HR_data[[#This Row],[Attrition]]= "Yes",1,0)</f>
        <v>0</v>
      </c>
    </row>
    <row r="644" spans="1:25">
      <c r="A644">
        <v>643</v>
      </c>
      <c r="B644" t="s">
        <v>33</v>
      </c>
      <c r="C644" t="s">
        <v>25</v>
      </c>
      <c r="D644" t="s">
        <v>26</v>
      </c>
      <c r="E644" t="s">
        <v>27</v>
      </c>
      <c r="F644" t="s">
        <v>56</v>
      </c>
      <c r="G644">
        <v>1</v>
      </c>
      <c r="H644" t="s">
        <v>37</v>
      </c>
      <c r="I644" t="s">
        <v>54</v>
      </c>
      <c r="J644" t="s">
        <v>39</v>
      </c>
      <c r="K644" t="s">
        <v>33</v>
      </c>
      <c r="L644">
        <v>38</v>
      </c>
      <c r="M644">
        <v>9</v>
      </c>
      <c r="N644" t="s">
        <v>47</v>
      </c>
      <c r="O644">
        <v>2</v>
      </c>
      <c r="P644">
        <v>1</v>
      </c>
      <c r="Q644">
        <v>2</v>
      </c>
      <c r="R644">
        <v>2899</v>
      </c>
      <c r="S644">
        <v>3</v>
      </c>
      <c r="T644">
        <v>3</v>
      </c>
      <c r="U644">
        <v>2</v>
      </c>
      <c r="V644">
        <v>2</v>
      </c>
      <c r="W644">
        <v>1</v>
      </c>
      <c r="X644">
        <v>2</v>
      </c>
      <c r="Y644">
        <f>IF(HR_data[[#This Row],[Attrition]]= "Yes",1,0)</f>
        <v>0</v>
      </c>
    </row>
    <row r="645" spans="1:25">
      <c r="A645">
        <v>644</v>
      </c>
      <c r="B645" t="s">
        <v>33</v>
      </c>
      <c r="C645" t="s">
        <v>25</v>
      </c>
      <c r="D645" t="s">
        <v>26</v>
      </c>
      <c r="E645" t="s">
        <v>36</v>
      </c>
      <c r="F645" t="s">
        <v>28</v>
      </c>
      <c r="G645">
        <v>1</v>
      </c>
      <c r="H645" t="s">
        <v>29</v>
      </c>
      <c r="I645" t="s">
        <v>42</v>
      </c>
      <c r="J645" t="s">
        <v>39</v>
      </c>
      <c r="K645" t="s">
        <v>24</v>
      </c>
      <c r="L645">
        <v>42</v>
      </c>
      <c r="M645">
        <v>3</v>
      </c>
      <c r="N645" t="s">
        <v>47</v>
      </c>
      <c r="O645">
        <v>3</v>
      </c>
      <c r="P645">
        <v>2</v>
      </c>
      <c r="Q645">
        <v>4</v>
      </c>
      <c r="R645">
        <v>5231</v>
      </c>
      <c r="S645">
        <v>17</v>
      </c>
      <c r="T645">
        <v>2</v>
      </c>
      <c r="U645">
        <v>5</v>
      </c>
      <c r="V645">
        <v>3</v>
      </c>
      <c r="W645">
        <v>1</v>
      </c>
      <c r="X645">
        <v>3</v>
      </c>
      <c r="Y645">
        <f>IF(HR_data[[#This Row],[Attrition]]= "Yes",1,0)</f>
        <v>0</v>
      </c>
    </row>
    <row r="646" spans="1:25">
      <c r="A646">
        <v>645</v>
      </c>
      <c r="B646" t="s">
        <v>33</v>
      </c>
      <c r="C646" t="s">
        <v>25</v>
      </c>
      <c r="D646" t="s">
        <v>43</v>
      </c>
      <c r="E646" t="s">
        <v>36</v>
      </c>
      <c r="F646" t="s">
        <v>28</v>
      </c>
      <c r="G646">
        <v>1</v>
      </c>
      <c r="H646" t="s">
        <v>37</v>
      </c>
      <c r="I646" t="s">
        <v>38</v>
      </c>
      <c r="J646" t="s">
        <v>39</v>
      </c>
      <c r="K646" t="s">
        <v>24</v>
      </c>
      <c r="L646">
        <v>31</v>
      </c>
      <c r="M646">
        <v>11</v>
      </c>
      <c r="N646" t="s">
        <v>44</v>
      </c>
      <c r="O646">
        <v>4</v>
      </c>
      <c r="P646">
        <v>1</v>
      </c>
      <c r="Q646">
        <v>4</v>
      </c>
      <c r="R646">
        <v>2356</v>
      </c>
      <c r="S646">
        <v>8</v>
      </c>
      <c r="T646">
        <v>3</v>
      </c>
      <c r="U646">
        <v>6</v>
      </c>
      <c r="V646">
        <v>4</v>
      </c>
      <c r="W646">
        <v>0</v>
      </c>
      <c r="X646">
        <v>2</v>
      </c>
      <c r="Y646">
        <f>IF(HR_data[[#This Row],[Attrition]]= "Yes",1,0)</f>
        <v>0</v>
      </c>
    </row>
    <row r="647" spans="1:25">
      <c r="A647">
        <v>646</v>
      </c>
      <c r="B647" t="s">
        <v>24</v>
      </c>
      <c r="C647" t="s">
        <v>25</v>
      </c>
      <c r="D647" t="s">
        <v>43</v>
      </c>
      <c r="E647" t="s">
        <v>27</v>
      </c>
      <c r="F647" t="s">
        <v>45</v>
      </c>
      <c r="G647">
        <v>1</v>
      </c>
      <c r="H647" t="s">
        <v>29</v>
      </c>
      <c r="I647" t="s">
        <v>54</v>
      </c>
      <c r="J647" t="s">
        <v>48</v>
      </c>
      <c r="K647" t="s">
        <v>24</v>
      </c>
      <c r="L647">
        <v>29</v>
      </c>
      <c r="M647">
        <v>1</v>
      </c>
      <c r="N647" t="s">
        <v>47</v>
      </c>
      <c r="O647">
        <v>2</v>
      </c>
      <c r="P647">
        <v>1</v>
      </c>
      <c r="Q647">
        <v>3</v>
      </c>
      <c r="R647">
        <v>2800</v>
      </c>
      <c r="S647">
        <v>5</v>
      </c>
      <c r="T647">
        <v>3</v>
      </c>
      <c r="U647">
        <v>3</v>
      </c>
      <c r="V647">
        <v>2</v>
      </c>
      <c r="W647">
        <v>0</v>
      </c>
      <c r="X647">
        <v>2</v>
      </c>
      <c r="Y647">
        <f>IF(HR_data[[#This Row],[Attrition]]= "Yes",1,0)</f>
        <v>1</v>
      </c>
    </row>
    <row r="648" spans="1:25">
      <c r="A648">
        <v>647</v>
      </c>
      <c r="B648" t="s">
        <v>33</v>
      </c>
      <c r="C648" t="s">
        <v>25</v>
      </c>
      <c r="D648" t="s">
        <v>35</v>
      </c>
      <c r="E648" t="s">
        <v>27</v>
      </c>
      <c r="F648" t="s">
        <v>56</v>
      </c>
      <c r="G648">
        <v>1</v>
      </c>
      <c r="H648" t="s">
        <v>37</v>
      </c>
      <c r="I648" t="s">
        <v>30</v>
      </c>
      <c r="J648" t="s">
        <v>39</v>
      </c>
      <c r="K648" t="s">
        <v>33</v>
      </c>
      <c r="L648">
        <v>53</v>
      </c>
      <c r="M648">
        <v>8</v>
      </c>
      <c r="N648" t="s">
        <v>47</v>
      </c>
      <c r="O648">
        <v>1</v>
      </c>
      <c r="P648">
        <v>4</v>
      </c>
      <c r="Q648">
        <v>4</v>
      </c>
      <c r="R648">
        <v>11836</v>
      </c>
      <c r="S648">
        <v>28</v>
      </c>
      <c r="T648">
        <v>3</v>
      </c>
      <c r="U648">
        <v>2</v>
      </c>
      <c r="V648">
        <v>0</v>
      </c>
      <c r="W648">
        <v>2</v>
      </c>
      <c r="X648">
        <v>2</v>
      </c>
      <c r="Y648">
        <f>IF(HR_data[[#This Row],[Attrition]]= "Yes",1,0)</f>
        <v>0</v>
      </c>
    </row>
    <row r="649" spans="1:25">
      <c r="A649">
        <v>648</v>
      </c>
      <c r="B649" t="s">
        <v>33</v>
      </c>
      <c r="C649" t="s">
        <v>25</v>
      </c>
      <c r="D649" t="s">
        <v>26</v>
      </c>
      <c r="E649" t="s">
        <v>36</v>
      </c>
      <c r="F649" t="s">
        <v>57</v>
      </c>
      <c r="G649">
        <v>1</v>
      </c>
      <c r="H649" t="s">
        <v>37</v>
      </c>
      <c r="I649" t="s">
        <v>49</v>
      </c>
      <c r="J649" t="s">
        <v>39</v>
      </c>
      <c r="K649" t="s">
        <v>33</v>
      </c>
      <c r="L649">
        <v>35</v>
      </c>
      <c r="M649">
        <v>25</v>
      </c>
      <c r="N649" t="s">
        <v>47</v>
      </c>
      <c r="O649">
        <v>4</v>
      </c>
      <c r="P649">
        <v>3</v>
      </c>
      <c r="Q649">
        <v>2</v>
      </c>
      <c r="R649">
        <v>10903</v>
      </c>
      <c r="S649">
        <v>16</v>
      </c>
      <c r="T649">
        <v>3</v>
      </c>
      <c r="U649">
        <v>13</v>
      </c>
      <c r="V649">
        <v>10</v>
      </c>
      <c r="W649">
        <v>4</v>
      </c>
      <c r="X649">
        <v>8</v>
      </c>
      <c r="Y649">
        <f>IF(HR_data[[#This Row],[Attrition]]= "Yes",1,0)</f>
        <v>0</v>
      </c>
    </row>
    <row r="650" spans="1:25">
      <c r="A650">
        <v>649</v>
      </c>
      <c r="B650" t="s">
        <v>33</v>
      </c>
      <c r="C650" t="s">
        <v>34</v>
      </c>
      <c r="D650" t="s">
        <v>26</v>
      </c>
      <c r="E650" t="s">
        <v>27</v>
      </c>
      <c r="F650" t="s">
        <v>45</v>
      </c>
      <c r="G650">
        <v>1</v>
      </c>
      <c r="H650" t="s">
        <v>29</v>
      </c>
      <c r="I650" t="s">
        <v>54</v>
      </c>
      <c r="J650" t="s">
        <v>39</v>
      </c>
      <c r="K650" t="s">
        <v>33</v>
      </c>
      <c r="L650">
        <v>37</v>
      </c>
      <c r="M650">
        <v>21</v>
      </c>
      <c r="N650" t="s">
        <v>32</v>
      </c>
      <c r="O650">
        <v>3</v>
      </c>
      <c r="P650">
        <v>1</v>
      </c>
      <c r="Q650">
        <v>4</v>
      </c>
      <c r="R650">
        <v>2973</v>
      </c>
      <c r="S650">
        <v>10</v>
      </c>
      <c r="T650">
        <v>3</v>
      </c>
      <c r="U650">
        <v>5</v>
      </c>
      <c r="V650">
        <v>4</v>
      </c>
      <c r="W650">
        <v>0</v>
      </c>
      <c r="X650">
        <v>0</v>
      </c>
      <c r="Y650">
        <f>IF(HR_data[[#This Row],[Attrition]]= "Yes",1,0)</f>
        <v>0</v>
      </c>
    </row>
    <row r="651" spans="1:25">
      <c r="A651">
        <v>650</v>
      </c>
      <c r="B651" t="s">
        <v>33</v>
      </c>
      <c r="C651" t="s">
        <v>25</v>
      </c>
      <c r="D651" t="s">
        <v>35</v>
      </c>
      <c r="E651" t="s">
        <v>36</v>
      </c>
      <c r="F651" t="s">
        <v>28</v>
      </c>
      <c r="G651">
        <v>1</v>
      </c>
      <c r="H651" t="s">
        <v>29</v>
      </c>
      <c r="I651" t="s">
        <v>55</v>
      </c>
      <c r="J651" t="s">
        <v>31</v>
      </c>
      <c r="K651" t="s">
        <v>33</v>
      </c>
      <c r="L651">
        <v>53</v>
      </c>
      <c r="M651">
        <v>23</v>
      </c>
      <c r="N651" t="s">
        <v>44</v>
      </c>
      <c r="O651">
        <v>4</v>
      </c>
      <c r="P651">
        <v>4</v>
      </c>
      <c r="Q651">
        <v>4</v>
      </c>
      <c r="R651">
        <v>14275</v>
      </c>
      <c r="S651">
        <v>33</v>
      </c>
      <c r="T651">
        <v>3</v>
      </c>
      <c r="U651">
        <v>12</v>
      </c>
      <c r="V651">
        <v>9</v>
      </c>
      <c r="W651">
        <v>3</v>
      </c>
      <c r="X651">
        <v>8</v>
      </c>
      <c r="Y651">
        <f>IF(HR_data[[#This Row],[Attrition]]= "Yes",1,0)</f>
        <v>0</v>
      </c>
    </row>
    <row r="652" spans="1:25">
      <c r="A652">
        <v>651</v>
      </c>
      <c r="B652" t="s">
        <v>33</v>
      </c>
      <c r="C652" t="s">
        <v>34</v>
      </c>
      <c r="D652" t="s">
        <v>26</v>
      </c>
      <c r="E652" t="s">
        <v>36</v>
      </c>
      <c r="F652" t="s">
        <v>28</v>
      </c>
      <c r="G652">
        <v>1</v>
      </c>
      <c r="H652" t="s">
        <v>29</v>
      </c>
      <c r="I652" t="s">
        <v>50</v>
      </c>
      <c r="J652" t="s">
        <v>39</v>
      </c>
      <c r="K652" t="s">
        <v>33</v>
      </c>
      <c r="L652">
        <v>43</v>
      </c>
      <c r="M652">
        <v>1</v>
      </c>
      <c r="N652" t="s">
        <v>47</v>
      </c>
      <c r="O652">
        <v>4</v>
      </c>
      <c r="P652">
        <v>2</v>
      </c>
      <c r="Q652">
        <v>4</v>
      </c>
      <c r="R652">
        <v>5562</v>
      </c>
      <c r="S652">
        <v>12</v>
      </c>
      <c r="T652">
        <v>2</v>
      </c>
      <c r="U652">
        <v>5</v>
      </c>
      <c r="V652">
        <v>2</v>
      </c>
      <c r="W652">
        <v>2</v>
      </c>
      <c r="X652">
        <v>2</v>
      </c>
      <c r="Y652">
        <f>IF(HR_data[[#This Row],[Attrition]]= "Yes",1,0)</f>
        <v>0</v>
      </c>
    </row>
    <row r="653" spans="1:25">
      <c r="A653">
        <v>652</v>
      </c>
      <c r="B653" t="s">
        <v>33</v>
      </c>
      <c r="C653" t="s">
        <v>25</v>
      </c>
      <c r="D653" t="s">
        <v>35</v>
      </c>
      <c r="E653" t="s">
        <v>27</v>
      </c>
      <c r="F653" t="s">
        <v>56</v>
      </c>
      <c r="G653">
        <v>1</v>
      </c>
      <c r="H653" t="s">
        <v>29</v>
      </c>
      <c r="I653" t="s">
        <v>30</v>
      </c>
      <c r="J653" t="s">
        <v>39</v>
      </c>
      <c r="K653" t="s">
        <v>24</v>
      </c>
      <c r="L653">
        <v>47</v>
      </c>
      <c r="M653">
        <v>2</v>
      </c>
      <c r="N653" t="s">
        <v>32</v>
      </c>
      <c r="O653">
        <v>3</v>
      </c>
      <c r="P653">
        <v>2</v>
      </c>
      <c r="Q653">
        <v>4</v>
      </c>
      <c r="R653">
        <v>4537</v>
      </c>
      <c r="S653">
        <v>8</v>
      </c>
      <c r="T653">
        <v>3</v>
      </c>
      <c r="U653">
        <v>7</v>
      </c>
      <c r="V653">
        <v>6</v>
      </c>
      <c r="W653">
        <v>7</v>
      </c>
      <c r="X653">
        <v>7</v>
      </c>
      <c r="Y653">
        <f>IF(HR_data[[#This Row],[Attrition]]= "Yes",1,0)</f>
        <v>0</v>
      </c>
    </row>
    <row r="654" spans="1:25">
      <c r="A654">
        <v>653</v>
      </c>
      <c r="B654" t="s">
        <v>33</v>
      </c>
      <c r="C654" t="s">
        <v>51</v>
      </c>
      <c r="D654" t="s">
        <v>26</v>
      </c>
      <c r="E654" t="s">
        <v>27</v>
      </c>
      <c r="F654" t="s">
        <v>45</v>
      </c>
      <c r="G654">
        <v>1</v>
      </c>
      <c r="H654" t="s">
        <v>37</v>
      </c>
      <c r="I654" t="s">
        <v>30</v>
      </c>
      <c r="J654" t="s">
        <v>31</v>
      </c>
      <c r="K654" t="s">
        <v>24</v>
      </c>
      <c r="L654">
        <v>37</v>
      </c>
      <c r="M654">
        <v>19</v>
      </c>
      <c r="N654" t="s">
        <v>32</v>
      </c>
      <c r="O654">
        <v>1</v>
      </c>
      <c r="P654">
        <v>3</v>
      </c>
      <c r="Q654">
        <v>2</v>
      </c>
      <c r="R654">
        <v>7642</v>
      </c>
      <c r="S654">
        <v>10</v>
      </c>
      <c r="T654">
        <v>3</v>
      </c>
      <c r="U654">
        <v>10</v>
      </c>
      <c r="V654">
        <v>0</v>
      </c>
      <c r="W654">
        <v>0</v>
      </c>
      <c r="X654">
        <v>9</v>
      </c>
      <c r="Y654">
        <f>IF(HR_data[[#This Row],[Attrition]]= "Yes",1,0)</f>
        <v>0</v>
      </c>
    </row>
    <row r="655" spans="1:25">
      <c r="A655">
        <v>654</v>
      </c>
      <c r="B655" t="s">
        <v>33</v>
      </c>
      <c r="C655" t="s">
        <v>51</v>
      </c>
      <c r="D655" t="s">
        <v>35</v>
      </c>
      <c r="E655" t="s">
        <v>36</v>
      </c>
      <c r="F655" t="s">
        <v>28</v>
      </c>
      <c r="G655">
        <v>1</v>
      </c>
      <c r="H655" t="s">
        <v>37</v>
      </c>
      <c r="I655" t="s">
        <v>53</v>
      </c>
      <c r="J655" t="s">
        <v>48</v>
      </c>
      <c r="K655" t="s">
        <v>33</v>
      </c>
      <c r="L655">
        <v>50</v>
      </c>
      <c r="M655">
        <v>2</v>
      </c>
      <c r="N655" t="s">
        <v>44</v>
      </c>
      <c r="O655">
        <v>1</v>
      </c>
      <c r="P655">
        <v>4</v>
      </c>
      <c r="Q655">
        <v>1</v>
      </c>
      <c r="R655">
        <v>17924</v>
      </c>
      <c r="S655">
        <v>31</v>
      </c>
      <c r="T655">
        <v>3</v>
      </c>
      <c r="U655">
        <v>31</v>
      </c>
      <c r="V655">
        <v>6</v>
      </c>
      <c r="W655">
        <v>14</v>
      </c>
      <c r="X655">
        <v>7</v>
      </c>
      <c r="Y655">
        <f>IF(HR_data[[#This Row],[Attrition]]= "Yes",1,0)</f>
        <v>0</v>
      </c>
    </row>
    <row r="656" spans="1:25">
      <c r="A656">
        <v>655</v>
      </c>
      <c r="B656" t="s">
        <v>33</v>
      </c>
      <c r="C656" t="s">
        <v>25</v>
      </c>
      <c r="D656" t="s">
        <v>26</v>
      </c>
      <c r="E656" t="s">
        <v>59</v>
      </c>
      <c r="F656" t="s">
        <v>28</v>
      </c>
      <c r="G656">
        <v>1</v>
      </c>
      <c r="H656" t="s">
        <v>29</v>
      </c>
      <c r="I656" t="s">
        <v>60</v>
      </c>
      <c r="J656" t="s">
        <v>39</v>
      </c>
      <c r="K656" t="s">
        <v>33</v>
      </c>
      <c r="L656">
        <v>39</v>
      </c>
      <c r="M656">
        <v>2</v>
      </c>
      <c r="N656" t="s">
        <v>47</v>
      </c>
      <c r="O656">
        <v>4</v>
      </c>
      <c r="P656">
        <v>2</v>
      </c>
      <c r="Q656">
        <v>4</v>
      </c>
      <c r="R656">
        <v>5204</v>
      </c>
      <c r="S656">
        <v>13</v>
      </c>
      <c r="T656">
        <v>3</v>
      </c>
      <c r="U656">
        <v>5</v>
      </c>
      <c r="V656">
        <v>4</v>
      </c>
      <c r="W656">
        <v>0</v>
      </c>
      <c r="X656">
        <v>4</v>
      </c>
      <c r="Y656">
        <f>IF(HR_data[[#This Row],[Attrition]]= "Yes",1,0)</f>
        <v>0</v>
      </c>
    </row>
    <row r="657" spans="1:25">
      <c r="A657">
        <v>656</v>
      </c>
      <c r="B657" t="s">
        <v>33</v>
      </c>
      <c r="C657" t="s">
        <v>25</v>
      </c>
      <c r="D657" t="s">
        <v>43</v>
      </c>
      <c r="E657" t="s">
        <v>59</v>
      </c>
      <c r="F657" t="s">
        <v>60</v>
      </c>
      <c r="G657">
        <v>1</v>
      </c>
      <c r="H657" t="s">
        <v>37</v>
      </c>
      <c r="I657" t="s">
        <v>60</v>
      </c>
      <c r="J657" t="s">
        <v>48</v>
      </c>
      <c r="K657" t="s">
        <v>24</v>
      </c>
      <c r="L657">
        <v>33</v>
      </c>
      <c r="M657">
        <v>3</v>
      </c>
      <c r="N657" t="s">
        <v>32</v>
      </c>
      <c r="O657">
        <v>4</v>
      </c>
      <c r="P657">
        <v>1</v>
      </c>
      <c r="Q657">
        <v>2</v>
      </c>
      <c r="R657">
        <v>2277</v>
      </c>
      <c r="S657">
        <v>7</v>
      </c>
      <c r="T657">
        <v>4</v>
      </c>
      <c r="U657">
        <v>4</v>
      </c>
      <c r="V657">
        <v>3</v>
      </c>
      <c r="W657">
        <v>0</v>
      </c>
      <c r="X657">
        <v>3</v>
      </c>
      <c r="Y657">
        <f>IF(HR_data[[#This Row],[Attrition]]= "Yes",1,0)</f>
        <v>0</v>
      </c>
    </row>
    <row r="658" spans="1:25">
      <c r="A658">
        <v>657</v>
      </c>
      <c r="B658" t="s">
        <v>24</v>
      </c>
      <c r="C658" t="s">
        <v>25</v>
      </c>
      <c r="D658" t="s">
        <v>43</v>
      </c>
      <c r="E658" t="s">
        <v>36</v>
      </c>
      <c r="F658" t="s">
        <v>28</v>
      </c>
      <c r="G658">
        <v>1</v>
      </c>
      <c r="H658" t="s">
        <v>37</v>
      </c>
      <c r="I658" t="s">
        <v>42</v>
      </c>
      <c r="J658" t="s">
        <v>31</v>
      </c>
      <c r="K658" t="s">
        <v>24</v>
      </c>
      <c r="L658">
        <v>32</v>
      </c>
      <c r="M658">
        <v>25</v>
      </c>
      <c r="N658" t="s">
        <v>44</v>
      </c>
      <c r="O658">
        <v>1</v>
      </c>
      <c r="P658">
        <v>1</v>
      </c>
      <c r="Q658">
        <v>4</v>
      </c>
      <c r="R658">
        <v>2795</v>
      </c>
      <c r="S658">
        <v>1</v>
      </c>
      <c r="T658">
        <v>1</v>
      </c>
      <c r="U658">
        <v>1</v>
      </c>
      <c r="V658">
        <v>0</v>
      </c>
      <c r="W658">
        <v>0</v>
      </c>
      <c r="X658">
        <v>1</v>
      </c>
      <c r="Y658">
        <f>IF(HR_data[[#This Row],[Attrition]]= "Yes",1,0)</f>
        <v>1</v>
      </c>
    </row>
    <row r="659" spans="1:25">
      <c r="A659">
        <v>658</v>
      </c>
      <c r="B659" t="s">
        <v>33</v>
      </c>
      <c r="C659" t="s">
        <v>25</v>
      </c>
      <c r="D659" t="s">
        <v>43</v>
      </c>
      <c r="E659" t="s">
        <v>36</v>
      </c>
      <c r="F659" t="s">
        <v>45</v>
      </c>
      <c r="G659">
        <v>1</v>
      </c>
      <c r="H659" t="s">
        <v>29</v>
      </c>
      <c r="I659" t="s">
        <v>42</v>
      </c>
      <c r="J659" t="s">
        <v>48</v>
      </c>
      <c r="K659" t="s">
        <v>33</v>
      </c>
      <c r="L659">
        <v>29</v>
      </c>
      <c r="M659">
        <v>7</v>
      </c>
      <c r="N659" t="s">
        <v>40</v>
      </c>
      <c r="O659">
        <v>1</v>
      </c>
      <c r="P659">
        <v>1</v>
      </c>
      <c r="Q659">
        <v>4</v>
      </c>
      <c r="R659">
        <v>2532</v>
      </c>
      <c r="S659">
        <v>8</v>
      </c>
      <c r="T659">
        <v>3</v>
      </c>
      <c r="U659">
        <v>4</v>
      </c>
      <c r="V659">
        <v>3</v>
      </c>
      <c r="W659">
        <v>0</v>
      </c>
      <c r="X659">
        <v>3</v>
      </c>
      <c r="Y659">
        <f>IF(HR_data[[#This Row],[Attrition]]= "Yes",1,0)</f>
        <v>0</v>
      </c>
    </row>
    <row r="660" spans="1:25">
      <c r="A660">
        <v>659</v>
      </c>
      <c r="B660" t="s">
        <v>33</v>
      </c>
      <c r="C660" t="s">
        <v>25</v>
      </c>
      <c r="D660" t="s">
        <v>26</v>
      </c>
      <c r="E660" t="s">
        <v>36</v>
      </c>
      <c r="F660" t="s">
        <v>28</v>
      </c>
      <c r="G660">
        <v>1</v>
      </c>
      <c r="H660" t="s">
        <v>37</v>
      </c>
      <c r="I660" t="s">
        <v>38</v>
      </c>
      <c r="J660" t="s">
        <v>39</v>
      </c>
      <c r="K660" t="s">
        <v>24</v>
      </c>
      <c r="L660">
        <v>44</v>
      </c>
      <c r="M660">
        <v>9</v>
      </c>
      <c r="N660" t="s">
        <v>32</v>
      </c>
      <c r="O660">
        <v>2</v>
      </c>
      <c r="P660">
        <v>1</v>
      </c>
      <c r="Q660">
        <v>1</v>
      </c>
      <c r="R660">
        <v>2559</v>
      </c>
      <c r="S660">
        <v>8</v>
      </c>
      <c r="T660">
        <v>3</v>
      </c>
      <c r="U660">
        <v>8</v>
      </c>
      <c r="V660">
        <v>7</v>
      </c>
      <c r="W660">
        <v>7</v>
      </c>
      <c r="X660">
        <v>1</v>
      </c>
      <c r="Y660">
        <f>IF(HR_data[[#This Row],[Attrition]]= "Yes",1,0)</f>
        <v>0</v>
      </c>
    </row>
    <row r="661" spans="1:25">
      <c r="A661">
        <v>660</v>
      </c>
      <c r="B661" t="s">
        <v>33</v>
      </c>
      <c r="C661" t="s">
        <v>25</v>
      </c>
      <c r="D661" t="s">
        <v>43</v>
      </c>
      <c r="E661" t="s">
        <v>27</v>
      </c>
      <c r="F661" t="s">
        <v>45</v>
      </c>
      <c r="G661">
        <v>1</v>
      </c>
      <c r="H661" t="s">
        <v>37</v>
      </c>
      <c r="I661" t="s">
        <v>30</v>
      </c>
      <c r="J661" t="s">
        <v>31</v>
      </c>
      <c r="K661" t="s">
        <v>33</v>
      </c>
      <c r="L661">
        <v>28</v>
      </c>
      <c r="M661">
        <v>5</v>
      </c>
      <c r="N661" t="s">
        <v>44</v>
      </c>
      <c r="O661">
        <v>1</v>
      </c>
      <c r="P661">
        <v>2</v>
      </c>
      <c r="Q661">
        <v>4</v>
      </c>
      <c r="R661">
        <v>4908</v>
      </c>
      <c r="S661">
        <v>4</v>
      </c>
      <c r="T661">
        <v>3</v>
      </c>
      <c r="U661">
        <v>4</v>
      </c>
      <c r="V661">
        <v>2</v>
      </c>
      <c r="W661">
        <v>0</v>
      </c>
      <c r="X661">
        <v>2</v>
      </c>
      <c r="Y661">
        <f>IF(HR_data[[#This Row],[Attrition]]= "Yes",1,0)</f>
        <v>0</v>
      </c>
    </row>
    <row r="662" spans="1:25">
      <c r="A662">
        <v>661</v>
      </c>
      <c r="B662" t="s">
        <v>24</v>
      </c>
      <c r="C662" t="s">
        <v>34</v>
      </c>
      <c r="D662" t="s">
        <v>46</v>
      </c>
      <c r="E662" t="s">
        <v>36</v>
      </c>
      <c r="F662" t="s">
        <v>28</v>
      </c>
      <c r="G662">
        <v>1</v>
      </c>
      <c r="H662" t="s">
        <v>37</v>
      </c>
      <c r="I662" t="s">
        <v>42</v>
      </c>
      <c r="J662" t="s">
        <v>48</v>
      </c>
      <c r="K662" t="s">
        <v>24</v>
      </c>
      <c r="L662">
        <v>58</v>
      </c>
      <c r="M662">
        <v>2</v>
      </c>
      <c r="N662" t="s">
        <v>40</v>
      </c>
      <c r="O662">
        <v>4</v>
      </c>
      <c r="P662">
        <v>1</v>
      </c>
      <c r="Q662">
        <v>4</v>
      </c>
      <c r="R662">
        <v>2380</v>
      </c>
      <c r="S662">
        <v>3</v>
      </c>
      <c r="T662">
        <v>2</v>
      </c>
      <c r="U662">
        <v>1</v>
      </c>
      <c r="V662">
        <v>0</v>
      </c>
      <c r="W662">
        <v>0</v>
      </c>
      <c r="X662">
        <v>0</v>
      </c>
      <c r="Y662">
        <f>IF(HR_data[[#This Row],[Attrition]]= "Yes",1,0)</f>
        <v>1</v>
      </c>
    </row>
    <row r="663" spans="1:25">
      <c r="A663">
        <v>662</v>
      </c>
      <c r="B663" t="s">
        <v>33</v>
      </c>
      <c r="C663" t="s">
        <v>25</v>
      </c>
      <c r="D663" t="s">
        <v>26</v>
      </c>
      <c r="E663" t="s">
        <v>36</v>
      </c>
      <c r="F663" t="s">
        <v>28</v>
      </c>
      <c r="G663">
        <v>1</v>
      </c>
      <c r="H663" t="s">
        <v>29</v>
      </c>
      <c r="I663" t="s">
        <v>49</v>
      </c>
      <c r="J663" t="s">
        <v>48</v>
      </c>
      <c r="K663" t="s">
        <v>33</v>
      </c>
      <c r="L663">
        <v>43</v>
      </c>
      <c r="M663">
        <v>8</v>
      </c>
      <c r="N663" t="s">
        <v>47</v>
      </c>
      <c r="O663">
        <v>1</v>
      </c>
      <c r="P663">
        <v>2</v>
      </c>
      <c r="Q663">
        <v>2</v>
      </c>
      <c r="R663">
        <v>4765</v>
      </c>
      <c r="S663">
        <v>4</v>
      </c>
      <c r="T663">
        <v>4</v>
      </c>
      <c r="U663">
        <v>1</v>
      </c>
      <c r="V663">
        <v>0</v>
      </c>
      <c r="W663">
        <v>0</v>
      </c>
      <c r="X663">
        <v>0</v>
      </c>
      <c r="Y663">
        <f>IF(HR_data[[#This Row],[Attrition]]= "Yes",1,0)</f>
        <v>0</v>
      </c>
    </row>
    <row r="664" spans="1:25">
      <c r="A664">
        <v>663</v>
      </c>
      <c r="B664" t="s">
        <v>24</v>
      </c>
      <c r="C664" t="s">
        <v>25</v>
      </c>
      <c r="D664" t="s">
        <v>52</v>
      </c>
      <c r="E664" t="s">
        <v>27</v>
      </c>
      <c r="F664" t="s">
        <v>45</v>
      </c>
      <c r="G664">
        <v>1</v>
      </c>
      <c r="H664" t="s">
        <v>29</v>
      </c>
      <c r="I664" t="s">
        <v>54</v>
      </c>
      <c r="J664" t="s">
        <v>31</v>
      </c>
      <c r="K664" t="s">
        <v>33</v>
      </c>
      <c r="L664">
        <v>20</v>
      </c>
      <c r="M664">
        <v>2</v>
      </c>
      <c r="N664" t="s">
        <v>47</v>
      </c>
      <c r="O664">
        <v>3</v>
      </c>
      <c r="P664">
        <v>1</v>
      </c>
      <c r="Q664">
        <v>3</v>
      </c>
      <c r="R664">
        <v>2044</v>
      </c>
      <c r="S664">
        <v>2</v>
      </c>
      <c r="T664">
        <v>2</v>
      </c>
      <c r="U664">
        <v>2</v>
      </c>
      <c r="V664">
        <v>2</v>
      </c>
      <c r="W664">
        <v>0</v>
      </c>
      <c r="X664">
        <v>2</v>
      </c>
      <c r="Y664">
        <f>IF(HR_data[[#This Row],[Attrition]]= "Yes",1,0)</f>
        <v>1</v>
      </c>
    </row>
    <row r="665" spans="1:25">
      <c r="A665">
        <v>664</v>
      </c>
      <c r="B665" t="s">
        <v>24</v>
      </c>
      <c r="C665" t="s">
        <v>25</v>
      </c>
      <c r="D665" t="s">
        <v>52</v>
      </c>
      <c r="E665" t="s">
        <v>36</v>
      </c>
      <c r="F665" t="s">
        <v>41</v>
      </c>
      <c r="G665">
        <v>1</v>
      </c>
      <c r="H665" t="s">
        <v>29</v>
      </c>
      <c r="I665" t="s">
        <v>38</v>
      </c>
      <c r="J665" t="s">
        <v>31</v>
      </c>
      <c r="K665" t="s">
        <v>33</v>
      </c>
      <c r="L665">
        <v>21</v>
      </c>
      <c r="M665">
        <v>18</v>
      </c>
      <c r="N665" t="s">
        <v>40</v>
      </c>
      <c r="O665">
        <v>4</v>
      </c>
      <c r="P665">
        <v>1</v>
      </c>
      <c r="Q665">
        <v>4</v>
      </c>
      <c r="R665">
        <v>2693</v>
      </c>
      <c r="S665">
        <v>1</v>
      </c>
      <c r="T665">
        <v>2</v>
      </c>
      <c r="U665">
        <v>1</v>
      </c>
      <c r="V665">
        <v>0</v>
      </c>
      <c r="W665">
        <v>0</v>
      </c>
      <c r="X665">
        <v>0</v>
      </c>
      <c r="Y665">
        <f>IF(HR_data[[#This Row],[Attrition]]= "Yes",1,0)</f>
        <v>1</v>
      </c>
    </row>
    <row r="666" spans="1:25">
      <c r="A666">
        <v>665</v>
      </c>
      <c r="B666" t="s">
        <v>33</v>
      </c>
      <c r="C666" t="s">
        <v>25</v>
      </c>
      <c r="D666" t="s">
        <v>26</v>
      </c>
      <c r="E666" t="s">
        <v>36</v>
      </c>
      <c r="F666" t="s">
        <v>28</v>
      </c>
      <c r="G666">
        <v>1</v>
      </c>
      <c r="H666" t="s">
        <v>37</v>
      </c>
      <c r="I666" t="s">
        <v>50</v>
      </c>
      <c r="J666" t="s">
        <v>39</v>
      </c>
      <c r="K666" t="s">
        <v>24</v>
      </c>
      <c r="L666">
        <v>36</v>
      </c>
      <c r="M666">
        <v>14</v>
      </c>
      <c r="N666" t="s">
        <v>40</v>
      </c>
      <c r="O666">
        <v>3</v>
      </c>
      <c r="P666">
        <v>2</v>
      </c>
      <c r="Q666">
        <v>4</v>
      </c>
      <c r="R666">
        <v>6586</v>
      </c>
      <c r="S666">
        <v>17</v>
      </c>
      <c r="T666">
        <v>2</v>
      </c>
      <c r="U666">
        <v>16</v>
      </c>
      <c r="V666">
        <v>8</v>
      </c>
      <c r="W666">
        <v>4</v>
      </c>
      <c r="X666">
        <v>11</v>
      </c>
      <c r="Y666">
        <f>IF(HR_data[[#This Row],[Attrition]]= "Yes",1,0)</f>
        <v>0</v>
      </c>
    </row>
    <row r="667" spans="1:25">
      <c r="A667">
        <v>666</v>
      </c>
      <c r="B667" t="s">
        <v>33</v>
      </c>
      <c r="C667" t="s">
        <v>25</v>
      </c>
      <c r="D667" t="s">
        <v>35</v>
      </c>
      <c r="E667" t="s">
        <v>27</v>
      </c>
      <c r="F667" t="s">
        <v>28</v>
      </c>
      <c r="G667">
        <v>1</v>
      </c>
      <c r="H667" t="s">
        <v>29</v>
      </c>
      <c r="I667" t="s">
        <v>54</v>
      </c>
      <c r="J667" t="s">
        <v>31</v>
      </c>
      <c r="K667" t="s">
        <v>24</v>
      </c>
      <c r="L667">
        <v>47</v>
      </c>
      <c r="M667">
        <v>2</v>
      </c>
      <c r="N667" t="s">
        <v>44</v>
      </c>
      <c r="O667">
        <v>4</v>
      </c>
      <c r="P667">
        <v>1</v>
      </c>
      <c r="Q667">
        <v>4</v>
      </c>
      <c r="R667">
        <v>3294</v>
      </c>
      <c r="S667">
        <v>3</v>
      </c>
      <c r="T667">
        <v>2</v>
      </c>
      <c r="U667">
        <v>3</v>
      </c>
      <c r="V667">
        <v>2</v>
      </c>
      <c r="W667">
        <v>1</v>
      </c>
      <c r="X667">
        <v>2</v>
      </c>
      <c r="Y667">
        <f>IF(HR_data[[#This Row],[Attrition]]= "Yes",1,0)</f>
        <v>0</v>
      </c>
    </row>
    <row r="668" spans="1:25">
      <c r="A668">
        <v>667</v>
      </c>
      <c r="B668" t="s">
        <v>24</v>
      </c>
      <c r="C668" t="s">
        <v>25</v>
      </c>
      <c r="D668" t="s">
        <v>52</v>
      </c>
      <c r="E668" t="s">
        <v>36</v>
      </c>
      <c r="F668" t="s">
        <v>28</v>
      </c>
      <c r="G668">
        <v>1</v>
      </c>
      <c r="H668" t="s">
        <v>29</v>
      </c>
      <c r="I668" t="s">
        <v>49</v>
      </c>
      <c r="J668" t="s">
        <v>39</v>
      </c>
      <c r="K668" t="s">
        <v>24</v>
      </c>
      <c r="L668">
        <v>22</v>
      </c>
      <c r="M668">
        <v>3</v>
      </c>
      <c r="N668" t="s">
        <v>40</v>
      </c>
      <c r="O668">
        <v>2</v>
      </c>
      <c r="P668">
        <v>2</v>
      </c>
      <c r="Q668">
        <v>3</v>
      </c>
      <c r="R668">
        <v>4171</v>
      </c>
      <c r="S668">
        <v>4</v>
      </c>
      <c r="T668">
        <v>4</v>
      </c>
      <c r="U668">
        <v>3</v>
      </c>
      <c r="V668">
        <v>2</v>
      </c>
      <c r="W668">
        <v>0</v>
      </c>
      <c r="X668">
        <v>2</v>
      </c>
      <c r="Y668">
        <f>IF(HR_data[[#This Row],[Attrition]]= "Yes",1,0)</f>
        <v>1</v>
      </c>
    </row>
    <row r="669" spans="1:25">
      <c r="A669">
        <v>668</v>
      </c>
      <c r="B669" t="s">
        <v>24</v>
      </c>
      <c r="C669" t="s">
        <v>25</v>
      </c>
      <c r="D669" t="s">
        <v>26</v>
      </c>
      <c r="E669" t="s">
        <v>36</v>
      </c>
      <c r="F669" t="s">
        <v>28</v>
      </c>
      <c r="G669">
        <v>1</v>
      </c>
      <c r="H669" t="s">
        <v>29</v>
      </c>
      <c r="I669" t="s">
        <v>42</v>
      </c>
      <c r="J669" t="s">
        <v>48</v>
      </c>
      <c r="K669" t="s">
        <v>24</v>
      </c>
      <c r="L669">
        <v>41</v>
      </c>
      <c r="M669">
        <v>2</v>
      </c>
      <c r="N669" t="s">
        <v>44</v>
      </c>
      <c r="O669">
        <v>2</v>
      </c>
      <c r="P669">
        <v>1</v>
      </c>
      <c r="Q669">
        <v>4</v>
      </c>
      <c r="R669">
        <v>2778</v>
      </c>
      <c r="S669">
        <v>10</v>
      </c>
      <c r="T669">
        <v>2</v>
      </c>
      <c r="U669">
        <v>7</v>
      </c>
      <c r="V669">
        <v>7</v>
      </c>
      <c r="W669">
        <v>1</v>
      </c>
      <c r="X669">
        <v>0</v>
      </c>
      <c r="Y669">
        <f>IF(HR_data[[#This Row],[Attrition]]= "Yes",1,0)</f>
        <v>1</v>
      </c>
    </row>
    <row r="670" spans="1:25">
      <c r="A670">
        <v>669</v>
      </c>
      <c r="B670" t="s">
        <v>33</v>
      </c>
      <c r="C670" t="s">
        <v>25</v>
      </c>
      <c r="D670" t="s">
        <v>43</v>
      </c>
      <c r="E670" t="s">
        <v>36</v>
      </c>
      <c r="F670" t="s">
        <v>45</v>
      </c>
      <c r="G670">
        <v>1</v>
      </c>
      <c r="H670" t="s">
        <v>29</v>
      </c>
      <c r="I670" t="s">
        <v>38</v>
      </c>
      <c r="J670" t="s">
        <v>48</v>
      </c>
      <c r="K670" t="s">
        <v>33</v>
      </c>
      <c r="L670">
        <v>28</v>
      </c>
      <c r="M670">
        <v>9</v>
      </c>
      <c r="N670" t="s">
        <v>47</v>
      </c>
      <c r="O670">
        <v>3</v>
      </c>
      <c r="P670">
        <v>1</v>
      </c>
      <c r="Q670">
        <v>3</v>
      </c>
      <c r="R670">
        <v>2377</v>
      </c>
      <c r="S670">
        <v>6</v>
      </c>
      <c r="T670">
        <v>3</v>
      </c>
      <c r="U670">
        <v>2</v>
      </c>
      <c r="V670">
        <v>2</v>
      </c>
      <c r="W670">
        <v>2</v>
      </c>
      <c r="X670">
        <v>2</v>
      </c>
      <c r="Y670">
        <f>IF(HR_data[[#This Row],[Attrition]]= "Yes",1,0)</f>
        <v>0</v>
      </c>
    </row>
    <row r="671" spans="1:25">
      <c r="A671">
        <v>670</v>
      </c>
      <c r="B671" t="s">
        <v>24</v>
      </c>
      <c r="C671" t="s">
        <v>25</v>
      </c>
      <c r="D671" t="s">
        <v>26</v>
      </c>
      <c r="E671" t="s">
        <v>36</v>
      </c>
      <c r="F671" t="s">
        <v>45</v>
      </c>
      <c r="G671">
        <v>1</v>
      </c>
      <c r="H671" t="s">
        <v>37</v>
      </c>
      <c r="I671" t="s">
        <v>42</v>
      </c>
      <c r="J671" t="s">
        <v>39</v>
      </c>
      <c r="K671" t="s">
        <v>24</v>
      </c>
      <c r="L671">
        <v>39</v>
      </c>
      <c r="M671">
        <v>6</v>
      </c>
      <c r="N671" t="s">
        <v>47</v>
      </c>
      <c r="O671">
        <v>4</v>
      </c>
      <c r="P671">
        <v>1</v>
      </c>
      <c r="Q671">
        <v>1</v>
      </c>
      <c r="R671">
        <v>2404</v>
      </c>
      <c r="S671">
        <v>8</v>
      </c>
      <c r="T671">
        <v>1</v>
      </c>
      <c r="U671">
        <v>2</v>
      </c>
      <c r="V671">
        <v>2</v>
      </c>
      <c r="W671">
        <v>2</v>
      </c>
      <c r="X671">
        <v>2</v>
      </c>
      <c r="Y671">
        <f>IF(HR_data[[#This Row],[Attrition]]= "Yes",1,0)</f>
        <v>1</v>
      </c>
    </row>
    <row r="672" spans="1:25">
      <c r="A672">
        <v>671</v>
      </c>
      <c r="B672" t="s">
        <v>33</v>
      </c>
      <c r="C672" t="s">
        <v>25</v>
      </c>
      <c r="D672" t="s">
        <v>43</v>
      </c>
      <c r="E672" t="s">
        <v>36</v>
      </c>
      <c r="F672" t="s">
        <v>28</v>
      </c>
      <c r="G672">
        <v>1</v>
      </c>
      <c r="H672" t="s">
        <v>29</v>
      </c>
      <c r="I672" t="s">
        <v>38</v>
      </c>
      <c r="J672" t="s">
        <v>31</v>
      </c>
      <c r="K672" t="s">
        <v>33</v>
      </c>
      <c r="L672">
        <v>27</v>
      </c>
      <c r="M672">
        <v>4</v>
      </c>
      <c r="N672" t="s">
        <v>47</v>
      </c>
      <c r="O672">
        <v>2</v>
      </c>
      <c r="P672">
        <v>1</v>
      </c>
      <c r="Q672">
        <v>3</v>
      </c>
      <c r="R672">
        <v>2318</v>
      </c>
      <c r="S672">
        <v>1</v>
      </c>
      <c r="T672">
        <v>3</v>
      </c>
      <c r="U672">
        <v>1</v>
      </c>
      <c r="V672">
        <v>1</v>
      </c>
      <c r="W672">
        <v>0</v>
      </c>
      <c r="X672">
        <v>0</v>
      </c>
      <c r="Y672">
        <f>IF(HR_data[[#This Row],[Attrition]]= "Yes",1,0)</f>
        <v>0</v>
      </c>
    </row>
    <row r="673" spans="1:25">
      <c r="A673">
        <v>672</v>
      </c>
      <c r="B673" t="s">
        <v>33</v>
      </c>
      <c r="C673" t="s">
        <v>25</v>
      </c>
      <c r="D673" t="s">
        <v>43</v>
      </c>
      <c r="E673" t="s">
        <v>36</v>
      </c>
      <c r="F673" t="s">
        <v>28</v>
      </c>
      <c r="G673">
        <v>1</v>
      </c>
      <c r="H673" t="s">
        <v>37</v>
      </c>
      <c r="I673" t="s">
        <v>42</v>
      </c>
      <c r="J673" t="s">
        <v>48</v>
      </c>
      <c r="K673" t="s">
        <v>33</v>
      </c>
      <c r="L673">
        <v>34</v>
      </c>
      <c r="M673">
        <v>10</v>
      </c>
      <c r="N673" t="s">
        <v>47</v>
      </c>
      <c r="O673">
        <v>2</v>
      </c>
      <c r="P673">
        <v>1</v>
      </c>
      <c r="Q673">
        <v>2</v>
      </c>
      <c r="R673">
        <v>2008</v>
      </c>
      <c r="S673">
        <v>1</v>
      </c>
      <c r="T673">
        <v>3</v>
      </c>
      <c r="U673">
        <v>1</v>
      </c>
      <c r="V673">
        <v>0</v>
      </c>
      <c r="W673">
        <v>1</v>
      </c>
      <c r="X673">
        <v>0</v>
      </c>
      <c r="Y673">
        <f>IF(HR_data[[#This Row],[Attrition]]= "Yes",1,0)</f>
        <v>0</v>
      </c>
    </row>
    <row r="674" spans="1:25">
      <c r="A674">
        <v>673</v>
      </c>
      <c r="B674" t="s">
        <v>33</v>
      </c>
      <c r="C674" t="s">
        <v>25</v>
      </c>
      <c r="D674" t="s">
        <v>26</v>
      </c>
      <c r="E674" t="s">
        <v>27</v>
      </c>
      <c r="F674" t="s">
        <v>45</v>
      </c>
      <c r="G674">
        <v>1</v>
      </c>
      <c r="H674" t="s">
        <v>29</v>
      </c>
      <c r="I674" t="s">
        <v>30</v>
      </c>
      <c r="J674" t="s">
        <v>31</v>
      </c>
      <c r="K674" t="s">
        <v>33</v>
      </c>
      <c r="L674">
        <v>42</v>
      </c>
      <c r="M674">
        <v>14</v>
      </c>
      <c r="N674" t="s">
        <v>32</v>
      </c>
      <c r="O674">
        <v>3</v>
      </c>
      <c r="P674">
        <v>2</v>
      </c>
      <c r="Q674">
        <v>3</v>
      </c>
      <c r="R674">
        <v>6244</v>
      </c>
      <c r="S674">
        <v>10</v>
      </c>
      <c r="T674">
        <v>3</v>
      </c>
      <c r="U674">
        <v>5</v>
      </c>
      <c r="V674">
        <v>4</v>
      </c>
      <c r="W674">
        <v>0</v>
      </c>
      <c r="X674">
        <v>3</v>
      </c>
      <c r="Y674">
        <f>IF(HR_data[[#This Row],[Attrition]]= "Yes",1,0)</f>
        <v>0</v>
      </c>
    </row>
    <row r="675" spans="1:25">
      <c r="A675">
        <v>674</v>
      </c>
      <c r="B675" t="s">
        <v>33</v>
      </c>
      <c r="C675" t="s">
        <v>25</v>
      </c>
      <c r="D675" t="s">
        <v>43</v>
      </c>
      <c r="E675" t="s">
        <v>36</v>
      </c>
      <c r="F675" t="s">
        <v>41</v>
      </c>
      <c r="G675">
        <v>1</v>
      </c>
      <c r="H675" t="s">
        <v>37</v>
      </c>
      <c r="I675" t="s">
        <v>38</v>
      </c>
      <c r="J675" t="s">
        <v>31</v>
      </c>
      <c r="K675" t="s">
        <v>24</v>
      </c>
      <c r="L675">
        <v>33</v>
      </c>
      <c r="M675">
        <v>1</v>
      </c>
      <c r="N675" t="s">
        <v>44</v>
      </c>
      <c r="O675">
        <v>3</v>
      </c>
      <c r="P675">
        <v>1</v>
      </c>
      <c r="Q675">
        <v>1</v>
      </c>
      <c r="R675">
        <v>2799</v>
      </c>
      <c r="S675">
        <v>6</v>
      </c>
      <c r="T675">
        <v>3</v>
      </c>
      <c r="U675">
        <v>3</v>
      </c>
      <c r="V675">
        <v>2</v>
      </c>
      <c r="W675">
        <v>0</v>
      </c>
      <c r="X675">
        <v>2</v>
      </c>
      <c r="Y675">
        <f>IF(HR_data[[#This Row],[Attrition]]= "Yes",1,0)</f>
        <v>0</v>
      </c>
    </row>
    <row r="676" spans="1:25">
      <c r="A676">
        <v>675</v>
      </c>
      <c r="B676" t="s">
        <v>33</v>
      </c>
      <c r="C676" t="s">
        <v>25</v>
      </c>
      <c r="D676" t="s">
        <v>46</v>
      </c>
      <c r="E676" t="s">
        <v>36</v>
      </c>
      <c r="F676" t="s">
        <v>57</v>
      </c>
      <c r="G676">
        <v>1</v>
      </c>
      <c r="H676" t="s">
        <v>29</v>
      </c>
      <c r="I676" t="s">
        <v>50</v>
      </c>
      <c r="J676" t="s">
        <v>48</v>
      </c>
      <c r="K676" t="s">
        <v>24</v>
      </c>
      <c r="L676">
        <v>58</v>
      </c>
      <c r="M676">
        <v>5</v>
      </c>
      <c r="N676" t="s">
        <v>47</v>
      </c>
      <c r="O676">
        <v>3</v>
      </c>
      <c r="P676">
        <v>3</v>
      </c>
      <c r="Q676">
        <v>2</v>
      </c>
      <c r="R676">
        <v>10552</v>
      </c>
      <c r="S676">
        <v>24</v>
      </c>
      <c r="T676">
        <v>3</v>
      </c>
      <c r="U676">
        <v>6</v>
      </c>
      <c r="V676">
        <v>0</v>
      </c>
      <c r="W676">
        <v>0</v>
      </c>
      <c r="X676">
        <v>4</v>
      </c>
      <c r="Y676">
        <f>IF(HR_data[[#This Row],[Attrition]]= "Yes",1,0)</f>
        <v>0</v>
      </c>
    </row>
    <row r="677" spans="1:25">
      <c r="A677">
        <v>676</v>
      </c>
      <c r="B677" t="s">
        <v>33</v>
      </c>
      <c r="C677" t="s">
        <v>25</v>
      </c>
      <c r="D677" t="s">
        <v>43</v>
      </c>
      <c r="E677" t="s">
        <v>27</v>
      </c>
      <c r="F677" t="s">
        <v>28</v>
      </c>
      <c r="G677">
        <v>1</v>
      </c>
      <c r="H677" t="s">
        <v>37</v>
      </c>
      <c r="I677" t="s">
        <v>54</v>
      </c>
      <c r="J677" t="s">
        <v>39</v>
      </c>
      <c r="K677" t="s">
        <v>33</v>
      </c>
      <c r="L677">
        <v>31</v>
      </c>
      <c r="M677">
        <v>7</v>
      </c>
      <c r="N677" t="s">
        <v>44</v>
      </c>
      <c r="O677">
        <v>2</v>
      </c>
      <c r="P677">
        <v>1</v>
      </c>
      <c r="Q677">
        <v>3</v>
      </c>
      <c r="R677">
        <v>2329</v>
      </c>
      <c r="S677">
        <v>13</v>
      </c>
      <c r="T677">
        <v>4</v>
      </c>
      <c r="U677">
        <v>7</v>
      </c>
      <c r="V677">
        <v>7</v>
      </c>
      <c r="W677">
        <v>5</v>
      </c>
      <c r="X677">
        <v>2</v>
      </c>
      <c r="Y677">
        <f>IF(HR_data[[#This Row],[Attrition]]= "Yes",1,0)</f>
        <v>0</v>
      </c>
    </row>
    <row r="678" spans="1:25">
      <c r="A678">
        <v>677</v>
      </c>
      <c r="B678" t="s">
        <v>33</v>
      </c>
      <c r="C678" t="s">
        <v>25</v>
      </c>
      <c r="D678" t="s">
        <v>26</v>
      </c>
      <c r="E678" t="s">
        <v>36</v>
      </c>
      <c r="F678" t="s">
        <v>28</v>
      </c>
      <c r="G678">
        <v>1</v>
      </c>
      <c r="H678" t="s">
        <v>29</v>
      </c>
      <c r="I678" t="s">
        <v>50</v>
      </c>
      <c r="J678" t="s">
        <v>39</v>
      </c>
      <c r="K678" t="s">
        <v>24</v>
      </c>
      <c r="L678">
        <v>35</v>
      </c>
      <c r="M678">
        <v>21</v>
      </c>
      <c r="N678" t="s">
        <v>40</v>
      </c>
      <c r="O678">
        <v>4</v>
      </c>
      <c r="P678">
        <v>2</v>
      </c>
      <c r="Q678">
        <v>4</v>
      </c>
      <c r="R678">
        <v>4014</v>
      </c>
      <c r="S678">
        <v>10</v>
      </c>
      <c r="T678">
        <v>1</v>
      </c>
      <c r="U678">
        <v>10</v>
      </c>
      <c r="V678">
        <v>6</v>
      </c>
      <c r="W678">
        <v>0</v>
      </c>
      <c r="X678">
        <v>7</v>
      </c>
      <c r="Y678">
        <f>IF(HR_data[[#This Row],[Attrition]]= "Yes",1,0)</f>
        <v>0</v>
      </c>
    </row>
    <row r="679" spans="1:25">
      <c r="A679">
        <v>678</v>
      </c>
      <c r="B679" t="s">
        <v>33</v>
      </c>
      <c r="C679" t="s">
        <v>25</v>
      </c>
      <c r="D679" t="s">
        <v>35</v>
      </c>
      <c r="E679" t="s">
        <v>36</v>
      </c>
      <c r="F679" t="s">
        <v>41</v>
      </c>
      <c r="G679">
        <v>1</v>
      </c>
      <c r="H679" t="s">
        <v>29</v>
      </c>
      <c r="I679" t="s">
        <v>42</v>
      </c>
      <c r="J679" t="s">
        <v>39</v>
      </c>
      <c r="K679" t="s">
        <v>33</v>
      </c>
      <c r="L679">
        <v>49</v>
      </c>
      <c r="M679">
        <v>8</v>
      </c>
      <c r="N679" t="s">
        <v>32</v>
      </c>
      <c r="O679">
        <v>1</v>
      </c>
      <c r="P679">
        <v>3</v>
      </c>
      <c r="Q679">
        <v>2</v>
      </c>
      <c r="R679">
        <v>7403</v>
      </c>
      <c r="S679">
        <v>29</v>
      </c>
      <c r="T679">
        <v>2</v>
      </c>
      <c r="U679">
        <v>26</v>
      </c>
      <c r="V679">
        <v>9</v>
      </c>
      <c r="W679">
        <v>1</v>
      </c>
      <c r="X679">
        <v>7</v>
      </c>
      <c r="Y679">
        <f>IF(HR_data[[#This Row],[Attrition]]= "Yes",1,0)</f>
        <v>0</v>
      </c>
    </row>
    <row r="680" spans="1:25">
      <c r="A680">
        <v>679</v>
      </c>
      <c r="B680" t="s">
        <v>33</v>
      </c>
      <c r="C680" t="s">
        <v>25</v>
      </c>
      <c r="D680" t="s">
        <v>35</v>
      </c>
      <c r="E680" t="s">
        <v>36</v>
      </c>
      <c r="F680" t="s">
        <v>45</v>
      </c>
      <c r="G680">
        <v>1</v>
      </c>
      <c r="H680" t="s">
        <v>37</v>
      </c>
      <c r="I680" t="s">
        <v>38</v>
      </c>
      <c r="J680" t="s">
        <v>39</v>
      </c>
      <c r="K680" t="s">
        <v>33</v>
      </c>
      <c r="L680">
        <v>48</v>
      </c>
      <c r="M680">
        <v>20</v>
      </c>
      <c r="N680" t="s">
        <v>44</v>
      </c>
      <c r="O680">
        <v>4</v>
      </c>
      <c r="P680">
        <v>1</v>
      </c>
      <c r="Q680">
        <v>3</v>
      </c>
      <c r="R680">
        <v>2259</v>
      </c>
      <c r="S680">
        <v>13</v>
      </c>
      <c r="T680">
        <v>2</v>
      </c>
      <c r="U680">
        <v>0</v>
      </c>
      <c r="V680">
        <v>0</v>
      </c>
      <c r="W680">
        <v>0</v>
      </c>
      <c r="X680">
        <v>0</v>
      </c>
      <c r="Y680">
        <f>IF(HR_data[[#This Row],[Attrition]]= "Yes",1,0)</f>
        <v>0</v>
      </c>
    </row>
    <row r="681" spans="1:25">
      <c r="A681">
        <v>680</v>
      </c>
      <c r="B681" t="s">
        <v>33</v>
      </c>
      <c r="C681" t="s">
        <v>51</v>
      </c>
      <c r="D681" t="s">
        <v>43</v>
      </c>
      <c r="E681" t="s">
        <v>27</v>
      </c>
      <c r="F681" t="s">
        <v>56</v>
      </c>
      <c r="G681">
        <v>1</v>
      </c>
      <c r="H681" t="s">
        <v>29</v>
      </c>
      <c r="I681" t="s">
        <v>30</v>
      </c>
      <c r="J681" t="s">
        <v>39</v>
      </c>
      <c r="K681" t="s">
        <v>33</v>
      </c>
      <c r="L681">
        <v>31</v>
      </c>
      <c r="M681">
        <v>20</v>
      </c>
      <c r="N681" t="s">
        <v>32</v>
      </c>
      <c r="O681">
        <v>4</v>
      </c>
      <c r="P681">
        <v>2</v>
      </c>
      <c r="Q681">
        <v>3</v>
      </c>
      <c r="R681">
        <v>6932</v>
      </c>
      <c r="S681">
        <v>9</v>
      </c>
      <c r="T681">
        <v>2</v>
      </c>
      <c r="U681">
        <v>9</v>
      </c>
      <c r="V681">
        <v>8</v>
      </c>
      <c r="W681">
        <v>0</v>
      </c>
      <c r="X681">
        <v>0</v>
      </c>
      <c r="Y681">
        <f>IF(HR_data[[#This Row],[Attrition]]= "Yes",1,0)</f>
        <v>0</v>
      </c>
    </row>
    <row r="682" spans="1:25">
      <c r="A682">
        <v>681</v>
      </c>
      <c r="B682" t="s">
        <v>33</v>
      </c>
      <c r="C682" t="s">
        <v>25</v>
      </c>
      <c r="D682" t="s">
        <v>26</v>
      </c>
      <c r="E682" t="s">
        <v>36</v>
      </c>
      <c r="F682" t="s">
        <v>41</v>
      </c>
      <c r="G682">
        <v>1</v>
      </c>
      <c r="H682" t="s">
        <v>37</v>
      </c>
      <c r="I682" t="s">
        <v>38</v>
      </c>
      <c r="J682" t="s">
        <v>31</v>
      </c>
      <c r="K682" t="s">
        <v>33</v>
      </c>
      <c r="L682">
        <v>36</v>
      </c>
      <c r="M682">
        <v>7</v>
      </c>
      <c r="N682" t="s">
        <v>44</v>
      </c>
      <c r="O682">
        <v>2</v>
      </c>
      <c r="P682">
        <v>1</v>
      </c>
      <c r="Q682">
        <v>4</v>
      </c>
      <c r="R682">
        <v>4678</v>
      </c>
      <c r="S682">
        <v>8</v>
      </c>
      <c r="T682">
        <v>3</v>
      </c>
      <c r="U682">
        <v>6</v>
      </c>
      <c r="V682">
        <v>2</v>
      </c>
      <c r="W682">
        <v>0</v>
      </c>
      <c r="X682">
        <v>1</v>
      </c>
      <c r="Y682">
        <f>IF(HR_data[[#This Row],[Attrition]]= "Yes",1,0)</f>
        <v>0</v>
      </c>
    </row>
    <row r="683" spans="1:25">
      <c r="A683">
        <v>682</v>
      </c>
      <c r="B683" t="s">
        <v>33</v>
      </c>
      <c r="C683" t="s">
        <v>25</v>
      </c>
      <c r="D683" t="s">
        <v>26</v>
      </c>
      <c r="E683" t="s">
        <v>36</v>
      </c>
      <c r="F683" t="s">
        <v>57</v>
      </c>
      <c r="G683">
        <v>1</v>
      </c>
      <c r="H683" t="s">
        <v>29</v>
      </c>
      <c r="I683" t="s">
        <v>55</v>
      </c>
      <c r="J683" t="s">
        <v>39</v>
      </c>
      <c r="K683" t="s">
        <v>33</v>
      </c>
      <c r="L683">
        <v>38</v>
      </c>
      <c r="M683">
        <v>1</v>
      </c>
      <c r="N683" t="s">
        <v>47</v>
      </c>
      <c r="O683">
        <v>4</v>
      </c>
      <c r="P683">
        <v>3</v>
      </c>
      <c r="Q683">
        <v>1</v>
      </c>
      <c r="R683">
        <v>13582</v>
      </c>
      <c r="S683">
        <v>15</v>
      </c>
      <c r="T683">
        <v>3</v>
      </c>
      <c r="U683">
        <v>15</v>
      </c>
      <c r="V683">
        <v>12</v>
      </c>
      <c r="W683">
        <v>5</v>
      </c>
      <c r="X683">
        <v>11</v>
      </c>
      <c r="Y683">
        <f>IF(HR_data[[#This Row],[Attrition]]= "Yes",1,0)</f>
        <v>0</v>
      </c>
    </row>
    <row r="684" spans="1:25">
      <c r="A684">
        <v>683</v>
      </c>
      <c r="B684" t="s">
        <v>33</v>
      </c>
      <c r="C684" t="s">
        <v>51</v>
      </c>
      <c r="D684" t="s">
        <v>43</v>
      </c>
      <c r="E684" t="s">
        <v>36</v>
      </c>
      <c r="F684" t="s">
        <v>28</v>
      </c>
      <c r="G684">
        <v>1</v>
      </c>
      <c r="H684" t="s">
        <v>29</v>
      </c>
      <c r="I684" t="s">
        <v>42</v>
      </c>
      <c r="J684" t="s">
        <v>39</v>
      </c>
      <c r="K684" t="s">
        <v>33</v>
      </c>
      <c r="L684">
        <v>32</v>
      </c>
      <c r="M684">
        <v>1</v>
      </c>
      <c r="N684" t="s">
        <v>47</v>
      </c>
      <c r="O684">
        <v>3</v>
      </c>
      <c r="P684">
        <v>1</v>
      </c>
      <c r="Q684">
        <v>2</v>
      </c>
      <c r="R684">
        <v>2332</v>
      </c>
      <c r="S684">
        <v>5</v>
      </c>
      <c r="T684">
        <v>3</v>
      </c>
      <c r="U684">
        <v>3</v>
      </c>
      <c r="V684">
        <v>0</v>
      </c>
      <c r="W684">
        <v>0</v>
      </c>
      <c r="X684">
        <v>2</v>
      </c>
      <c r="Y684">
        <f>IF(HR_data[[#This Row],[Attrition]]= "Yes",1,0)</f>
        <v>0</v>
      </c>
    </row>
    <row r="685" spans="1:25">
      <c r="A685">
        <v>684</v>
      </c>
      <c r="B685" t="s">
        <v>24</v>
      </c>
      <c r="C685" t="s">
        <v>25</v>
      </c>
      <c r="D685" t="s">
        <v>43</v>
      </c>
      <c r="E685" t="s">
        <v>27</v>
      </c>
      <c r="F685" t="s">
        <v>56</v>
      </c>
      <c r="G685">
        <v>1</v>
      </c>
      <c r="H685" t="s">
        <v>37</v>
      </c>
      <c r="I685" t="s">
        <v>54</v>
      </c>
      <c r="J685" t="s">
        <v>39</v>
      </c>
      <c r="K685" t="s">
        <v>24</v>
      </c>
      <c r="L685">
        <v>25</v>
      </c>
      <c r="M685">
        <v>19</v>
      </c>
      <c r="N685" t="s">
        <v>32</v>
      </c>
      <c r="O685">
        <v>3</v>
      </c>
      <c r="P685">
        <v>1</v>
      </c>
      <c r="Q685">
        <v>2</v>
      </c>
      <c r="R685">
        <v>2413</v>
      </c>
      <c r="S685">
        <v>1</v>
      </c>
      <c r="T685">
        <v>3</v>
      </c>
      <c r="U685">
        <v>1</v>
      </c>
      <c r="V685">
        <v>0</v>
      </c>
      <c r="W685">
        <v>0</v>
      </c>
      <c r="X685">
        <v>0</v>
      </c>
      <c r="Y685">
        <f>IF(HR_data[[#This Row],[Attrition]]= "Yes",1,0)</f>
        <v>1</v>
      </c>
    </row>
    <row r="686" spans="1:25">
      <c r="A686">
        <v>685</v>
      </c>
      <c r="B686" t="s">
        <v>33</v>
      </c>
      <c r="C686" t="s">
        <v>25</v>
      </c>
      <c r="D686" t="s">
        <v>26</v>
      </c>
      <c r="E686" t="s">
        <v>27</v>
      </c>
      <c r="F686" t="s">
        <v>56</v>
      </c>
      <c r="G686">
        <v>1</v>
      </c>
      <c r="H686" t="s">
        <v>37</v>
      </c>
      <c r="I686" t="s">
        <v>30</v>
      </c>
      <c r="J686" t="s">
        <v>48</v>
      </c>
      <c r="K686" t="s">
        <v>33</v>
      </c>
      <c r="L686">
        <v>40</v>
      </c>
      <c r="M686">
        <v>10</v>
      </c>
      <c r="N686" t="s">
        <v>44</v>
      </c>
      <c r="O686">
        <v>1</v>
      </c>
      <c r="P686">
        <v>3</v>
      </c>
      <c r="Q686">
        <v>2</v>
      </c>
      <c r="R686">
        <v>9705</v>
      </c>
      <c r="S686">
        <v>11</v>
      </c>
      <c r="T686">
        <v>2</v>
      </c>
      <c r="U686">
        <v>1</v>
      </c>
      <c r="V686">
        <v>0</v>
      </c>
      <c r="W686">
        <v>0</v>
      </c>
      <c r="X686">
        <v>0</v>
      </c>
      <c r="Y686">
        <f>IF(HR_data[[#This Row],[Attrition]]= "Yes",1,0)</f>
        <v>0</v>
      </c>
    </row>
    <row r="687" spans="1:25">
      <c r="A687">
        <v>686</v>
      </c>
      <c r="B687" t="s">
        <v>33</v>
      </c>
      <c r="C687" t="s">
        <v>34</v>
      </c>
      <c r="D687" t="s">
        <v>43</v>
      </c>
      <c r="E687" t="s">
        <v>27</v>
      </c>
      <c r="F687" t="s">
        <v>45</v>
      </c>
      <c r="G687">
        <v>1</v>
      </c>
      <c r="H687" t="s">
        <v>37</v>
      </c>
      <c r="I687" t="s">
        <v>30</v>
      </c>
      <c r="J687" t="s">
        <v>31</v>
      </c>
      <c r="K687" t="s">
        <v>33</v>
      </c>
      <c r="L687">
        <v>26</v>
      </c>
      <c r="M687">
        <v>1</v>
      </c>
      <c r="N687" t="s">
        <v>47</v>
      </c>
      <c r="O687">
        <v>3</v>
      </c>
      <c r="P687">
        <v>2</v>
      </c>
      <c r="Q687">
        <v>1</v>
      </c>
      <c r="R687">
        <v>4294</v>
      </c>
      <c r="S687">
        <v>7</v>
      </c>
      <c r="T687">
        <v>3</v>
      </c>
      <c r="U687">
        <v>7</v>
      </c>
      <c r="V687">
        <v>7</v>
      </c>
      <c r="W687">
        <v>0</v>
      </c>
      <c r="X687">
        <v>7</v>
      </c>
      <c r="Y687">
        <f>IF(HR_data[[#This Row],[Attrition]]= "Yes",1,0)</f>
        <v>0</v>
      </c>
    </row>
    <row r="688" spans="1:25">
      <c r="A688">
        <v>687</v>
      </c>
      <c r="B688" t="s">
        <v>33</v>
      </c>
      <c r="C688" t="s">
        <v>25</v>
      </c>
      <c r="D688" t="s">
        <v>26</v>
      </c>
      <c r="E688" t="s">
        <v>36</v>
      </c>
      <c r="F688" t="s">
        <v>45</v>
      </c>
      <c r="G688">
        <v>1</v>
      </c>
      <c r="H688" t="s">
        <v>37</v>
      </c>
      <c r="I688" t="s">
        <v>42</v>
      </c>
      <c r="J688" t="s">
        <v>31</v>
      </c>
      <c r="K688" t="s">
        <v>24</v>
      </c>
      <c r="L688">
        <v>41</v>
      </c>
      <c r="M688">
        <v>6</v>
      </c>
      <c r="N688" t="s">
        <v>47</v>
      </c>
      <c r="O688">
        <v>4</v>
      </c>
      <c r="P688">
        <v>1</v>
      </c>
      <c r="Q688">
        <v>1</v>
      </c>
      <c r="R688">
        <v>4721</v>
      </c>
      <c r="S688">
        <v>20</v>
      </c>
      <c r="T688">
        <v>3</v>
      </c>
      <c r="U688">
        <v>18</v>
      </c>
      <c r="V688">
        <v>13</v>
      </c>
      <c r="W688">
        <v>2</v>
      </c>
      <c r="X688">
        <v>17</v>
      </c>
      <c r="Y688">
        <f>IF(HR_data[[#This Row],[Attrition]]= "Yes",1,0)</f>
        <v>0</v>
      </c>
    </row>
    <row r="689" spans="1:25">
      <c r="A689">
        <v>688</v>
      </c>
      <c r="B689" t="s">
        <v>33</v>
      </c>
      <c r="C689" t="s">
        <v>25</v>
      </c>
      <c r="D689" t="s">
        <v>26</v>
      </c>
      <c r="E689" t="s">
        <v>36</v>
      </c>
      <c r="F689" t="s">
        <v>45</v>
      </c>
      <c r="G689">
        <v>1</v>
      </c>
      <c r="H689" t="s">
        <v>37</v>
      </c>
      <c r="I689" t="s">
        <v>42</v>
      </c>
      <c r="J689" t="s">
        <v>31</v>
      </c>
      <c r="K689" t="s">
        <v>33</v>
      </c>
      <c r="L689">
        <v>36</v>
      </c>
      <c r="M689">
        <v>2</v>
      </c>
      <c r="N689" t="s">
        <v>44</v>
      </c>
      <c r="O689">
        <v>3</v>
      </c>
      <c r="P689">
        <v>1</v>
      </c>
      <c r="Q689">
        <v>3</v>
      </c>
      <c r="R689">
        <v>2519</v>
      </c>
      <c r="S689">
        <v>16</v>
      </c>
      <c r="T689">
        <v>3</v>
      </c>
      <c r="U689">
        <v>11</v>
      </c>
      <c r="V689">
        <v>8</v>
      </c>
      <c r="W689">
        <v>3</v>
      </c>
      <c r="X689">
        <v>9</v>
      </c>
      <c r="Y689">
        <f>IF(HR_data[[#This Row],[Attrition]]= "Yes",1,0)</f>
        <v>0</v>
      </c>
    </row>
    <row r="690" spans="1:25">
      <c r="A690">
        <v>689</v>
      </c>
      <c r="B690" t="s">
        <v>24</v>
      </c>
      <c r="C690" t="s">
        <v>25</v>
      </c>
      <c r="D690" t="s">
        <v>52</v>
      </c>
      <c r="E690" t="s">
        <v>27</v>
      </c>
      <c r="F690" t="s">
        <v>41</v>
      </c>
      <c r="G690">
        <v>1</v>
      </c>
      <c r="H690" t="s">
        <v>37</v>
      </c>
      <c r="I690" t="s">
        <v>54</v>
      </c>
      <c r="J690" t="s">
        <v>31</v>
      </c>
      <c r="K690" t="s">
        <v>24</v>
      </c>
      <c r="L690">
        <v>19</v>
      </c>
      <c r="M690">
        <v>21</v>
      </c>
      <c r="N690" t="s">
        <v>47</v>
      </c>
      <c r="O690">
        <v>4</v>
      </c>
      <c r="P690">
        <v>1</v>
      </c>
      <c r="Q690">
        <v>2</v>
      </c>
      <c r="R690">
        <v>2121</v>
      </c>
      <c r="S690">
        <v>1</v>
      </c>
      <c r="T690">
        <v>4</v>
      </c>
      <c r="U690">
        <v>1</v>
      </c>
      <c r="V690">
        <v>0</v>
      </c>
      <c r="W690">
        <v>0</v>
      </c>
      <c r="X690">
        <v>0</v>
      </c>
      <c r="Y690">
        <f>IF(HR_data[[#This Row],[Attrition]]= "Yes",1,0)</f>
        <v>1</v>
      </c>
    </row>
    <row r="691" spans="1:25">
      <c r="A691">
        <v>690</v>
      </c>
      <c r="B691" t="s">
        <v>24</v>
      </c>
      <c r="C691" t="s">
        <v>25</v>
      </c>
      <c r="D691" t="s">
        <v>52</v>
      </c>
      <c r="E691" t="s">
        <v>36</v>
      </c>
      <c r="F691" t="s">
        <v>57</v>
      </c>
      <c r="G691">
        <v>1</v>
      </c>
      <c r="H691" t="s">
        <v>37</v>
      </c>
      <c r="I691" t="s">
        <v>42</v>
      </c>
      <c r="J691" t="s">
        <v>31</v>
      </c>
      <c r="K691" t="s">
        <v>33</v>
      </c>
      <c r="L691">
        <v>20</v>
      </c>
      <c r="M691">
        <v>4</v>
      </c>
      <c r="N691" t="s">
        <v>47</v>
      </c>
      <c r="O691">
        <v>1</v>
      </c>
      <c r="P691">
        <v>1</v>
      </c>
      <c r="Q691">
        <v>1</v>
      </c>
      <c r="R691">
        <v>2973</v>
      </c>
      <c r="S691">
        <v>1</v>
      </c>
      <c r="T691">
        <v>3</v>
      </c>
      <c r="U691">
        <v>1</v>
      </c>
      <c r="V691">
        <v>0</v>
      </c>
      <c r="W691">
        <v>0</v>
      </c>
      <c r="X691">
        <v>0</v>
      </c>
      <c r="Y691">
        <f>IF(HR_data[[#This Row],[Attrition]]= "Yes",1,0)</f>
        <v>1</v>
      </c>
    </row>
    <row r="692" spans="1:25">
      <c r="A692">
        <v>691</v>
      </c>
      <c r="B692" t="s">
        <v>33</v>
      </c>
      <c r="C692" t="s">
        <v>25</v>
      </c>
      <c r="D692" t="s">
        <v>43</v>
      </c>
      <c r="E692" t="s">
        <v>36</v>
      </c>
      <c r="F692" t="s">
        <v>45</v>
      </c>
      <c r="G692">
        <v>1</v>
      </c>
      <c r="H692" t="s">
        <v>29</v>
      </c>
      <c r="I692" t="s">
        <v>50</v>
      </c>
      <c r="J692" t="s">
        <v>39</v>
      </c>
      <c r="K692" t="s">
        <v>24</v>
      </c>
      <c r="L692">
        <v>31</v>
      </c>
      <c r="M692">
        <v>12</v>
      </c>
      <c r="N692" t="s">
        <v>47</v>
      </c>
      <c r="O692">
        <v>4</v>
      </c>
      <c r="P692">
        <v>2</v>
      </c>
      <c r="Q692">
        <v>4</v>
      </c>
      <c r="R692">
        <v>5855</v>
      </c>
      <c r="S692">
        <v>10</v>
      </c>
      <c r="T692">
        <v>1</v>
      </c>
      <c r="U692">
        <v>9</v>
      </c>
      <c r="V692">
        <v>7</v>
      </c>
      <c r="W692">
        <v>8</v>
      </c>
      <c r="X692">
        <v>5</v>
      </c>
      <c r="Y692">
        <f>IF(HR_data[[#This Row],[Attrition]]= "Yes",1,0)</f>
        <v>0</v>
      </c>
    </row>
    <row r="693" spans="1:25">
      <c r="A693">
        <v>692</v>
      </c>
      <c r="B693" t="s">
        <v>33</v>
      </c>
      <c r="C693" t="s">
        <v>34</v>
      </c>
      <c r="D693" t="s">
        <v>26</v>
      </c>
      <c r="E693" t="s">
        <v>36</v>
      </c>
      <c r="F693" t="s">
        <v>45</v>
      </c>
      <c r="G693">
        <v>1</v>
      </c>
      <c r="H693" t="s">
        <v>37</v>
      </c>
      <c r="I693" t="s">
        <v>38</v>
      </c>
      <c r="J693" t="s">
        <v>48</v>
      </c>
      <c r="K693" t="s">
        <v>24</v>
      </c>
      <c r="L693">
        <v>40</v>
      </c>
      <c r="M693">
        <v>9</v>
      </c>
      <c r="N693" t="s">
        <v>44</v>
      </c>
      <c r="O693">
        <v>4</v>
      </c>
      <c r="P693">
        <v>1</v>
      </c>
      <c r="Q693">
        <v>2</v>
      </c>
      <c r="R693">
        <v>3617</v>
      </c>
      <c r="S693">
        <v>3</v>
      </c>
      <c r="T693">
        <v>3</v>
      </c>
      <c r="U693">
        <v>1</v>
      </c>
      <c r="V693">
        <v>1</v>
      </c>
      <c r="W693">
        <v>0</v>
      </c>
      <c r="X693">
        <v>0</v>
      </c>
      <c r="Y693">
        <f>IF(HR_data[[#This Row],[Attrition]]= "Yes",1,0)</f>
        <v>0</v>
      </c>
    </row>
    <row r="694" spans="1:25">
      <c r="A694">
        <v>693</v>
      </c>
      <c r="B694" t="s">
        <v>33</v>
      </c>
      <c r="C694" t="s">
        <v>25</v>
      </c>
      <c r="D694" t="s">
        <v>43</v>
      </c>
      <c r="E694" t="s">
        <v>36</v>
      </c>
      <c r="F694" t="s">
        <v>45</v>
      </c>
      <c r="G694">
        <v>1</v>
      </c>
      <c r="H694" t="s">
        <v>29</v>
      </c>
      <c r="I694" t="s">
        <v>49</v>
      </c>
      <c r="J694" t="s">
        <v>39</v>
      </c>
      <c r="K694" t="s">
        <v>33</v>
      </c>
      <c r="L694">
        <v>32</v>
      </c>
      <c r="M694">
        <v>3</v>
      </c>
      <c r="N694" t="s">
        <v>44</v>
      </c>
      <c r="O694">
        <v>3</v>
      </c>
      <c r="P694">
        <v>2</v>
      </c>
      <c r="Q694">
        <v>1</v>
      </c>
      <c r="R694">
        <v>6725</v>
      </c>
      <c r="S694">
        <v>8</v>
      </c>
      <c r="T694">
        <v>4</v>
      </c>
      <c r="U694">
        <v>8</v>
      </c>
      <c r="V694">
        <v>7</v>
      </c>
      <c r="W694">
        <v>6</v>
      </c>
      <c r="X694">
        <v>3</v>
      </c>
      <c r="Y694">
        <f>IF(HR_data[[#This Row],[Attrition]]= "Yes",1,0)</f>
        <v>0</v>
      </c>
    </row>
    <row r="695" spans="1:25">
      <c r="A695">
        <v>694</v>
      </c>
      <c r="B695" t="s">
        <v>24</v>
      </c>
      <c r="C695" t="s">
        <v>25</v>
      </c>
      <c r="D695" t="s">
        <v>26</v>
      </c>
      <c r="E695" t="s">
        <v>27</v>
      </c>
      <c r="F695" t="s">
        <v>28</v>
      </c>
      <c r="G695">
        <v>1</v>
      </c>
      <c r="H695" t="s">
        <v>37</v>
      </c>
      <c r="I695" t="s">
        <v>30</v>
      </c>
      <c r="J695" t="s">
        <v>39</v>
      </c>
      <c r="K695" t="s">
        <v>24</v>
      </c>
      <c r="L695">
        <v>36</v>
      </c>
      <c r="M695">
        <v>3</v>
      </c>
      <c r="N695" t="s">
        <v>40</v>
      </c>
      <c r="O695">
        <v>3</v>
      </c>
      <c r="P695">
        <v>3</v>
      </c>
      <c r="Q695">
        <v>4</v>
      </c>
      <c r="R695">
        <v>10325</v>
      </c>
      <c r="S695">
        <v>16</v>
      </c>
      <c r="T695">
        <v>3</v>
      </c>
      <c r="U695">
        <v>16</v>
      </c>
      <c r="V695">
        <v>7</v>
      </c>
      <c r="W695">
        <v>3</v>
      </c>
      <c r="X695">
        <v>7</v>
      </c>
      <c r="Y695">
        <f>IF(HR_data[[#This Row],[Attrition]]= "Yes",1,0)</f>
        <v>1</v>
      </c>
    </row>
    <row r="696" spans="1:25">
      <c r="A696">
        <v>695</v>
      </c>
      <c r="B696" t="s">
        <v>33</v>
      </c>
      <c r="C696" t="s">
        <v>25</v>
      </c>
      <c r="D696" t="s">
        <v>43</v>
      </c>
      <c r="E696" t="s">
        <v>36</v>
      </c>
      <c r="F696" t="s">
        <v>28</v>
      </c>
      <c r="G696">
        <v>1</v>
      </c>
      <c r="H696" t="s">
        <v>29</v>
      </c>
      <c r="I696" t="s">
        <v>50</v>
      </c>
      <c r="J696" t="s">
        <v>31</v>
      </c>
      <c r="K696" t="s">
        <v>33</v>
      </c>
      <c r="L696">
        <v>33</v>
      </c>
      <c r="M696">
        <v>1</v>
      </c>
      <c r="N696" t="s">
        <v>47</v>
      </c>
      <c r="O696">
        <v>2</v>
      </c>
      <c r="P696">
        <v>2</v>
      </c>
      <c r="Q696">
        <v>4</v>
      </c>
      <c r="R696">
        <v>6949</v>
      </c>
      <c r="S696">
        <v>6</v>
      </c>
      <c r="T696">
        <v>3</v>
      </c>
      <c r="U696">
        <v>5</v>
      </c>
      <c r="V696">
        <v>0</v>
      </c>
      <c r="W696">
        <v>1</v>
      </c>
      <c r="X696">
        <v>4</v>
      </c>
      <c r="Y696">
        <f>IF(HR_data[[#This Row],[Attrition]]= "Yes",1,0)</f>
        <v>0</v>
      </c>
    </row>
    <row r="697" spans="1:25">
      <c r="A697">
        <v>696</v>
      </c>
      <c r="B697" t="s">
        <v>24</v>
      </c>
      <c r="C697" t="s">
        <v>25</v>
      </c>
      <c r="D697" t="s">
        <v>26</v>
      </c>
      <c r="E697" t="s">
        <v>27</v>
      </c>
      <c r="F697" t="s">
        <v>28</v>
      </c>
      <c r="G697">
        <v>1</v>
      </c>
      <c r="H697" t="s">
        <v>37</v>
      </c>
      <c r="I697" t="s">
        <v>30</v>
      </c>
      <c r="J697" t="s">
        <v>39</v>
      </c>
      <c r="K697" t="s">
        <v>33</v>
      </c>
      <c r="L697">
        <v>37</v>
      </c>
      <c r="M697">
        <v>1</v>
      </c>
      <c r="N697" t="s">
        <v>44</v>
      </c>
      <c r="O697">
        <v>1</v>
      </c>
      <c r="P697">
        <v>3</v>
      </c>
      <c r="Q697">
        <v>3</v>
      </c>
      <c r="R697">
        <v>10609</v>
      </c>
      <c r="S697">
        <v>17</v>
      </c>
      <c r="T697">
        <v>1</v>
      </c>
      <c r="U697">
        <v>14</v>
      </c>
      <c r="V697">
        <v>1</v>
      </c>
      <c r="W697">
        <v>11</v>
      </c>
      <c r="X697">
        <v>7</v>
      </c>
      <c r="Y697">
        <f>IF(HR_data[[#This Row],[Attrition]]= "Yes",1,0)</f>
        <v>1</v>
      </c>
    </row>
    <row r="698" spans="1:25">
      <c r="A698">
        <v>697</v>
      </c>
      <c r="B698" t="s">
        <v>33</v>
      </c>
      <c r="C698" t="s">
        <v>51</v>
      </c>
      <c r="D698" t="s">
        <v>35</v>
      </c>
      <c r="E698" t="s">
        <v>36</v>
      </c>
      <c r="F698" t="s">
        <v>28</v>
      </c>
      <c r="G698">
        <v>1</v>
      </c>
      <c r="H698" t="s">
        <v>37</v>
      </c>
      <c r="I698" t="s">
        <v>42</v>
      </c>
      <c r="J698" t="s">
        <v>39</v>
      </c>
      <c r="K698" t="s">
        <v>33</v>
      </c>
      <c r="L698">
        <v>45</v>
      </c>
      <c r="M698">
        <v>4</v>
      </c>
      <c r="N698" t="s">
        <v>32</v>
      </c>
      <c r="O698">
        <v>3</v>
      </c>
      <c r="P698">
        <v>2</v>
      </c>
      <c r="Q698">
        <v>2</v>
      </c>
      <c r="R698">
        <v>4447</v>
      </c>
      <c r="S698">
        <v>9</v>
      </c>
      <c r="T698">
        <v>2</v>
      </c>
      <c r="U698">
        <v>9</v>
      </c>
      <c r="V698">
        <v>7</v>
      </c>
      <c r="W698">
        <v>0</v>
      </c>
      <c r="X698">
        <v>8</v>
      </c>
      <c r="Y698">
        <f>IF(HR_data[[#This Row],[Attrition]]= "Yes",1,0)</f>
        <v>0</v>
      </c>
    </row>
    <row r="699" spans="1:25">
      <c r="A699">
        <v>698</v>
      </c>
      <c r="B699" t="s">
        <v>33</v>
      </c>
      <c r="C699" t="s">
        <v>34</v>
      </c>
      <c r="D699" t="s">
        <v>43</v>
      </c>
      <c r="E699" t="s">
        <v>27</v>
      </c>
      <c r="F699" t="s">
        <v>57</v>
      </c>
      <c r="G699">
        <v>1</v>
      </c>
      <c r="H699" t="s">
        <v>29</v>
      </c>
      <c r="I699" t="s">
        <v>54</v>
      </c>
      <c r="J699" t="s">
        <v>39</v>
      </c>
      <c r="K699" t="s">
        <v>33</v>
      </c>
      <c r="L699">
        <v>29</v>
      </c>
      <c r="M699">
        <v>20</v>
      </c>
      <c r="N699" t="s">
        <v>47</v>
      </c>
      <c r="O699">
        <v>3</v>
      </c>
      <c r="P699">
        <v>1</v>
      </c>
      <c r="Q699">
        <v>4</v>
      </c>
      <c r="R699">
        <v>2157</v>
      </c>
      <c r="S699">
        <v>3</v>
      </c>
      <c r="T699">
        <v>3</v>
      </c>
      <c r="U699">
        <v>3</v>
      </c>
      <c r="V699">
        <v>1</v>
      </c>
      <c r="W699">
        <v>0</v>
      </c>
      <c r="X699">
        <v>2</v>
      </c>
      <c r="Y699">
        <f>IF(HR_data[[#This Row],[Attrition]]= "Yes",1,0)</f>
        <v>0</v>
      </c>
    </row>
    <row r="700" spans="1:25">
      <c r="A700">
        <v>699</v>
      </c>
      <c r="B700" t="s">
        <v>33</v>
      </c>
      <c r="C700" t="s">
        <v>25</v>
      </c>
      <c r="D700" t="s">
        <v>26</v>
      </c>
      <c r="E700" t="s">
        <v>27</v>
      </c>
      <c r="F700" t="s">
        <v>45</v>
      </c>
      <c r="G700">
        <v>1</v>
      </c>
      <c r="H700" t="s">
        <v>29</v>
      </c>
      <c r="I700" t="s">
        <v>30</v>
      </c>
      <c r="J700" t="s">
        <v>39</v>
      </c>
      <c r="K700" t="s">
        <v>33</v>
      </c>
      <c r="L700">
        <v>35</v>
      </c>
      <c r="M700">
        <v>18</v>
      </c>
      <c r="N700" t="s">
        <v>47</v>
      </c>
      <c r="O700">
        <v>3</v>
      </c>
      <c r="P700">
        <v>2</v>
      </c>
      <c r="Q700">
        <v>3</v>
      </c>
      <c r="R700">
        <v>4601</v>
      </c>
      <c r="S700">
        <v>5</v>
      </c>
      <c r="T700">
        <v>3</v>
      </c>
      <c r="U700">
        <v>5</v>
      </c>
      <c r="V700">
        <v>2</v>
      </c>
      <c r="W700">
        <v>1</v>
      </c>
      <c r="X700">
        <v>0</v>
      </c>
      <c r="Y700">
        <f>IF(HR_data[[#This Row],[Attrition]]= "Yes",1,0)</f>
        <v>0</v>
      </c>
    </row>
    <row r="701" spans="1:25">
      <c r="A701">
        <v>700</v>
      </c>
      <c r="B701" t="s">
        <v>33</v>
      </c>
      <c r="C701" t="s">
        <v>25</v>
      </c>
      <c r="D701" t="s">
        <v>35</v>
      </c>
      <c r="E701" t="s">
        <v>36</v>
      </c>
      <c r="F701" t="s">
        <v>28</v>
      </c>
      <c r="G701">
        <v>1</v>
      </c>
      <c r="H701" t="s">
        <v>37</v>
      </c>
      <c r="I701" t="s">
        <v>53</v>
      </c>
      <c r="J701" t="s">
        <v>39</v>
      </c>
      <c r="K701" t="s">
        <v>33</v>
      </c>
      <c r="L701">
        <v>52</v>
      </c>
      <c r="M701">
        <v>1</v>
      </c>
      <c r="N701" t="s">
        <v>32</v>
      </c>
      <c r="O701">
        <v>4</v>
      </c>
      <c r="P701">
        <v>4</v>
      </c>
      <c r="Q701">
        <v>4</v>
      </c>
      <c r="R701">
        <v>17099</v>
      </c>
      <c r="S701">
        <v>26</v>
      </c>
      <c r="T701">
        <v>2</v>
      </c>
      <c r="U701">
        <v>9</v>
      </c>
      <c r="V701">
        <v>8</v>
      </c>
      <c r="W701">
        <v>7</v>
      </c>
      <c r="X701">
        <v>8</v>
      </c>
      <c r="Y701">
        <f>IF(HR_data[[#This Row],[Attrition]]= "Yes",1,0)</f>
        <v>0</v>
      </c>
    </row>
    <row r="702" spans="1:25">
      <c r="A702">
        <v>701</v>
      </c>
      <c r="B702" t="s">
        <v>24</v>
      </c>
      <c r="C702" t="s">
        <v>25</v>
      </c>
      <c r="D702" t="s">
        <v>46</v>
      </c>
      <c r="E702" t="s">
        <v>36</v>
      </c>
      <c r="F702" t="s">
        <v>57</v>
      </c>
      <c r="G702">
        <v>1</v>
      </c>
      <c r="H702" t="s">
        <v>37</v>
      </c>
      <c r="I702" t="s">
        <v>38</v>
      </c>
      <c r="J702" t="s">
        <v>31</v>
      </c>
      <c r="K702" t="s">
        <v>33</v>
      </c>
      <c r="L702">
        <v>58</v>
      </c>
      <c r="M702">
        <v>2</v>
      </c>
      <c r="N702" t="s">
        <v>47</v>
      </c>
      <c r="O702">
        <v>4</v>
      </c>
      <c r="P702">
        <v>1</v>
      </c>
      <c r="Q702">
        <v>3</v>
      </c>
      <c r="R702">
        <v>2479</v>
      </c>
      <c r="S702">
        <v>7</v>
      </c>
      <c r="T702">
        <v>3</v>
      </c>
      <c r="U702">
        <v>1</v>
      </c>
      <c r="V702">
        <v>0</v>
      </c>
      <c r="W702">
        <v>0</v>
      </c>
      <c r="X702">
        <v>0</v>
      </c>
      <c r="Y702">
        <f>IF(HR_data[[#This Row],[Attrition]]= "Yes",1,0)</f>
        <v>1</v>
      </c>
    </row>
    <row r="703" spans="1:25">
      <c r="A703">
        <v>702</v>
      </c>
      <c r="B703" t="s">
        <v>33</v>
      </c>
      <c r="C703" t="s">
        <v>25</v>
      </c>
      <c r="D703" t="s">
        <v>35</v>
      </c>
      <c r="E703" t="s">
        <v>27</v>
      </c>
      <c r="F703" t="s">
        <v>45</v>
      </c>
      <c r="G703">
        <v>1</v>
      </c>
      <c r="H703" t="s">
        <v>37</v>
      </c>
      <c r="I703" t="s">
        <v>53</v>
      </c>
      <c r="J703" t="s">
        <v>48</v>
      </c>
      <c r="K703" t="s">
        <v>33</v>
      </c>
      <c r="L703">
        <v>53</v>
      </c>
      <c r="M703">
        <v>2</v>
      </c>
      <c r="N703" t="s">
        <v>32</v>
      </c>
      <c r="O703">
        <v>3</v>
      </c>
      <c r="P703">
        <v>4</v>
      </c>
      <c r="Q703">
        <v>3</v>
      </c>
      <c r="R703">
        <v>14852</v>
      </c>
      <c r="S703">
        <v>22</v>
      </c>
      <c r="T703">
        <v>4</v>
      </c>
      <c r="U703">
        <v>17</v>
      </c>
      <c r="V703">
        <v>13</v>
      </c>
      <c r="W703">
        <v>15</v>
      </c>
      <c r="X703">
        <v>2</v>
      </c>
      <c r="Y703">
        <f>IF(HR_data[[#This Row],[Attrition]]= "Yes",1,0)</f>
        <v>0</v>
      </c>
    </row>
    <row r="704" spans="1:25">
      <c r="A704">
        <v>703</v>
      </c>
      <c r="B704" t="s">
        <v>33</v>
      </c>
      <c r="C704" t="s">
        <v>25</v>
      </c>
      <c r="D704" t="s">
        <v>43</v>
      </c>
      <c r="E704" t="s">
        <v>27</v>
      </c>
      <c r="F704" t="s">
        <v>41</v>
      </c>
      <c r="G704">
        <v>1</v>
      </c>
      <c r="H704" t="s">
        <v>37</v>
      </c>
      <c r="I704" t="s">
        <v>30</v>
      </c>
      <c r="J704" t="s">
        <v>48</v>
      </c>
      <c r="K704" t="s">
        <v>33</v>
      </c>
      <c r="L704">
        <v>30</v>
      </c>
      <c r="M704">
        <v>8</v>
      </c>
      <c r="N704" t="s">
        <v>32</v>
      </c>
      <c r="O704">
        <v>3</v>
      </c>
      <c r="P704">
        <v>3</v>
      </c>
      <c r="Q704">
        <v>3</v>
      </c>
      <c r="R704">
        <v>7264</v>
      </c>
      <c r="S704">
        <v>10</v>
      </c>
      <c r="T704">
        <v>4</v>
      </c>
      <c r="U704">
        <v>8</v>
      </c>
      <c r="V704">
        <v>4</v>
      </c>
      <c r="W704">
        <v>7</v>
      </c>
      <c r="X704">
        <v>7</v>
      </c>
      <c r="Y704">
        <f>IF(HR_data[[#This Row],[Attrition]]= "Yes",1,0)</f>
        <v>0</v>
      </c>
    </row>
    <row r="705" spans="1:25">
      <c r="A705">
        <v>704</v>
      </c>
      <c r="B705" t="s">
        <v>33</v>
      </c>
      <c r="C705" t="s">
        <v>51</v>
      </c>
      <c r="D705" t="s">
        <v>26</v>
      </c>
      <c r="E705" t="s">
        <v>27</v>
      </c>
      <c r="F705" t="s">
        <v>57</v>
      </c>
      <c r="G705">
        <v>1</v>
      </c>
      <c r="H705" t="s">
        <v>29</v>
      </c>
      <c r="I705" t="s">
        <v>30</v>
      </c>
      <c r="J705" t="s">
        <v>31</v>
      </c>
      <c r="K705" t="s">
        <v>24</v>
      </c>
      <c r="L705">
        <v>38</v>
      </c>
      <c r="M705">
        <v>10</v>
      </c>
      <c r="N705" t="s">
        <v>47</v>
      </c>
      <c r="O705">
        <v>3</v>
      </c>
      <c r="P705">
        <v>2</v>
      </c>
      <c r="Q705">
        <v>4</v>
      </c>
      <c r="R705">
        <v>5666</v>
      </c>
      <c r="S705">
        <v>6</v>
      </c>
      <c r="T705">
        <v>3</v>
      </c>
      <c r="U705">
        <v>5</v>
      </c>
      <c r="V705">
        <v>3</v>
      </c>
      <c r="W705">
        <v>1</v>
      </c>
      <c r="X705">
        <v>3</v>
      </c>
      <c r="Y705">
        <f>IF(HR_data[[#This Row],[Attrition]]= "Yes",1,0)</f>
        <v>0</v>
      </c>
    </row>
    <row r="706" spans="1:25">
      <c r="A706">
        <v>705</v>
      </c>
      <c r="B706" t="s">
        <v>33</v>
      </c>
      <c r="C706" t="s">
        <v>25</v>
      </c>
      <c r="D706" t="s">
        <v>26</v>
      </c>
      <c r="E706" t="s">
        <v>27</v>
      </c>
      <c r="F706" t="s">
        <v>28</v>
      </c>
      <c r="G706">
        <v>1</v>
      </c>
      <c r="H706" t="s">
        <v>37</v>
      </c>
      <c r="I706" t="s">
        <v>30</v>
      </c>
      <c r="J706" t="s">
        <v>48</v>
      </c>
      <c r="K706" t="s">
        <v>33</v>
      </c>
      <c r="L706">
        <v>35</v>
      </c>
      <c r="M706">
        <v>3</v>
      </c>
      <c r="N706" t="s">
        <v>44</v>
      </c>
      <c r="O706">
        <v>4</v>
      </c>
      <c r="P706">
        <v>3</v>
      </c>
      <c r="Q706">
        <v>4</v>
      </c>
      <c r="R706">
        <v>7823</v>
      </c>
      <c r="S706">
        <v>12</v>
      </c>
      <c r="T706">
        <v>3</v>
      </c>
      <c r="U706">
        <v>10</v>
      </c>
      <c r="V706">
        <v>9</v>
      </c>
      <c r="W706">
        <v>0</v>
      </c>
      <c r="X706">
        <v>8</v>
      </c>
      <c r="Y706">
        <f>IF(HR_data[[#This Row],[Attrition]]= "Yes",1,0)</f>
        <v>0</v>
      </c>
    </row>
    <row r="707" spans="1:25">
      <c r="A707">
        <v>706</v>
      </c>
      <c r="B707" t="s">
        <v>33</v>
      </c>
      <c r="C707" t="s">
        <v>25</v>
      </c>
      <c r="D707" t="s">
        <v>26</v>
      </c>
      <c r="E707" t="s">
        <v>27</v>
      </c>
      <c r="F707" t="s">
        <v>28</v>
      </c>
      <c r="G707">
        <v>1</v>
      </c>
      <c r="H707" t="s">
        <v>37</v>
      </c>
      <c r="I707" t="s">
        <v>30</v>
      </c>
      <c r="J707" t="s">
        <v>31</v>
      </c>
      <c r="K707" t="s">
        <v>33</v>
      </c>
      <c r="L707">
        <v>39</v>
      </c>
      <c r="M707">
        <v>2</v>
      </c>
      <c r="N707" t="s">
        <v>58</v>
      </c>
      <c r="O707">
        <v>1</v>
      </c>
      <c r="P707">
        <v>3</v>
      </c>
      <c r="Q707">
        <v>3</v>
      </c>
      <c r="R707">
        <v>7880</v>
      </c>
      <c r="S707">
        <v>9</v>
      </c>
      <c r="T707">
        <v>3</v>
      </c>
      <c r="U707">
        <v>8</v>
      </c>
      <c r="V707">
        <v>7</v>
      </c>
      <c r="W707">
        <v>0</v>
      </c>
      <c r="X707">
        <v>7</v>
      </c>
      <c r="Y707">
        <f>IF(HR_data[[#This Row],[Attrition]]= "Yes",1,0)</f>
        <v>0</v>
      </c>
    </row>
    <row r="708" spans="1:25">
      <c r="A708">
        <v>707</v>
      </c>
      <c r="B708" t="s">
        <v>24</v>
      </c>
      <c r="C708" t="s">
        <v>51</v>
      </c>
      <c r="D708" t="s">
        <v>26</v>
      </c>
      <c r="E708" t="s">
        <v>27</v>
      </c>
      <c r="F708" t="s">
        <v>28</v>
      </c>
      <c r="G708">
        <v>1</v>
      </c>
      <c r="H708" t="s">
        <v>29</v>
      </c>
      <c r="I708" t="s">
        <v>30</v>
      </c>
      <c r="J708" t="s">
        <v>31</v>
      </c>
      <c r="K708" t="s">
        <v>24</v>
      </c>
      <c r="L708">
        <v>40</v>
      </c>
      <c r="M708">
        <v>24</v>
      </c>
      <c r="N708" t="s">
        <v>47</v>
      </c>
      <c r="O708">
        <v>2</v>
      </c>
      <c r="P708">
        <v>4</v>
      </c>
      <c r="Q708">
        <v>2</v>
      </c>
      <c r="R708">
        <v>13194</v>
      </c>
      <c r="S708">
        <v>22</v>
      </c>
      <c r="T708">
        <v>2</v>
      </c>
      <c r="U708">
        <v>1</v>
      </c>
      <c r="V708">
        <v>0</v>
      </c>
      <c r="W708">
        <v>0</v>
      </c>
      <c r="X708">
        <v>0</v>
      </c>
      <c r="Y708">
        <f>IF(HR_data[[#This Row],[Attrition]]= "Yes",1,0)</f>
        <v>1</v>
      </c>
    </row>
    <row r="709" spans="1:25">
      <c r="A709">
        <v>708</v>
      </c>
      <c r="B709" t="s">
        <v>33</v>
      </c>
      <c r="C709" t="s">
        <v>34</v>
      </c>
      <c r="D709" t="s">
        <v>35</v>
      </c>
      <c r="E709" t="s">
        <v>36</v>
      </c>
      <c r="F709" t="s">
        <v>45</v>
      </c>
      <c r="G709">
        <v>1</v>
      </c>
      <c r="H709" t="s">
        <v>37</v>
      </c>
      <c r="I709" t="s">
        <v>49</v>
      </c>
      <c r="J709" t="s">
        <v>48</v>
      </c>
      <c r="K709" t="s">
        <v>24</v>
      </c>
      <c r="L709">
        <v>47</v>
      </c>
      <c r="M709">
        <v>16</v>
      </c>
      <c r="N709" t="s">
        <v>44</v>
      </c>
      <c r="O709">
        <v>3</v>
      </c>
      <c r="P709">
        <v>2</v>
      </c>
      <c r="Q709">
        <v>3</v>
      </c>
      <c r="R709">
        <v>5067</v>
      </c>
      <c r="S709">
        <v>20</v>
      </c>
      <c r="T709">
        <v>4</v>
      </c>
      <c r="U709">
        <v>19</v>
      </c>
      <c r="V709">
        <v>10</v>
      </c>
      <c r="W709">
        <v>2</v>
      </c>
      <c r="X709">
        <v>7</v>
      </c>
      <c r="Y709">
        <f>IF(HR_data[[#This Row],[Attrition]]= "Yes",1,0)</f>
        <v>0</v>
      </c>
    </row>
    <row r="710" spans="1:25">
      <c r="A710">
        <v>709</v>
      </c>
      <c r="B710" t="s">
        <v>33</v>
      </c>
      <c r="C710" t="s">
        <v>51</v>
      </c>
      <c r="D710" t="s">
        <v>26</v>
      </c>
      <c r="E710" t="s">
        <v>27</v>
      </c>
      <c r="F710" t="s">
        <v>57</v>
      </c>
      <c r="G710">
        <v>1</v>
      </c>
      <c r="H710" t="s">
        <v>37</v>
      </c>
      <c r="I710" t="s">
        <v>30</v>
      </c>
      <c r="J710" t="s">
        <v>48</v>
      </c>
      <c r="K710" t="s">
        <v>33</v>
      </c>
      <c r="L710">
        <v>36</v>
      </c>
      <c r="M710">
        <v>8</v>
      </c>
      <c r="N710" t="s">
        <v>44</v>
      </c>
      <c r="O710">
        <v>1</v>
      </c>
      <c r="P710">
        <v>2</v>
      </c>
      <c r="Q710">
        <v>4</v>
      </c>
      <c r="R710">
        <v>5079</v>
      </c>
      <c r="S710">
        <v>12</v>
      </c>
      <c r="T710">
        <v>3</v>
      </c>
      <c r="U710">
        <v>7</v>
      </c>
      <c r="V710">
        <v>7</v>
      </c>
      <c r="W710">
        <v>0</v>
      </c>
      <c r="X710">
        <v>7</v>
      </c>
      <c r="Y710">
        <f>IF(HR_data[[#This Row],[Attrition]]= "Yes",1,0)</f>
        <v>0</v>
      </c>
    </row>
    <row r="711" spans="1:25">
      <c r="A711">
        <v>710</v>
      </c>
      <c r="B711" t="s">
        <v>24</v>
      </c>
      <c r="C711" t="s">
        <v>51</v>
      </c>
      <c r="D711" t="s">
        <v>43</v>
      </c>
      <c r="E711" t="s">
        <v>36</v>
      </c>
      <c r="F711" t="s">
        <v>45</v>
      </c>
      <c r="G711">
        <v>1</v>
      </c>
      <c r="H711" t="s">
        <v>37</v>
      </c>
      <c r="I711" t="s">
        <v>38</v>
      </c>
      <c r="J711" t="s">
        <v>31</v>
      </c>
      <c r="K711" t="s">
        <v>24</v>
      </c>
      <c r="L711">
        <v>31</v>
      </c>
      <c r="M711">
        <v>9</v>
      </c>
      <c r="N711" t="s">
        <v>32</v>
      </c>
      <c r="O711">
        <v>3</v>
      </c>
      <c r="P711">
        <v>1</v>
      </c>
      <c r="Q711">
        <v>1</v>
      </c>
      <c r="R711">
        <v>2321</v>
      </c>
      <c r="S711">
        <v>4</v>
      </c>
      <c r="T711">
        <v>3</v>
      </c>
      <c r="U711">
        <v>3</v>
      </c>
      <c r="V711">
        <v>2</v>
      </c>
      <c r="W711">
        <v>1</v>
      </c>
      <c r="X711">
        <v>2</v>
      </c>
      <c r="Y711">
        <f>IF(HR_data[[#This Row],[Attrition]]= "Yes",1,0)</f>
        <v>1</v>
      </c>
    </row>
    <row r="712" spans="1:25">
      <c r="A712">
        <v>711</v>
      </c>
      <c r="B712" t="s">
        <v>33</v>
      </c>
      <c r="C712" t="s">
        <v>51</v>
      </c>
      <c r="D712" t="s">
        <v>43</v>
      </c>
      <c r="E712" t="s">
        <v>27</v>
      </c>
      <c r="F712" t="s">
        <v>28</v>
      </c>
      <c r="G712">
        <v>1</v>
      </c>
      <c r="H712" t="s">
        <v>37</v>
      </c>
      <c r="I712" t="s">
        <v>53</v>
      </c>
      <c r="J712" t="s">
        <v>31</v>
      </c>
      <c r="K712" t="s">
        <v>33</v>
      </c>
      <c r="L712">
        <v>33</v>
      </c>
      <c r="M712">
        <v>17</v>
      </c>
      <c r="N712" t="s">
        <v>47</v>
      </c>
      <c r="O712">
        <v>4</v>
      </c>
      <c r="P712">
        <v>4</v>
      </c>
      <c r="Q712">
        <v>3</v>
      </c>
      <c r="R712">
        <v>17444</v>
      </c>
      <c r="S712">
        <v>10</v>
      </c>
      <c r="T712">
        <v>3</v>
      </c>
      <c r="U712">
        <v>10</v>
      </c>
      <c r="V712">
        <v>8</v>
      </c>
      <c r="W712">
        <v>6</v>
      </c>
      <c r="X712">
        <v>0</v>
      </c>
      <c r="Y712">
        <f>IF(HR_data[[#This Row],[Attrition]]= "Yes",1,0)</f>
        <v>0</v>
      </c>
    </row>
    <row r="713" spans="1:25">
      <c r="A713">
        <v>712</v>
      </c>
      <c r="B713" t="s">
        <v>24</v>
      </c>
      <c r="C713" t="s">
        <v>25</v>
      </c>
      <c r="D713" t="s">
        <v>43</v>
      </c>
      <c r="E713" t="s">
        <v>36</v>
      </c>
      <c r="F713" t="s">
        <v>28</v>
      </c>
      <c r="G713">
        <v>1</v>
      </c>
      <c r="H713" t="s">
        <v>29</v>
      </c>
      <c r="I713" t="s">
        <v>38</v>
      </c>
      <c r="J713" t="s">
        <v>31</v>
      </c>
      <c r="K713" t="s">
        <v>24</v>
      </c>
      <c r="L713">
        <v>29</v>
      </c>
      <c r="M713">
        <v>10</v>
      </c>
      <c r="N713" t="s">
        <v>47</v>
      </c>
      <c r="O713">
        <v>4</v>
      </c>
      <c r="P713">
        <v>1</v>
      </c>
      <c r="Q713">
        <v>1</v>
      </c>
      <c r="R713">
        <v>2404</v>
      </c>
      <c r="S713">
        <v>3</v>
      </c>
      <c r="T713">
        <v>3</v>
      </c>
      <c r="U713">
        <v>0</v>
      </c>
      <c r="V713">
        <v>0</v>
      </c>
      <c r="W713">
        <v>0</v>
      </c>
      <c r="X713">
        <v>0</v>
      </c>
      <c r="Y713">
        <f>IF(HR_data[[#This Row],[Attrition]]= "Yes",1,0)</f>
        <v>1</v>
      </c>
    </row>
    <row r="714" spans="1:25">
      <c r="A714">
        <v>713</v>
      </c>
      <c r="B714" t="s">
        <v>33</v>
      </c>
      <c r="C714" t="s">
        <v>25</v>
      </c>
      <c r="D714" t="s">
        <v>43</v>
      </c>
      <c r="E714" t="s">
        <v>36</v>
      </c>
      <c r="F714" t="s">
        <v>28</v>
      </c>
      <c r="G714">
        <v>1</v>
      </c>
      <c r="H714" t="s">
        <v>29</v>
      </c>
      <c r="I714" t="s">
        <v>38</v>
      </c>
      <c r="J714" t="s">
        <v>31</v>
      </c>
      <c r="K714" t="s">
        <v>33</v>
      </c>
      <c r="L714">
        <v>33</v>
      </c>
      <c r="M714">
        <v>13</v>
      </c>
      <c r="N714" t="s">
        <v>40</v>
      </c>
      <c r="O714">
        <v>2</v>
      </c>
      <c r="P714">
        <v>1</v>
      </c>
      <c r="Q714">
        <v>4</v>
      </c>
      <c r="R714">
        <v>3452</v>
      </c>
      <c r="S714">
        <v>5</v>
      </c>
      <c r="T714">
        <v>3</v>
      </c>
      <c r="U714">
        <v>3</v>
      </c>
      <c r="V714">
        <v>2</v>
      </c>
      <c r="W714">
        <v>0</v>
      </c>
      <c r="X714">
        <v>2</v>
      </c>
      <c r="Y714">
        <f>IF(HR_data[[#This Row],[Attrition]]= "Yes",1,0)</f>
        <v>0</v>
      </c>
    </row>
    <row r="715" spans="1:25">
      <c r="A715">
        <v>714</v>
      </c>
      <c r="B715" t="s">
        <v>33</v>
      </c>
      <c r="C715" t="s">
        <v>25</v>
      </c>
      <c r="D715" t="s">
        <v>35</v>
      </c>
      <c r="E715" t="s">
        <v>36</v>
      </c>
      <c r="F715" t="s">
        <v>45</v>
      </c>
      <c r="G715">
        <v>1</v>
      </c>
      <c r="H715" t="s">
        <v>29</v>
      </c>
      <c r="I715" t="s">
        <v>42</v>
      </c>
      <c r="J715" t="s">
        <v>48</v>
      </c>
      <c r="K715" t="s">
        <v>33</v>
      </c>
      <c r="L715">
        <v>45</v>
      </c>
      <c r="M715">
        <v>1</v>
      </c>
      <c r="N715" t="s">
        <v>44</v>
      </c>
      <c r="O715">
        <v>4</v>
      </c>
      <c r="P715">
        <v>1</v>
      </c>
      <c r="Q715">
        <v>4</v>
      </c>
      <c r="R715">
        <v>2270</v>
      </c>
      <c r="S715">
        <v>8</v>
      </c>
      <c r="T715">
        <v>3</v>
      </c>
      <c r="U715">
        <v>5</v>
      </c>
      <c r="V715">
        <v>3</v>
      </c>
      <c r="W715">
        <v>0</v>
      </c>
      <c r="X715">
        <v>2</v>
      </c>
      <c r="Y715">
        <f>IF(HR_data[[#This Row],[Attrition]]= "Yes",1,0)</f>
        <v>0</v>
      </c>
    </row>
    <row r="716" spans="1:25">
      <c r="A716">
        <v>715</v>
      </c>
      <c r="B716" t="s">
        <v>33</v>
      </c>
      <c r="C716" t="s">
        <v>25</v>
      </c>
      <c r="D716" t="s">
        <v>35</v>
      </c>
      <c r="E716" t="s">
        <v>36</v>
      </c>
      <c r="F716" t="s">
        <v>45</v>
      </c>
      <c r="G716">
        <v>1</v>
      </c>
      <c r="H716" t="s">
        <v>37</v>
      </c>
      <c r="I716" t="s">
        <v>55</v>
      </c>
      <c r="J716" t="s">
        <v>48</v>
      </c>
      <c r="K716" t="s">
        <v>33</v>
      </c>
      <c r="L716">
        <v>50</v>
      </c>
      <c r="M716">
        <v>1</v>
      </c>
      <c r="N716" t="s">
        <v>32</v>
      </c>
      <c r="O716">
        <v>4</v>
      </c>
      <c r="P716">
        <v>4</v>
      </c>
      <c r="Q716">
        <v>4</v>
      </c>
      <c r="R716">
        <v>17399</v>
      </c>
      <c r="S716">
        <v>32</v>
      </c>
      <c r="T716">
        <v>2</v>
      </c>
      <c r="U716">
        <v>5</v>
      </c>
      <c r="V716">
        <v>4</v>
      </c>
      <c r="W716">
        <v>1</v>
      </c>
      <c r="X716">
        <v>3</v>
      </c>
      <c r="Y716">
        <f>IF(HR_data[[#This Row],[Attrition]]= "Yes",1,0)</f>
        <v>0</v>
      </c>
    </row>
    <row r="717" spans="1:25">
      <c r="A717">
        <v>716</v>
      </c>
      <c r="B717" t="s">
        <v>33</v>
      </c>
      <c r="C717" t="s">
        <v>34</v>
      </c>
      <c r="D717" t="s">
        <v>43</v>
      </c>
      <c r="E717" t="s">
        <v>36</v>
      </c>
      <c r="F717" t="s">
        <v>41</v>
      </c>
      <c r="G717">
        <v>1</v>
      </c>
      <c r="H717" t="s">
        <v>29</v>
      </c>
      <c r="I717" t="s">
        <v>50</v>
      </c>
      <c r="J717" t="s">
        <v>39</v>
      </c>
      <c r="K717" t="s">
        <v>24</v>
      </c>
      <c r="L717">
        <v>33</v>
      </c>
      <c r="M717">
        <v>1</v>
      </c>
      <c r="N717" t="s">
        <v>44</v>
      </c>
      <c r="O717">
        <v>3</v>
      </c>
      <c r="P717">
        <v>2</v>
      </c>
      <c r="Q717">
        <v>2</v>
      </c>
      <c r="R717">
        <v>5488</v>
      </c>
      <c r="S717">
        <v>6</v>
      </c>
      <c r="T717">
        <v>3</v>
      </c>
      <c r="U717">
        <v>6</v>
      </c>
      <c r="V717">
        <v>5</v>
      </c>
      <c r="W717">
        <v>1</v>
      </c>
      <c r="X717">
        <v>2</v>
      </c>
      <c r="Y717">
        <f>IF(HR_data[[#This Row],[Attrition]]= "Yes",1,0)</f>
        <v>0</v>
      </c>
    </row>
    <row r="718" spans="1:25">
      <c r="A718">
        <v>717</v>
      </c>
      <c r="B718" t="s">
        <v>33</v>
      </c>
      <c r="C718" t="s">
        <v>34</v>
      </c>
      <c r="D718" t="s">
        <v>26</v>
      </c>
      <c r="E718" t="s">
        <v>36</v>
      </c>
      <c r="F718" t="s">
        <v>45</v>
      </c>
      <c r="G718">
        <v>1</v>
      </c>
      <c r="H718" t="s">
        <v>37</v>
      </c>
      <c r="I718" t="s">
        <v>55</v>
      </c>
      <c r="J718" t="s">
        <v>48</v>
      </c>
      <c r="K718" t="s">
        <v>33</v>
      </c>
      <c r="L718">
        <v>41</v>
      </c>
      <c r="M718">
        <v>9</v>
      </c>
      <c r="N718" t="s">
        <v>47</v>
      </c>
      <c r="O718">
        <v>1</v>
      </c>
      <c r="P718">
        <v>5</v>
      </c>
      <c r="Q718">
        <v>3</v>
      </c>
      <c r="R718">
        <v>19419</v>
      </c>
      <c r="S718">
        <v>21</v>
      </c>
      <c r="T718">
        <v>4</v>
      </c>
      <c r="U718">
        <v>18</v>
      </c>
      <c r="V718">
        <v>16</v>
      </c>
      <c r="W718">
        <v>0</v>
      </c>
      <c r="X718">
        <v>11</v>
      </c>
      <c r="Y718">
        <f>IF(HR_data[[#This Row],[Attrition]]= "Yes",1,0)</f>
        <v>0</v>
      </c>
    </row>
    <row r="719" spans="1:25">
      <c r="A719">
        <v>718</v>
      </c>
      <c r="B719" t="s">
        <v>33</v>
      </c>
      <c r="C719" t="s">
        <v>25</v>
      </c>
      <c r="D719" t="s">
        <v>43</v>
      </c>
      <c r="E719" t="s">
        <v>36</v>
      </c>
      <c r="F719" t="s">
        <v>57</v>
      </c>
      <c r="G719">
        <v>1</v>
      </c>
      <c r="H719" t="s">
        <v>29</v>
      </c>
      <c r="I719" t="s">
        <v>42</v>
      </c>
      <c r="J719" t="s">
        <v>39</v>
      </c>
      <c r="K719" t="s">
        <v>33</v>
      </c>
      <c r="L719">
        <v>27</v>
      </c>
      <c r="M719">
        <v>16</v>
      </c>
      <c r="N719" t="s">
        <v>44</v>
      </c>
      <c r="O719">
        <v>3</v>
      </c>
      <c r="P719">
        <v>1</v>
      </c>
      <c r="Q719">
        <v>2</v>
      </c>
      <c r="R719">
        <v>2811</v>
      </c>
      <c r="S719">
        <v>4</v>
      </c>
      <c r="T719">
        <v>3</v>
      </c>
      <c r="U719">
        <v>2</v>
      </c>
      <c r="V719">
        <v>2</v>
      </c>
      <c r="W719">
        <v>2</v>
      </c>
      <c r="X719">
        <v>2</v>
      </c>
      <c r="Y719">
        <f>IF(HR_data[[#This Row],[Attrition]]= "Yes",1,0)</f>
        <v>0</v>
      </c>
    </row>
    <row r="720" spans="1:25">
      <c r="A720">
        <v>719</v>
      </c>
      <c r="B720" t="s">
        <v>33</v>
      </c>
      <c r="C720" t="s">
        <v>51</v>
      </c>
      <c r="D720" t="s">
        <v>35</v>
      </c>
      <c r="E720" t="s">
        <v>36</v>
      </c>
      <c r="F720" t="s">
        <v>28</v>
      </c>
      <c r="G720">
        <v>1</v>
      </c>
      <c r="H720" t="s">
        <v>37</v>
      </c>
      <c r="I720" t="s">
        <v>42</v>
      </c>
      <c r="J720" t="s">
        <v>39</v>
      </c>
      <c r="K720" t="s">
        <v>24</v>
      </c>
      <c r="L720">
        <v>45</v>
      </c>
      <c r="M720">
        <v>23</v>
      </c>
      <c r="N720" t="s">
        <v>32</v>
      </c>
      <c r="O720">
        <v>4</v>
      </c>
      <c r="P720">
        <v>2</v>
      </c>
      <c r="Q720">
        <v>1</v>
      </c>
      <c r="R720">
        <v>3633</v>
      </c>
      <c r="S720">
        <v>9</v>
      </c>
      <c r="T720">
        <v>3</v>
      </c>
      <c r="U720">
        <v>9</v>
      </c>
      <c r="V720">
        <v>8</v>
      </c>
      <c r="W720">
        <v>0</v>
      </c>
      <c r="X720">
        <v>8</v>
      </c>
      <c r="Y720">
        <f>IF(HR_data[[#This Row],[Attrition]]= "Yes",1,0)</f>
        <v>0</v>
      </c>
    </row>
    <row r="721" spans="1:25">
      <c r="A721">
        <v>720</v>
      </c>
      <c r="B721" t="s">
        <v>33</v>
      </c>
      <c r="C721" t="s">
        <v>25</v>
      </c>
      <c r="D721" t="s">
        <v>35</v>
      </c>
      <c r="E721" t="s">
        <v>27</v>
      </c>
      <c r="F721" t="s">
        <v>28</v>
      </c>
      <c r="G721">
        <v>1</v>
      </c>
      <c r="H721" t="s">
        <v>29</v>
      </c>
      <c r="I721" t="s">
        <v>30</v>
      </c>
      <c r="J721" t="s">
        <v>31</v>
      </c>
      <c r="K721" t="s">
        <v>24</v>
      </c>
      <c r="L721">
        <v>47</v>
      </c>
      <c r="M721">
        <v>4</v>
      </c>
      <c r="N721" t="s">
        <v>32</v>
      </c>
      <c r="O721">
        <v>4</v>
      </c>
      <c r="P721">
        <v>2</v>
      </c>
      <c r="Q721">
        <v>4</v>
      </c>
      <c r="R721">
        <v>4163</v>
      </c>
      <c r="S721">
        <v>9</v>
      </c>
      <c r="T721">
        <v>3</v>
      </c>
      <c r="U721">
        <v>9</v>
      </c>
      <c r="V721">
        <v>0</v>
      </c>
      <c r="W721">
        <v>0</v>
      </c>
      <c r="X721">
        <v>7</v>
      </c>
      <c r="Y721">
        <f>IF(HR_data[[#This Row],[Attrition]]= "Yes",1,0)</f>
        <v>0</v>
      </c>
    </row>
    <row r="722" spans="1:25">
      <c r="A722">
        <v>721</v>
      </c>
      <c r="B722" t="s">
        <v>24</v>
      </c>
      <c r="C722" t="s">
        <v>25</v>
      </c>
      <c r="D722" t="s">
        <v>43</v>
      </c>
      <c r="E722" t="s">
        <v>36</v>
      </c>
      <c r="F722" t="s">
        <v>28</v>
      </c>
      <c r="G722">
        <v>1</v>
      </c>
      <c r="H722" t="s">
        <v>29</v>
      </c>
      <c r="I722" t="s">
        <v>38</v>
      </c>
      <c r="J722" t="s">
        <v>39</v>
      </c>
      <c r="K722" t="s">
        <v>24</v>
      </c>
      <c r="L722">
        <v>30</v>
      </c>
      <c r="M722">
        <v>22</v>
      </c>
      <c r="N722" t="s">
        <v>47</v>
      </c>
      <c r="O722">
        <v>1</v>
      </c>
      <c r="P722">
        <v>1</v>
      </c>
      <c r="Q722">
        <v>3</v>
      </c>
      <c r="R722">
        <v>2132</v>
      </c>
      <c r="S722">
        <v>7</v>
      </c>
      <c r="T722">
        <v>3</v>
      </c>
      <c r="U722">
        <v>5</v>
      </c>
      <c r="V722">
        <v>2</v>
      </c>
      <c r="W722">
        <v>0</v>
      </c>
      <c r="X722">
        <v>1</v>
      </c>
      <c r="Y722">
        <f>IF(HR_data[[#This Row],[Attrition]]= "Yes",1,0)</f>
        <v>1</v>
      </c>
    </row>
    <row r="723" spans="1:25">
      <c r="A723">
        <v>722</v>
      </c>
      <c r="B723" t="s">
        <v>33</v>
      </c>
      <c r="C723" t="s">
        <v>25</v>
      </c>
      <c r="D723" t="s">
        <v>35</v>
      </c>
      <c r="E723" t="s">
        <v>36</v>
      </c>
      <c r="F723" t="s">
        <v>28</v>
      </c>
      <c r="G723">
        <v>1</v>
      </c>
      <c r="H723" t="s">
        <v>37</v>
      </c>
      <c r="I723" t="s">
        <v>49</v>
      </c>
      <c r="J723" t="s">
        <v>39</v>
      </c>
      <c r="K723" t="s">
        <v>24</v>
      </c>
      <c r="L723">
        <v>50</v>
      </c>
      <c r="M723">
        <v>24</v>
      </c>
      <c r="N723" t="s">
        <v>47</v>
      </c>
      <c r="O723">
        <v>4</v>
      </c>
      <c r="P723">
        <v>4</v>
      </c>
      <c r="Q723">
        <v>3</v>
      </c>
      <c r="R723">
        <v>13973</v>
      </c>
      <c r="S723">
        <v>22</v>
      </c>
      <c r="T723">
        <v>3</v>
      </c>
      <c r="U723">
        <v>12</v>
      </c>
      <c r="V723">
        <v>11</v>
      </c>
      <c r="W723">
        <v>1</v>
      </c>
      <c r="X723">
        <v>5</v>
      </c>
      <c r="Y723">
        <f>IF(HR_data[[#This Row],[Attrition]]= "Yes",1,0)</f>
        <v>0</v>
      </c>
    </row>
    <row r="724" spans="1:25">
      <c r="A724">
        <v>723</v>
      </c>
      <c r="B724" t="s">
        <v>33</v>
      </c>
      <c r="C724" t="s">
        <v>34</v>
      </c>
      <c r="D724" t="s">
        <v>26</v>
      </c>
      <c r="E724" t="s">
        <v>36</v>
      </c>
      <c r="F724" t="s">
        <v>45</v>
      </c>
      <c r="G724">
        <v>1</v>
      </c>
      <c r="H724" t="s">
        <v>37</v>
      </c>
      <c r="I724" t="s">
        <v>38</v>
      </c>
      <c r="J724" t="s">
        <v>39</v>
      </c>
      <c r="K724" t="s">
        <v>33</v>
      </c>
      <c r="L724">
        <v>38</v>
      </c>
      <c r="M724">
        <v>10</v>
      </c>
      <c r="N724" t="s">
        <v>40</v>
      </c>
      <c r="O724">
        <v>3</v>
      </c>
      <c r="P724">
        <v>1</v>
      </c>
      <c r="Q724">
        <v>3</v>
      </c>
      <c r="R724">
        <v>2684</v>
      </c>
      <c r="S724">
        <v>3</v>
      </c>
      <c r="T724">
        <v>2</v>
      </c>
      <c r="U724">
        <v>2</v>
      </c>
      <c r="V724">
        <v>1</v>
      </c>
      <c r="W724">
        <v>0</v>
      </c>
      <c r="X724">
        <v>2</v>
      </c>
      <c r="Y724">
        <f>IF(HR_data[[#This Row],[Attrition]]= "Yes",1,0)</f>
        <v>0</v>
      </c>
    </row>
    <row r="725" spans="1:25">
      <c r="A725">
        <v>724</v>
      </c>
      <c r="B725" t="s">
        <v>33</v>
      </c>
      <c r="C725" t="s">
        <v>25</v>
      </c>
      <c r="D725" t="s">
        <v>35</v>
      </c>
      <c r="E725" t="s">
        <v>36</v>
      </c>
      <c r="F725" t="s">
        <v>45</v>
      </c>
      <c r="G725">
        <v>1</v>
      </c>
      <c r="H725" t="s">
        <v>37</v>
      </c>
      <c r="I725" t="s">
        <v>49</v>
      </c>
      <c r="J725" t="s">
        <v>48</v>
      </c>
      <c r="K725" t="s">
        <v>33</v>
      </c>
      <c r="L725">
        <v>46</v>
      </c>
      <c r="M725">
        <v>7</v>
      </c>
      <c r="N725" t="s">
        <v>32</v>
      </c>
      <c r="O725">
        <v>4</v>
      </c>
      <c r="P725">
        <v>3</v>
      </c>
      <c r="Q725">
        <v>3</v>
      </c>
      <c r="R725">
        <v>10845</v>
      </c>
      <c r="S725">
        <v>13</v>
      </c>
      <c r="T725">
        <v>3</v>
      </c>
      <c r="U725">
        <v>8</v>
      </c>
      <c r="V725">
        <v>7</v>
      </c>
      <c r="W725">
        <v>0</v>
      </c>
      <c r="X725">
        <v>7</v>
      </c>
      <c r="Y725">
        <f>IF(HR_data[[#This Row],[Attrition]]= "Yes",1,0)</f>
        <v>0</v>
      </c>
    </row>
    <row r="726" spans="1:25">
      <c r="A726">
        <v>725</v>
      </c>
      <c r="B726" t="s">
        <v>33</v>
      </c>
      <c r="C726" t="s">
        <v>25</v>
      </c>
      <c r="D726" t="s">
        <v>52</v>
      </c>
      <c r="E726" t="s">
        <v>36</v>
      </c>
      <c r="F726" t="s">
        <v>45</v>
      </c>
      <c r="G726">
        <v>1</v>
      </c>
      <c r="H726" t="s">
        <v>29</v>
      </c>
      <c r="I726" t="s">
        <v>49</v>
      </c>
      <c r="J726" t="s">
        <v>48</v>
      </c>
      <c r="K726" t="s">
        <v>33</v>
      </c>
      <c r="L726">
        <v>24</v>
      </c>
      <c r="M726">
        <v>17</v>
      </c>
      <c r="N726" t="s">
        <v>40</v>
      </c>
      <c r="O726">
        <v>4</v>
      </c>
      <c r="P726">
        <v>2</v>
      </c>
      <c r="Q726">
        <v>3</v>
      </c>
      <c r="R726">
        <v>4377</v>
      </c>
      <c r="S726">
        <v>5</v>
      </c>
      <c r="T726">
        <v>3</v>
      </c>
      <c r="U726">
        <v>4</v>
      </c>
      <c r="V726">
        <v>2</v>
      </c>
      <c r="W726">
        <v>3</v>
      </c>
      <c r="X726">
        <v>2</v>
      </c>
      <c r="Y726">
        <f>IF(HR_data[[#This Row],[Attrition]]= "Yes",1,0)</f>
        <v>0</v>
      </c>
    </row>
    <row r="727" spans="1:25">
      <c r="A727">
        <v>726</v>
      </c>
      <c r="B727" t="s">
        <v>24</v>
      </c>
      <c r="C727" t="s">
        <v>25</v>
      </c>
      <c r="D727" t="s">
        <v>26</v>
      </c>
      <c r="E727" t="s">
        <v>36</v>
      </c>
      <c r="F727" t="s">
        <v>41</v>
      </c>
      <c r="G727">
        <v>1</v>
      </c>
      <c r="H727" t="s">
        <v>37</v>
      </c>
      <c r="I727" t="s">
        <v>42</v>
      </c>
      <c r="J727" t="s">
        <v>48</v>
      </c>
      <c r="K727" t="s">
        <v>24</v>
      </c>
      <c r="L727">
        <v>35</v>
      </c>
      <c r="M727">
        <v>14</v>
      </c>
      <c r="N727" t="s">
        <v>44</v>
      </c>
      <c r="O727">
        <v>3</v>
      </c>
      <c r="P727">
        <v>1</v>
      </c>
      <c r="Q727">
        <v>2</v>
      </c>
      <c r="R727">
        <v>3743</v>
      </c>
      <c r="S727">
        <v>5</v>
      </c>
      <c r="T727">
        <v>1</v>
      </c>
      <c r="U727">
        <v>4</v>
      </c>
      <c r="V727">
        <v>2</v>
      </c>
      <c r="W727">
        <v>0</v>
      </c>
      <c r="X727">
        <v>2</v>
      </c>
      <c r="Y727">
        <f>IF(HR_data[[#This Row],[Attrition]]= "Yes",1,0)</f>
        <v>1</v>
      </c>
    </row>
    <row r="728" spans="1:25">
      <c r="A728">
        <v>727</v>
      </c>
      <c r="B728" t="s">
        <v>33</v>
      </c>
      <c r="C728" t="s">
        <v>34</v>
      </c>
      <c r="D728" t="s">
        <v>43</v>
      </c>
      <c r="E728" t="s">
        <v>36</v>
      </c>
      <c r="F728" t="s">
        <v>28</v>
      </c>
      <c r="G728">
        <v>1</v>
      </c>
      <c r="H728" t="s">
        <v>29</v>
      </c>
      <c r="I728" t="s">
        <v>49</v>
      </c>
      <c r="J728" t="s">
        <v>39</v>
      </c>
      <c r="K728" t="s">
        <v>33</v>
      </c>
      <c r="L728">
        <v>31</v>
      </c>
      <c r="M728">
        <v>1</v>
      </c>
      <c r="N728" t="s">
        <v>40</v>
      </c>
      <c r="O728">
        <v>3</v>
      </c>
      <c r="P728">
        <v>2</v>
      </c>
      <c r="Q728">
        <v>1</v>
      </c>
      <c r="R728">
        <v>4148</v>
      </c>
      <c r="S728">
        <v>4</v>
      </c>
      <c r="T728">
        <v>3</v>
      </c>
      <c r="U728">
        <v>4</v>
      </c>
      <c r="V728">
        <v>3</v>
      </c>
      <c r="W728">
        <v>0</v>
      </c>
      <c r="X728">
        <v>3</v>
      </c>
      <c r="Y728">
        <f>IF(HR_data[[#This Row],[Attrition]]= "Yes",1,0)</f>
        <v>0</v>
      </c>
    </row>
    <row r="729" spans="1:25">
      <c r="A729">
        <v>728</v>
      </c>
      <c r="B729" t="s">
        <v>33</v>
      </c>
      <c r="C729" t="s">
        <v>51</v>
      </c>
      <c r="D729" t="s">
        <v>52</v>
      </c>
      <c r="E729" t="s">
        <v>36</v>
      </c>
      <c r="F729" t="s">
        <v>28</v>
      </c>
      <c r="G729">
        <v>1</v>
      </c>
      <c r="H729" t="s">
        <v>37</v>
      </c>
      <c r="I729" t="s">
        <v>38</v>
      </c>
      <c r="J729" t="s">
        <v>31</v>
      </c>
      <c r="K729" t="s">
        <v>33</v>
      </c>
      <c r="L729">
        <v>18</v>
      </c>
      <c r="M729">
        <v>5</v>
      </c>
      <c r="N729" t="s">
        <v>32</v>
      </c>
      <c r="O729">
        <v>2</v>
      </c>
      <c r="P729">
        <v>1</v>
      </c>
      <c r="Q729">
        <v>4</v>
      </c>
      <c r="R729">
        <v>1051</v>
      </c>
      <c r="S729">
        <v>0</v>
      </c>
      <c r="T729">
        <v>3</v>
      </c>
      <c r="U729">
        <v>0</v>
      </c>
      <c r="V729">
        <v>0</v>
      </c>
      <c r="W729">
        <v>0</v>
      </c>
      <c r="X729">
        <v>0</v>
      </c>
      <c r="Y729">
        <f>IF(HR_data[[#This Row],[Attrition]]= "Yes",1,0)</f>
        <v>0</v>
      </c>
    </row>
    <row r="730" spans="1:25">
      <c r="A730">
        <v>729</v>
      </c>
      <c r="B730" t="s">
        <v>33</v>
      </c>
      <c r="C730" t="s">
        <v>25</v>
      </c>
      <c r="D730" t="s">
        <v>35</v>
      </c>
      <c r="E730" t="s">
        <v>36</v>
      </c>
      <c r="F730" t="s">
        <v>57</v>
      </c>
      <c r="G730">
        <v>1</v>
      </c>
      <c r="H730" t="s">
        <v>29</v>
      </c>
      <c r="I730" t="s">
        <v>49</v>
      </c>
      <c r="J730" t="s">
        <v>39</v>
      </c>
      <c r="K730" t="s">
        <v>33</v>
      </c>
      <c r="L730">
        <v>54</v>
      </c>
      <c r="M730">
        <v>17</v>
      </c>
      <c r="N730" t="s">
        <v>47</v>
      </c>
      <c r="O730">
        <v>3</v>
      </c>
      <c r="P730">
        <v>3</v>
      </c>
      <c r="Q730">
        <v>3</v>
      </c>
      <c r="R730">
        <v>10739</v>
      </c>
      <c r="S730">
        <v>22</v>
      </c>
      <c r="T730">
        <v>3</v>
      </c>
      <c r="U730">
        <v>10</v>
      </c>
      <c r="V730">
        <v>7</v>
      </c>
      <c r="W730">
        <v>0</v>
      </c>
      <c r="X730">
        <v>8</v>
      </c>
      <c r="Y730">
        <f>IF(HR_data[[#This Row],[Attrition]]= "Yes",1,0)</f>
        <v>0</v>
      </c>
    </row>
    <row r="731" spans="1:25">
      <c r="A731">
        <v>730</v>
      </c>
      <c r="B731" t="s">
        <v>33</v>
      </c>
      <c r="C731" t="s">
        <v>25</v>
      </c>
      <c r="D731" t="s">
        <v>26</v>
      </c>
      <c r="E731" t="s">
        <v>36</v>
      </c>
      <c r="F731" t="s">
        <v>45</v>
      </c>
      <c r="G731">
        <v>1</v>
      </c>
      <c r="H731" t="s">
        <v>29</v>
      </c>
      <c r="I731" t="s">
        <v>50</v>
      </c>
      <c r="J731" t="s">
        <v>48</v>
      </c>
      <c r="K731" t="s">
        <v>24</v>
      </c>
      <c r="L731">
        <v>35</v>
      </c>
      <c r="M731">
        <v>25</v>
      </c>
      <c r="N731" t="s">
        <v>44</v>
      </c>
      <c r="O731">
        <v>3</v>
      </c>
      <c r="P731">
        <v>3</v>
      </c>
      <c r="Q731">
        <v>3</v>
      </c>
      <c r="R731">
        <v>10388</v>
      </c>
      <c r="S731">
        <v>16</v>
      </c>
      <c r="T731">
        <v>2</v>
      </c>
      <c r="U731">
        <v>16</v>
      </c>
      <c r="V731">
        <v>10</v>
      </c>
      <c r="W731">
        <v>10</v>
      </c>
      <c r="X731">
        <v>1</v>
      </c>
      <c r="Y731">
        <f>IF(HR_data[[#This Row],[Attrition]]= "Yes",1,0)</f>
        <v>0</v>
      </c>
    </row>
    <row r="732" spans="1:25">
      <c r="A732">
        <v>731</v>
      </c>
      <c r="B732" t="s">
        <v>33</v>
      </c>
      <c r="C732" t="s">
        <v>25</v>
      </c>
      <c r="D732" t="s">
        <v>43</v>
      </c>
      <c r="E732" t="s">
        <v>36</v>
      </c>
      <c r="F732" t="s">
        <v>28</v>
      </c>
      <c r="G732">
        <v>1</v>
      </c>
      <c r="H732" t="s">
        <v>29</v>
      </c>
      <c r="I732" t="s">
        <v>55</v>
      </c>
      <c r="J732" t="s">
        <v>39</v>
      </c>
      <c r="K732" t="s">
        <v>24</v>
      </c>
      <c r="L732">
        <v>30</v>
      </c>
      <c r="M732">
        <v>8</v>
      </c>
      <c r="N732" t="s">
        <v>32</v>
      </c>
      <c r="O732">
        <v>2</v>
      </c>
      <c r="P732">
        <v>3</v>
      </c>
      <c r="Q732">
        <v>1</v>
      </c>
      <c r="R732">
        <v>11416</v>
      </c>
      <c r="S732">
        <v>9</v>
      </c>
      <c r="T732">
        <v>2</v>
      </c>
      <c r="U732">
        <v>8</v>
      </c>
      <c r="V732">
        <v>7</v>
      </c>
      <c r="W732">
        <v>1</v>
      </c>
      <c r="X732">
        <v>7</v>
      </c>
      <c r="Y732">
        <f>IF(HR_data[[#This Row],[Attrition]]= "Yes",1,0)</f>
        <v>0</v>
      </c>
    </row>
    <row r="733" spans="1:25">
      <c r="A733">
        <v>732</v>
      </c>
      <c r="B733" t="s">
        <v>24</v>
      </c>
      <c r="C733" t="s">
        <v>25</v>
      </c>
      <c r="D733" t="s">
        <v>52</v>
      </c>
      <c r="E733" t="s">
        <v>36</v>
      </c>
      <c r="F733" t="s">
        <v>45</v>
      </c>
      <c r="G733">
        <v>1</v>
      </c>
      <c r="H733" t="s">
        <v>29</v>
      </c>
      <c r="I733" t="s">
        <v>38</v>
      </c>
      <c r="J733" t="s">
        <v>31</v>
      </c>
      <c r="K733" t="s">
        <v>24</v>
      </c>
      <c r="L733">
        <v>20</v>
      </c>
      <c r="M733">
        <v>11</v>
      </c>
      <c r="N733" t="s">
        <v>47</v>
      </c>
      <c r="O733">
        <v>4</v>
      </c>
      <c r="P733">
        <v>1</v>
      </c>
      <c r="Q733">
        <v>1</v>
      </c>
      <c r="R733">
        <v>2600</v>
      </c>
      <c r="S733">
        <v>1</v>
      </c>
      <c r="T733">
        <v>3</v>
      </c>
      <c r="U733">
        <v>1</v>
      </c>
      <c r="V733">
        <v>0</v>
      </c>
      <c r="W733">
        <v>0</v>
      </c>
      <c r="X733">
        <v>0</v>
      </c>
      <c r="Y733">
        <f>IF(HR_data[[#This Row],[Attrition]]= "Yes",1,0)</f>
        <v>1</v>
      </c>
    </row>
    <row r="734" spans="1:25">
      <c r="A734">
        <v>733</v>
      </c>
      <c r="B734" t="s">
        <v>24</v>
      </c>
      <c r="C734" t="s">
        <v>34</v>
      </c>
      <c r="D734" t="s">
        <v>43</v>
      </c>
      <c r="E734" t="s">
        <v>36</v>
      </c>
      <c r="F734" t="s">
        <v>45</v>
      </c>
      <c r="G734">
        <v>1</v>
      </c>
      <c r="H734" t="s">
        <v>29</v>
      </c>
      <c r="I734" t="s">
        <v>42</v>
      </c>
      <c r="J734" t="s">
        <v>31</v>
      </c>
      <c r="K734" t="s">
        <v>33</v>
      </c>
      <c r="L734">
        <v>30</v>
      </c>
      <c r="M734">
        <v>5</v>
      </c>
      <c r="N734" t="s">
        <v>47</v>
      </c>
      <c r="O734">
        <v>2</v>
      </c>
      <c r="P734">
        <v>1</v>
      </c>
      <c r="Q734">
        <v>2</v>
      </c>
      <c r="R734">
        <v>2422</v>
      </c>
      <c r="S734">
        <v>4</v>
      </c>
      <c r="T734">
        <v>3</v>
      </c>
      <c r="U734">
        <v>3</v>
      </c>
      <c r="V734">
        <v>2</v>
      </c>
      <c r="W734">
        <v>1</v>
      </c>
      <c r="X734">
        <v>2</v>
      </c>
      <c r="Y734">
        <f>IF(HR_data[[#This Row],[Attrition]]= "Yes",1,0)</f>
        <v>1</v>
      </c>
    </row>
    <row r="735" spans="1:25">
      <c r="A735">
        <v>734</v>
      </c>
      <c r="B735" t="s">
        <v>33</v>
      </c>
      <c r="C735" t="s">
        <v>25</v>
      </c>
      <c r="D735" t="s">
        <v>43</v>
      </c>
      <c r="E735" t="s">
        <v>36</v>
      </c>
      <c r="F735" t="s">
        <v>45</v>
      </c>
      <c r="G735">
        <v>1</v>
      </c>
      <c r="H735" t="s">
        <v>37</v>
      </c>
      <c r="I735" t="s">
        <v>49</v>
      </c>
      <c r="J735" t="s">
        <v>39</v>
      </c>
      <c r="K735" t="s">
        <v>33</v>
      </c>
      <c r="L735">
        <v>26</v>
      </c>
      <c r="M735">
        <v>2</v>
      </c>
      <c r="N735" t="s">
        <v>32</v>
      </c>
      <c r="O735">
        <v>4</v>
      </c>
      <c r="P735">
        <v>2</v>
      </c>
      <c r="Q735">
        <v>4</v>
      </c>
      <c r="R735">
        <v>5472</v>
      </c>
      <c r="S735">
        <v>8</v>
      </c>
      <c r="T735">
        <v>3</v>
      </c>
      <c r="U735">
        <v>8</v>
      </c>
      <c r="V735">
        <v>7</v>
      </c>
      <c r="W735">
        <v>1</v>
      </c>
      <c r="X735">
        <v>3</v>
      </c>
      <c r="Y735">
        <f>IF(HR_data[[#This Row],[Attrition]]= "Yes",1,0)</f>
        <v>0</v>
      </c>
    </row>
    <row r="736" spans="1:25">
      <c r="A736">
        <v>735</v>
      </c>
      <c r="B736" t="s">
        <v>33</v>
      </c>
      <c r="C736" t="s">
        <v>25</v>
      </c>
      <c r="D736" t="s">
        <v>52</v>
      </c>
      <c r="E736" t="s">
        <v>36</v>
      </c>
      <c r="F736" t="s">
        <v>28</v>
      </c>
      <c r="G736">
        <v>1</v>
      </c>
      <c r="H736" t="s">
        <v>37</v>
      </c>
      <c r="I736" t="s">
        <v>42</v>
      </c>
      <c r="J736" t="s">
        <v>39</v>
      </c>
      <c r="K736" t="s">
        <v>33</v>
      </c>
      <c r="L736">
        <v>22</v>
      </c>
      <c r="M736">
        <v>8</v>
      </c>
      <c r="N736" t="s">
        <v>40</v>
      </c>
      <c r="O736">
        <v>2</v>
      </c>
      <c r="P736">
        <v>1</v>
      </c>
      <c r="Q736">
        <v>1</v>
      </c>
      <c r="R736">
        <v>2451</v>
      </c>
      <c r="S736">
        <v>4</v>
      </c>
      <c r="T736">
        <v>2</v>
      </c>
      <c r="U736">
        <v>4</v>
      </c>
      <c r="V736">
        <v>3</v>
      </c>
      <c r="W736">
        <v>1</v>
      </c>
      <c r="X736">
        <v>1</v>
      </c>
      <c r="Y736">
        <f>IF(HR_data[[#This Row],[Attrition]]= "Yes",1,0)</f>
        <v>0</v>
      </c>
    </row>
    <row r="737" spans="1:25">
      <c r="A737">
        <v>736</v>
      </c>
      <c r="B737" t="s">
        <v>33</v>
      </c>
      <c r="C737" t="s">
        <v>25</v>
      </c>
      <c r="D737" t="s">
        <v>35</v>
      </c>
      <c r="E737" t="s">
        <v>36</v>
      </c>
      <c r="F737" t="s">
        <v>28</v>
      </c>
      <c r="G737">
        <v>1</v>
      </c>
      <c r="H737" t="s">
        <v>37</v>
      </c>
      <c r="I737" t="s">
        <v>50</v>
      </c>
      <c r="J737" t="s">
        <v>31</v>
      </c>
      <c r="K737" t="s">
        <v>33</v>
      </c>
      <c r="L737">
        <v>48</v>
      </c>
      <c r="M737">
        <v>6</v>
      </c>
      <c r="N737" t="s">
        <v>47</v>
      </c>
      <c r="O737">
        <v>1</v>
      </c>
      <c r="P737">
        <v>2</v>
      </c>
      <c r="Q737">
        <v>3</v>
      </c>
      <c r="R737">
        <v>4240</v>
      </c>
      <c r="S737">
        <v>19</v>
      </c>
      <c r="T737">
        <v>3</v>
      </c>
      <c r="U737">
        <v>2</v>
      </c>
      <c r="V737">
        <v>2</v>
      </c>
      <c r="W737">
        <v>2</v>
      </c>
      <c r="X737">
        <v>2</v>
      </c>
      <c r="Y737">
        <f>IF(HR_data[[#This Row],[Attrition]]= "Yes",1,0)</f>
        <v>0</v>
      </c>
    </row>
    <row r="738" spans="1:25">
      <c r="A738">
        <v>737</v>
      </c>
      <c r="B738" t="s">
        <v>33</v>
      </c>
      <c r="C738" t="s">
        <v>25</v>
      </c>
      <c r="D738" t="s">
        <v>35</v>
      </c>
      <c r="E738" t="s">
        <v>36</v>
      </c>
      <c r="F738" t="s">
        <v>28</v>
      </c>
      <c r="G738">
        <v>1</v>
      </c>
      <c r="H738" t="s">
        <v>37</v>
      </c>
      <c r="I738" t="s">
        <v>50</v>
      </c>
      <c r="J738" t="s">
        <v>31</v>
      </c>
      <c r="K738" t="s">
        <v>33</v>
      </c>
      <c r="L738">
        <v>48</v>
      </c>
      <c r="M738">
        <v>4</v>
      </c>
      <c r="N738" t="s">
        <v>44</v>
      </c>
      <c r="O738">
        <v>3</v>
      </c>
      <c r="P738">
        <v>3</v>
      </c>
      <c r="Q738">
        <v>3</v>
      </c>
      <c r="R738">
        <v>10999</v>
      </c>
      <c r="S738">
        <v>27</v>
      </c>
      <c r="T738">
        <v>3</v>
      </c>
      <c r="U738">
        <v>15</v>
      </c>
      <c r="V738">
        <v>11</v>
      </c>
      <c r="W738">
        <v>4</v>
      </c>
      <c r="X738">
        <v>8</v>
      </c>
      <c r="Y738">
        <f>IF(HR_data[[#This Row],[Attrition]]= "Yes",1,0)</f>
        <v>0</v>
      </c>
    </row>
    <row r="739" spans="1:25">
      <c r="A739">
        <v>738</v>
      </c>
      <c r="B739" t="s">
        <v>33</v>
      </c>
      <c r="C739" t="s">
        <v>25</v>
      </c>
      <c r="D739" t="s">
        <v>26</v>
      </c>
      <c r="E739" t="s">
        <v>36</v>
      </c>
      <c r="F739" t="s">
        <v>45</v>
      </c>
      <c r="G739">
        <v>1</v>
      </c>
      <c r="H739" t="s">
        <v>29</v>
      </c>
      <c r="I739" t="s">
        <v>49</v>
      </c>
      <c r="J739" t="s">
        <v>31</v>
      </c>
      <c r="K739" t="s">
        <v>33</v>
      </c>
      <c r="L739">
        <v>41</v>
      </c>
      <c r="M739">
        <v>7</v>
      </c>
      <c r="N739" t="s">
        <v>32</v>
      </c>
      <c r="O739">
        <v>4</v>
      </c>
      <c r="P739">
        <v>2</v>
      </c>
      <c r="Q739">
        <v>3</v>
      </c>
      <c r="R739">
        <v>5003</v>
      </c>
      <c r="S739">
        <v>8</v>
      </c>
      <c r="T739">
        <v>3</v>
      </c>
      <c r="U739">
        <v>2</v>
      </c>
      <c r="V739">
        <v>2</v>
      </c>
      <c r="W739">
        <v>2</v>
      </c>
      <c r="X739">
        <v>1</v>
      </c>
      <c r="Y739">
        <f>IF(HR_data[[#This Row],[Attrition]]= "Yes",1,0)</f>
        <v>0</v>
      </c>
    </row>
    <row r="740" spans="1:25">
      <c r="A740">
        <v>739</v>
      </c>
      <c r="B740" t="s">
        <v>33</v>
      </c>
      <c r="C740" t="s">
        <v>25</v>
      </c>
      <c r="D740" t="s">
        <v>26</v>
      </c>
      <c r="E740" t="s">
        <v>36</v>
      </c>
      <c r="F740" t="s">
        <v>28</v>
      </c>
      <c r="G740">
        <v>1</v>
      </c>
      <c r="H740" t="s">
        <v>29</v>
      </c>
      <c r="I740" t="s">
        <v>49</v>
      </c>
      <c r="J740" t="s">
        <v>39</v>
      </c>
      <c r="K740" t="s">
        <v>33</v>
      </c>
      <c r="L740">
        <v>39</v>
      </c>
      <c r="M740">
        <v>1</v>
      </c>
      <c r="N740" t="s">
        <v>40</v>
      </c>
      <c r="O740">
        <v>4</v>
      </c>
      <c r="P740">
        <v>4</v>
      </c>
      <c r="Q740">
        <v>4</v>
      </c>
      <c r="R740">
        <v>12742</v>
      </c>
      <c r="S740">
        <v>21</v>
      </c>
      <c r="T740">
        <v>3</v>
      </c>
      <c r="U740">
        <v>21</v>
      </c>
      <c r="V740">
        <v>6</v>
      </c>
      <c r="W740">
        <v>11</v>
      </c>
      <c r="X740">
        <v>8</v>
      </c>
      <c r="Y740">
        <f>IF(HR_data[[#This Row],[Attrition]]= "Yes",1,0)</f>
        <v>0</v>
      </c>
    </row>
    <row r="741" spans="1:25">
      <c r="A741">
        <v>740</v>
      </c>
      <c r="B741" t="s">
        <v>33</v>
      </c>
      <c r="C741" t="s">
        <v>25</v>
      </c>
      <c r="D741" t="s">
        <v>43</v>
      </c>
      <c r="E741" t="s">
        <v>36</v>
      </c>
      <c r="F741" t="s">
        <v>28</v>
      </c>
      <c r="G741">
        <v>1</v>
      </c>
      <c r="H741" t="s">
        <v>29</v>
      </c>
      <c r="I741" t="s">
        <v>49</v>
      </c>
      <c r="J741" t="s">
        <v>39</v>
      </c>
      <c r="K741" t="s">
        <v>33</v>
      </c>
      <c r="L741">
        <v>27</v>
      </c>
      <c r="M741">
        <v>2</v>
      </c>
      <c r="N741" t="s">
        <v>44</v>
      </c>
      <c r="O741">
        <v>1</v>
      </c>
      <c r="P741">
        <v>2</v>
      </c>
      <c r="Q741">
        <v>4</v>
      </c>
      <c r="R741">
        <v>4227</v>
      </c>
      <c r="S741">
        <v>4</v>
      </c>
      <c r="T741">
        <v>3</v>
      </c>
      <c r="U741">
        <v>3</v>
      </c>
      <c r="V741">
        <v>2</v>
      </c>
      <c r="W741">
        <v>2</v>
      </c>
      <c r="X741">
        <v>2</v>
      </c>
      <c r="Y741">
        <f>IF(HR_data[[#This Row],[Attrition]]= "Yes",1,0)</f>
        <v>0</v>
      </c>
    </row>
    <row r="742" spans="1:25">
      <c r="A742">
        <v>741</v>
      </c>
      <c r="B742" t="s">
        <v>33</v>
      </c>
      <c r="C742" t="s">
        <v>25</v>
      </c>
      <c r="D742" t="s">
        <v>26</v>
      </c>
      <c r="E742" t="s">
        <v>36</v>
      </c>
      <c r="F742" t="s">
        <v>41</v>
      </c>
      <c r="G742">
        <v>1</v>
      </c>
      <c r="H742" t="s">
        <v>37</v>
      </c>
      <c r="I742" t="s">
        <v>42</v>
      </c>
      <c r="J742" t="s">
        <v>48</v>
      </c>
      <c r="K742" t="s">
        <v>33</v>
      </c>
      <c r="L742">
        <v>35</v>
      </c>
      <c r="M742">
        <v>10</v>
      </c>
      <c r="N742" t="s">
        <v>47</v>
      </c>
      <c r="O742">
        <v>2</v>
      </c>
      <c r="P742">
        <v>1</v>
      </c>
      <c r="Q742">
        <v>4</v>
      </c>
      <c r="R742">
        <v>3917</v>
      </c>
      <c r="S742">
        <v>3</v>
      </c>
      <c r="T742">
        <v>2</v>
      </c>
      <c r="U742">
        <v>3</v>
      </c>
      <c r="V742">
        <v>2</v>
      </c>
      <c r="W742">
        <v>1</v>
      </c>
      <c r="X742">
        <v>2</v>
      </c>
      <c r="Y742">
        <f>IF(HR_data[[#This Row],[Attrition]]= "Yes",1,0)</f>
        <v>0</v>
      </c>
    </row>
    <row r="743" spans="1:25">
      <c r="A743">
        <v>742</v>
      </c>
      <c r="B743" t="s">
        <v>33</v>
      </c>
      <c r="C743" t="s">
        <v>25</v>
      </c>
      <c r="D743" t="s">
        <v>26</v>
      </c>
      <c r="E743" t="s">
        <v>27</v>
      </c>
      <c r="F743" t="s">
        <v>56</v>
      </c>
      <c r="G743">
        <v>1</v>
      </c>
      <c r="H743" t="s">
        <v>37</v>
      </c>
      <c r="I743" t="s">
        <v>53</v>
      </c>
      <c r="J743" t="s">
        <v>39</v>
      </c>
      <c r="K743" t="s">
        <v>33</v>
      </c>
      <c r="L743">
        <v>42</v>
      </c>
      <c r="M743">
        <v>5</v>
      </c>
      <c r="N743" t="s">
        <v>32</v>
      </c>
      <c r="O743">
        <v>4</v>
      </c>
      <c r="P743">
        <v>5</v>
      </c>
      <c r="Q743">
        <v>3</v>
      </c>
      <c r="R743">
        <v>18303</v>
      </c>
      <c r="S743">
        <v>21</v>
      </c>
      <c r="T743">
        <v>4</v>
      </c>
      <c r="U743">
        <v>1</v>
      </c>
      <c r="V743">
        <v>0</v>
      </c>
      <c r="W743">
        <v>0</v>
      </c>
      <c r="X743">
        <v>0</v>
      </c>
      <c r="Y743">
        <f>IF(HR_data[[#This Row],[Attrition]]= "Yes",1,0)</f>
        <v>0</v>
      </c>
    </row>
    <row r="744" spans="1:25">
      <c r="A744">
        <v>743</v>
      </c>
      <c r="B744" t="s">
        <v>33</v>
      </c>
      <c r="C744" t="s">
        <v>25</v>
      </c>
      <c r="D744" t="s">
        <v>35</v>
      </c>
      <c r="E744" t="s">
        <v>36</v>
      </c>
      <c r="F744" t="s">
        <v>28</v>
      </c>
      <c r="G744">
        <v>1</v>
      </c>
      <c r="H744" t="s">
        <v>37</v>
      </c>
      <c r="I744" t="s">
        <v>42</v>
      </c>
      <c r="J744" t="s">
        <v>39</v>
      </c>
      <c r="K744" t="s">
        <v>33</v>
      </c>
      <c r="L744">
        <v>50</v>
      </c>
      <c r="M744">
        <v>9</v>
      </c>
      <c r="N744" t="s">
        <v>47</v>
      </c>
      <c r="O744">
        <v>1</v>
      </c>
      <c r="P744">
        <v>1</v>
      </c>
      <c r="Q744">
        <v>4</v>
      </c>
      <c r="R744">
        <v>2380</v>
      </c>
      <c r="S744">
        <v>8</v>
      </c>
      <c r="T744">
        <v>3</v>
      </c>
      <c r="U744">
        <v>1</v>
      </c>
      <c r="V744">
        <v>0</v>
      </c>
      <c r="W744">
        <v>0</v>
      </c>
      <c r="X744">
        <v>0</v>
      </c>
      <c r="Y744">
        <f>IF(HR_data[[#This Row],[Attrition]]= "Yes",1,0)</f>
        <v>0</v>
      </c>
    </row>
    <row r="745" spans="1:25">
      <c r="A745">
        <v>744</v>
      </c>
      <c r="B745" t="s">
        <v>33</v>
      </c>
      <c r="C745" t="s">
        <v>25</v>
      </c>
      <c r="D745" t="s">
        <v>46</v>
      </c>
      <c r="E745" t="s">
        <v>36</v>
      </c>
      <c r="F745" t="s">
        <v>28</v>
      </c>
      <c r="G745">
        <v>1</v>
      </c>
      <c r="H745" t="s">
        <v>29</v>
      </c>
      <c r="I745" t="s">
        <v>49</v>
      </c>
      <c r="J745" t="s">
        <v>31</v>
      </c>
      <c r="K745" t="s">
        <v>24</v>
      </c>
      <c r="L745">
        <v>59</v>
      </c>
      <c r="M745">
        <v>2</v>
      </c>
      <c r="N745" t="s">
        <v>47</v>
      </c>
      <c r="O745">
        <v>3</v>
      </c>
      <c r="P745">
        <v>4</v>
      </c>
      <c r="Q745">
        <v>4</v>
      </c>
      <c r="R745">
        <v>13726</v>
      </c>
      <c r="S745">
        <v>30</v>
      </c>
      <c r="T745">
        <v>3</v>
      </c>
      <c r="U745">
        <v>5</v>
      </c>
      <c r="V745">
        <v>3</v>
      </c>
      <c r="W745">
        <v>4</v>
      </c>
      <c r="X745">
        <v>3</v>
      </c>
      <c r="Y745">
        <f>IF(HR_data[[#This Row],[Attrition]]= "Yes",1,0)</f>
        <v>0</v>
      </c>
    </row>
    <row r="746" spans="1:25">
      <c r="A746">
        <v>745</v>
      </c>
      <c r="B746" t="s">
        <v>24</v>
      </c>
      <c r="C746" t="s">
        <v>25</v>
      </c>
      <c r="D746" t="s">
        <v>26</v>
      </c>
      <c r="E746" t="s">
        <v>36</v>
      </c>
      <c r="F746" t="s">
        <v>45</v>
      </c>
      <c r="G746">
        <v>1</v>
      </c>
      <c r="H746" t="s">
        <v>29</v>
      </c>
      <c r="I746" t="s">
        <v>50</v>
      </c>
      <c r="J746" t="s">
        <v>39</v>
      </c>
      <c r="K746" t="s">
        <v>33</v>
      </c>
      <c r="L746">
        <v>37</v>
      </c>
      <c r="M746">
        <v>11</v>
      </c>
      <c r="N746" t="s">
        <v>32</v>
      </c>
      <c r="O746">
        <v>1</v>
      </c>
      <c r="P746">
        <v>2</v>
      </c>
      <c r="Q746">
        <v>2</v>
      </c>
      <c r="R746">
        <v>4777</v>
      </c>
      <c r="S746">
        <v>15</v>
      </c>
      <c r="T746">
        <v>1</v>
      </c>
      <c r="U746">
        <v>1</v>
      </c>
      <c r="V746">
        <v>0</v>
      </c>
      <c r="W746">
        <v>0</v>
      </c>
      <c r="X746">
        <v>0</v>
      </c>
      <c r="Y746">
        <f>IF(HR_data[[#This Row],[Attrition]]= "Yes",1,0)</f>
        <v>1</v>
      </c>
    </row>
    <row r="747" spans="1:25">
      <c r="A747">
        <v>746</v>
      </c>
      <c r="B747" t="s">
        <v>33</v>
      </c>
      <c r="C747" t="s">
        <v>34</v>
      </c>
      <c r="D747" t="s">
        <v>46</v>
      </c>
      <c r="E747" t="s">
        <v>36</v>
      </c>
      <c r="F747" t="s">
        <v>45</v>
      </c>
      <c r="G747">
        <v>1</v>
      </c>
      <c r="H747" t="s">
        <v>37</v>
      </c>
      <c r="I747" t="s">
        <v>50</v>
      </c>
      <c r="J747" t="s">
        <v>39</v>
      </c>
      <c r="K747" t="s">
        <v>24</v>
      </c>
      <c r="L747">
        <v>55</v>
      </c>
      <c r="M747">
        <v>18</v>
      </c>
      <c r="N747" t="s">
        <v>44</v>
      </c>
      <c r="O747">
        <v>3</v>
      </c>
      <c r="P747">
        <v>2</v>
      </c>
      <c r="Q747">
        <v>2</v>
      </c>
      <c r="R747">
        <v>6385</v>
      </c>
      <c r="S747">
        <v>17</v>
      </c>
      <c r="T747">
        <v>3</v>
      </c>
      <c r="U747">
        <v>8</v>
      </c>
      <c r="V747">
        <v>7</v>
      </c>
      <c r="W747">
        <v>6</v>
      </c>
      <c r="X747">
        <v>7</v>
      </c>
      <c r="Y747">
        <f>IF(HR_data[[#This Row],[Attrition]]= "Yes",1,0)</f>
        <v>0</v>
      </c>
    </row>
    <row r="748" spans="1:25">
      <c r="A748">
        <v>747</v>
      </c>
      <c r="B748" t="s">
        <v>33</v>
      </c>
      <c r="C748" t="s">
        <v>51</v>
      </c>
      <c r="D748" t="s">
        <v>26</v>
      </c>
      <c r="E748" t="s">
        <v>36</v>
      </c>
      <c r="F748" t="s">
        <v>28</v>
      </c>
      <c r="G748">
        <v>1</v>
      </c>
      <c r="H748" t="s">
        <v>29</v>
      </c>
      <c r="I748" t="s">
        <v>55</v>
      </c>
      <c r="J748" t="s">
        <v>48</v>
      </c>
      <c r="K748" t="s">
        <v>33</v>
      </c>
      <c r="L748">
        <v>41</v>
      </c>
      <c r="M748">
        <v>7</v>
      </c>
      <c r="N748" t="s">
        <v>40</v>
      </c>
      <c r="O748">
        <v>2</v>
      </c>
      <c r="P748">
        <v>5</v>
      </c>
      <c r="Q748">
        <v>3</v>
      </c>
      <c r="R748">
        <v>19973</v>
      </c>
      <c r="S748">
        <v>21</v>
      </c>
      <c r="T748">
        <v>3</v>
      </c>
      <c r="U748">
        <v>21</v>
      </c>
      <c r="V748">
        <v>16</v>
      </c>
      <c r="W748">
        <v>5</v>
      </c>
      <c r="X748">
        <v>10</v>
      </c>
      <c r="Y748">
        <f>IF(HR_data[[#This Row],[Attrition]]= "Yes",1,0)</f>
        <v>0</v>
      </c>
    </row>
    <row r="749" spans="1:25">
      <c r="A749">
        <v>748</v>
      </c>
      <c r="B749" t="s">
        <v>33</v>
      </c>
      <c r="C749" t="s">
        <v>25</v>
      </c>
      <c r="D749" t="s">
        <v>26</v>
      </c>
      <c r="E749" t="s">
        <v>27</v>
      </c>
      <c r="F749" t="s">
        <v>28</v>
      </c>
      <c r="G749">
        <v>1</v>
      </c>
      <c r="H749" t="s">
        <v>37</v>
      </c>
      <c r="I749" t="s">
        <v>30</v>
      </c>
      <c r="J749" t="s">
        <v>31</v>
      </c>
      <c r="K749" t="s">
        <v>24</v>
      </c>
      <c r="L749">
        <v>38</v>
      </c>
      <c r="M749">
        <v>3</v>
      </c>
      <c r="N749" t="s">
        <v>44</v>
      </c>
      <c r="O749">
        <v>2</v>
      </c>
      <c r="P749">
        <v>2</v>
      </c>
      <c r="Q749">
        <v>4</v>
      </c>
      <c r="R749">
        <v>6861</v>
      </c>
      <c r="S749">
        <v>19</v>
      </c>
      <c r="T749">
        <v>3</v>
      </c>
      <c r="U749">
        <v>1</v>
      </c>
      <c r="V749">
        <v>0</v>
      </c>
      <c r="W749">
        <v>0</v>
      </c>
      <c r="X749">
        <v>0</v>
      </c>
      <c r="Y749">
        <f>IF(HR_data[[#This Row],[Attrition]]= "Yes",1,0)</f>
        <v>0</v>
      </c>
    </row>
    <row r="750" spans="1:25">
      <c r="A750">
        <v>749</v>
      </c>
      <c r="B750" t="s">
        <v>24</v>
      </c>
      <c r="C750" t="s">
        <v>51</v>
      </c>
      <c r="D750" t="s">
        <v>43</v>
      </c>
      <c r="E750" t="s">
        <v>27</v>
      </c>
      <c r="F750" t="s">
        <v>45</v>
      </c>
      <c r="G750">
        <v>1</v>
      </c>
      <c r="H750" t="s">
        <v>37</v>
      </c>
      <c r="I750" t="s">
        <v>30</v>
      </c>
      <c r="J750" t="s">
        <v>31</v>
      </c>
      <c r="K750" t="s">
        <v>33</v>
      </c>
      <c r="L750">
        <v>26</v>
      </c>
      <c r="M750">
        <v>29</v>
      </c>
      <c r="N750" t="s">
        <v>32</v>
      </c>
      <c r="O750">
        <v>2</v>
      </c>
      <c r="P750">
        <v>2</v>
      </c>
      <c r="Q750">
        <v>1</v>
      </c>
      <c r="R750">
        <v>4969</v>
      </c>
      <c r="S750">
        <v>7</v>
      </c>
      <c r="T750">
        <v>3</v>
      </c>
      <c r="U750">
        <v>2</v>
      </c>
      <c r="V750">
        <v>2</v>
      </c>
      <c r="W750">
        <v>2</v>
      </c>
      <c r="X750">
        <v>2</v>
      </c>
      <c r="Y750">
        <f>IF(HR_data[[#This Row],[Attrition]]= "Yes",1,0)</f>
        <v>1</v>
      </c>
    </row>
    <row r="751" spans="1:25">
      <c r="A751">
        <v>750</v>
      </c>
      <c r="B751" t="s">
        <v>24</v>
      </c>
      <c r="C751" t="s">
        <v>25</v>
      </c>
      <c r="D751" t="s">
        <v>35</v>
      </c>
      <c r="E751" t="s">
        <v>27</v>
      </c>
      <c r="F751" t="s">
        <v>56</v>
      </c>
      <c r="G751">
        <v>1</v>
      </c>
      <c r="H751" t="s">
        <v>29</v>
      </c>
      <c r="I751" t="s">
        <v>53</v>
      </c>
      <c r="J751" t="s">
        <v>39</v>
      </c>
      <c r="K751" t="s">
        <v>33</v>
      </c>
      <c r="L751">
        <v>52</v>
      </c>
      <c r="M751">
        <v>2</v>
      </c>
      <c r="N751" t="s">
        <v>40</v>
      </c>
      <c r="O751">
        <v>1</v>
      </c>
      <c r="P751">
        <v>5</v>
      </c>
      <c r="Q751">
        <v>4</v>
      </c>
      <c r="R751">
        <v>19845</v>
      </c>
      <c r="S751">
        <v>33</v>
      </c>
      <c r="T751">
        <v>3</v>
      </c>
      <c r="U751">
        <v>32</v>
      </c>
      <c r="V751">
        <v>14</v>
      </c>
      <c r="W751">
        <v>6</v>
      </c>
      <c r="X751">
        <v>9</v>
      </c>
      <c r="Y751">
        <f>IF(HR_data[[#This Row],[Attrition]]= "Yes",1,0)</f>
        <v>1</v>
      </c>
    </row>
    <row r="752" spans="1:25">
      <c r="A752">
        <v>751</v>
      </c>
      <c r="B752" t="s">
        <v>33</v>
      </c>
      <c r="C752" t="s">
        <v>25</v>
      </c>
      <c r="D752" t="s">
        <v>26</v>
      </c>
      <c r="E752" t="s">
        <v>27</v>
      </c>
      <c r="F752" t="s">
        <v>45</v>
      </c>
      <c r="G752">
        <v>1</v>
      </c>
      <c r="H752" t="s">
        <v>29</v>
      </c>
      <c r="I752" t="s">
        <v>30</v>
      </c>
      <c r="J752" t="s">
        <v>39</v>
      </c>
      <c r="K752" t="s">
        <v>24</v>
      </c>
      <c r="L752">
        <v>44</v>
      </c>
      <c r="M752">
        <v>28</v>
      </c>
      <c r="N752" t="s">
        <v>47</v>
      </c>
      <c r="O752">
        <v>4</v>
      </c>
      <c r="P752">
        <v>4</v>
      </c>
      <c r="Q752">
        <v>4</v>
      </c>
      <c r="R752">
        <v>13320</v>
      </c>
      <c r="S752">
        <v>23</v>
      </c>
      <c r="T752">
        <v>3</v>
      </c>
      <c r="U752">
        <v>12</v>
      </c>
      <c r="V752">
        <v>11</v>
      </c>
      <c r="W752">
        <v>11</v>
      </c>
      <c r="X752">
        <v>11</v>
      </c>
      <c r="Y752">
        <f>IF(HR_data[[#This Row],[Attrition]]= "Yes",1,0)</f>
        <v>0</v>
      </c>
    </row>
    <row r="753" spans="1:25">
      <c r="A753">
        <v>752</v>
      </c>
      <c r="B753" t="s">
        <v>33</v>
      </c>
      <c r="C753" t="s">
        <v>51</v>
      </c>
      <c r="D753" t="s">
        <v>35</v>
      </c>
      <c r="E753" t="s">
        <v>27</v>
      </c>
      <c r="F753" t="s">
        <v>28</v>
      </c>
      <c r="G753">
        <v>1</v>
      </c>
      <c r="H753" t="s">
        <v>29</v>
      </c>
      <c r="I753" t="s">
        <v>30</v>
      </c>
      <c r="J753" t="s">
        <v>39</v>
      </c>
      <c r="K753" t="s">
        <v>33</v>
      </c>
      <c r="L753">
        <v>50</v>
      </c>
      <c r="M753">
        <v>1</v>
      </c>
      <c r="N753" t="s">
        <v>47</v>
      </c>
      <c r="O753">
        <v>4</v>
      </c>
      <c r="P753">
        <v>2</v>
      </c>
      <c r="Q753">
        <v>3</v>
      </c>
      <c r="R753">
        <v>6347</v>
      </c>
      <c r="S753">
        <v>19</v>
      </c>
      <c r="T753">
        <v>3</v>
      </c>
      <c r="U753">
        <v>18</v>
      </c>
      <c r="V753">
        <v>7</v>
      </c>
      <c r="W753">
        <v>0</v>
      </c>
      <c r="X753">
        <v>13</v>
      </c>
      <c r="Y753">
        <f>IF(HR_data[[#This Row],[Attrition]]= "Yes",1,0)</f>
        <v>0</v>
      </c>
    </row>
    <row r="754" spans="1:25">
      <c r="A754">
        <v>753</v>
      </c>
      <c r="B754" t="s">
        <v>24</v>
      </c>
      <c r="C754" t="s">
        <v>25</v>
      </c>
      <c r="D754" t="s">
        <v>26</v>
      </c>
      <c r="E754" t="s">
        <v>36</v>
      </c>
      <c r="F754" t="s">
        <v>28</v>
      </c>
      <c r="G754">
        <v>1</v>
      </c>
      <c r="H754" t="s">
        <v>29</v>
      </c>
      <c r="I754" t="s">
        <v>42</v>
      </c>
      <c r="J754" t="s">
        <v>31</v>
      </c>
      <c r="K754" t="s">
        <v>33</v>
      </c>
      <c r="L754">
        <v>36</v>
      </c>
      <c r="M754">
        <v>16</v>
      </c>
      <c r="N754" t="s">
        <v>44</v>
      </c>
      <c r="O754">
        <v>3</v>
      </c>
      <c r="P754">
        <v>1</v>
      </c>
      <c r="Q754">
        <v>1</v>
      </c>
      <c r="R754">
        <v>2743</v>
      </c>
      <c r="S754">
        <v>18</v>
      </c>
      <c r="T754">
        <v>3</v>
      </c>
      <c r="U754">
        <v>17</v>
      </c>
      <c r="V754">
        <v>13</v>
      </c>
      <c r="W754">
        <v>15</v>
      </c>
      <c r="X754">
        <v>14</v>
      </c>
      <c r="Y754">
        <f>IF(HR_data[[#This Row],[Attrition]]= "Yes",1,0)</f>
        <v>1</v>
      </c>
    </row>
    <row r="755" spans="1:25">
      <c r="A755">
        <v>754</v>
      </c>
      <c r="B755" t="s">
        <v>33</v>
      </c>
      <c r="C755" t="s">
        <v>34</v>
      </c>
      <c r="D755" t="s">
        <v>26</v>
      </c>
      <c r="E755" t="s">
        <v>36</v>
      </c>
      <c r="F755" t="s">
        <v>45</v>
      </c>
      <c r="G755">
        <v>1</v>
      </c>
      <c r="H755" t="s">
        <v>29</v>
      </c>
      <c r="I755" t="s">
        <v>49</v>
      </c>
      <c r="J755" t="s">
        <v>31</v>
      </c>
      <c r="K755" t="s">
        <v>24</v>
      </c>
      <c r="L755">
        <v>39</v>
      </c>
      <c r="M755">
        <v>22</v>
      </c>
      <c r="N755" t="s">
        <v>47</v>
      </c>
      <c r="O755">
        <v>4</v>
      </c>
      <c r="P755">
        <v>3</v>
      </c>
      <c r="Q755">
        <v>1</v>
      </c>
      <c r="R755">
        <v>10880</v>
      </c>
      <c r="S755">
        <v>21</v>
      </c>
      <c r="T755">
        <v>3</v>
      </c>
      <c r="U755">
        <v>21</v>
      </c>
      <c r="V755">
        <v>6</v>
      </c>
      <c r="W755">
        <v>2</v>
      </c>
      <c r="X755">
        <v>8</v>
      </c>
      <c r="Y755">
        <f>IF(HR_data[[#This Row],[Attrition]]= "Yes",1,0)</f>
        <v>0</v>
      </c>
    </row>
    <row r="756" spans="1:25">
      <c r="A756">
        <v>755</v>
      </c>
      <c r="B756" t="s">
        <v>33</v>
      </c>
      <c r="C756" t="s">
        <v>51</v>
      </c>
      <c r="D756" t="s">
        <v>43</v>
      </c>
      <c r="E756" t="s">
        <v>27</v>
      </c>
      <c r="F756" t="s">
        <v>28</v>
      </c>
      <c r="G756">
        <v>1</v>
      </c>
      <c r="H756" t="s">
        <v>29</v>
      </c>
      <c r="I756" t="s">
        <v>54</v>
      </c>
      <c r="J756" t="s">
        <v>31</v>
      </c>
      <c r="K756" t="s">
        <v>33</v>
      </c>
      <c r="L756">
        <v>33</v>
      </c>
      <c r="M756">
        <v>8</v>
      </c>
      <c r="N756" t="s">
        <v>40</v>
      </c>
      <c r="O756">
        <v>2</v>
      </c>
      <c r="P756">
        <v>1</v>
      </c>
      <c r="Q756">
        <v>4</v>
      </c>
      <c r="R756">
        <v>2342</v>
      </c>
      <c r="S756">
        <v>3</v>
      </c>
      <c r="T756">
        <v>2</v>
      </c>
      <c r="U756">
        <v>2</v>
      </c>
      <c r="V756">
        <v>2</v>
      </c>
      <c r="W756">
        <v>2</v>
      </c>
      <c r="X756">
        <v>2</v>
      </c>
      <c r="Y756">
        <f>IF(HR_data[[#This Row],[Attrition]]= "Yes",1,0)</f>
        <v>0</v>
      </c>
    </row>
    <row r="757" spans="1:25">
      <c r="A757">
        <v>756</v>
      </c>
      <c r="B757" t="s">
        <v>33</v>
      </c>
      <c r="C757" t="s">
        <v>25</v>
      </c>
      <c r="D757" t="s">
        <v>35</v>
      </c>
      <c r="E757" t="s">
        <v>27</v>
      </c>
      <c r="F757" t="s">
        <v>28</v>
      </c>
      <c r="G757">
        <v>1</v>
      </c>
      <c r="H757" t="s">
        <v>29</v>
      </c>
      <c r="I757" t="s">
        <v>53</v>
      </c>
      <c r="J757" t="s">
        <v>39</v>
      </c>
      <c r="K757" t="s">
        <v>33</v>
      </c>
      <c r="L757">
        <v>45</v>
      </c>
      <c r="M757">
        <v>11</v>
      </c>
      <c r="N757" t="s">
        <v>32</v>
      </c>
      <c r="O757">
        <v>4</v>
      </c>
      <c r="P757">
        <v>4</v>
      </c>
      <c r="Q757">
        <v>4</v>
      </c>
      <c r="R757">
        <v>17650</v>
      </c>
      <c r="S757">
        <v>26</v>
      </c>
      <c r="T757">
        <v>4</v>
      </c>
      <c r="U757">
        <v>9</v>
      </c>
      <c r="V757">
        <v>3</v>
      </c>
      <c r="W757">
        <v>1</v>
      </c>
      <c r="X757">
        <v>1</v>
      </c>
      <c r="Y757">
        <f>IF(HR_data[[#This Row],[Attrition]]= "Yes",1,0)</f>
        <v>0</v>
      </c>
    </row>
    <row r="758" spans="1:25">
      <c r="A758">
        <v>757</v>
      </c>
      <c r="B758" t="s">
        <v>33</v>
      </c>
      <c r="C758" t="s">
        <v>51</v>
      </c>
      <c r="D758" t="s">
        <v>43</v>
      </c>
      <c r="E758" t="s">
        <v>36</v>
      </c>
      <c r="F758" t="s">
        <v>45</v>
      </c>
      <c r="G758">
        <v>1</v>
      </c>
      <c r="H758" t="s">
        <v>29</v>
      </c>
      <c r="I758" t="s">
        <v>42</v>
      </c>
      <c r="J758" t="s">
        <v>31</v>
      </c>
      <c r="K758" t="s">
        <v>33</v>
      </c>
      <c r="L758">
        <v>32</v>
      </c>
      <c r="M758">
        <v>29</v>
      </c>
      <c r="N758" t="s">
        <v>44</v>
      </c>
      <c r="O758">
        <v>4</v>
      </c>
      <c r="P758">
        <v>1</v>
      </c>
      <c r="Q758">
        <v>3</v>
      </c>
      <c r="R758">
        <v>4025</v>
      </c>
      <c r="S758">
        <v>10</v>
      </c>
      <c r="T758">
        <v>3</v>
      </c>
      <c r="U758">
        <v>8</v>
      </c>
      <c r="V758">
        <v>7</v>
      </c>
      <c r="W758">
        <v>7</v>
      </c>
      <c r="X758">
        <v>7</v>
      </c>
      <c r="Y758">
        <f>IF(HR_data[[#This Row],[Attrition]]= "Yes",1,0)</f>
        <v>0</v>
      </c>
    </row>
    <row r="759" spans="1:25">
      <c r="A759">
        <v>758</v>
      </c>
      <c r="B759" t="s">
        <v>33</v>
      </c>
      <c r="C759" t="s">
        <v>25</v>
      </c>
      <c r="D759" t="s">
        <v>43</v>
      </c>
      <c r="E759" t="s">
        <v>27</v>
      </c>
      <c r="F759" t="s">
        <v>56</v>
      </c>
      <c r="G759">
        <v>1</v>
      </c>
      <c r="H759" t="s">
        <v>37</v>
      </c>
      <c r="I759" t="s">
        <v>30</v>
      </c>
      <c r="J759" t="s">
        <v>48</v>
      </c>
      <c r="K759" t="s">
        <v>33</v>
      </c>
      <c r="L759">
        <v>34</v>
      </c>
      <c r="M759">
        <v>1</v>
      </c>
      <c r="N759" t="s">
        <v>44</v>
      </c>
      <c r="O759">
        <v>2</v>
      </c>
      <c r="P759">
        <v>2</v>
      </c>
      <c r="Q759">
        <v>4</v>
      </c>
      <c r="R759">
        <v>9725</v>
      </c>
      <c r="S759">
        <v>16</v>
      </c>
      <c r="T759">
        <v>2</v>
      </c>
      <c r="U759">
        <v>15</v>
      </c>
      <c r="V759">
        <v>1</v>
      </c>
      <c r="W759">
        <v>0</v>
      </c>
      <c r="X759">
        <v>9</v>
      </c>
      <c r="Y759">
        <f>IF(HR_data[[#This Row],[Attrition]]= "Yes",1,0)</f>
        <v>0</v>
      </c>
    </row>
    <row r="760" spans="1:25">
      <c r="A760">
        <v>759</v>
      </c>
      <c r="B760" t="s">
        <v>33</v>
      </c>
      <c r="C760" t="s">
        <v>25</v>
      </c>
      <c r="D760" t="s">
        <v>46</v>
      </c>
      <c r="E760" t="s">
        <v>27</v>
      </c>
      <c r="F760" t="s">
        <v>57</v>
      </c>
      <c r="G760">
        <v>1</v>
      </c>
      <c r="H760" t="s">
        <v>37</v>
      </c>
      <c r="I760" t="s">
        <v>53</v>
      </c>
      <c r="J760" t="s">
        <v>39</v>
      </c>
      <c r="K760" t="s">
        <v>24</v>
      </c>
      <c r="L760">
        <v>59</v>
      </c>
      <c r="M760">
        <v>1</v>
      </c>
      <c r="N760" t="s">
        <v>32</v>
      </c>
      <c r="O760">
        <v>2</v>
      </c>
      <c r="P760">
        <v>3</v>
      </c>
      <c r="Q760">
        <v>4</v>
      </c>
      <c r="R760">
        <v>11904</v>
      </c>
      <c r="S760">
        <v>14</v>
      </c>
      <c r="T760">
        <v>1</v>
      </c>
      <c r="U760">
        <v>6</v>
      </c>
      <c r="V760">
        <v>4</v>
      </c>
      <c r="W760">
        <v>0</v>
      </c>
      <c r="X760">
        <v>4</v>
      </c>
      <c r="Y760">
        <f>IF(HR_data[[#This Row],[Attrition]]= "Yes",1,0)</f>
        <v>0</v>
      </c>
    </row>
    <row r="761" spans="1:25">
      <c r="A761">
        <v>760</v>
      </c>
      <c r="B761" t="s">
        <v>33</v>
      </c>
      <c r="C761" t="s">
        <v>25</v>
      </c>
      <c r="D761" t="s">
        <v>35</v>
      </c>
      <c r="E761" t="s">
        <v>59</v>
      </c>
      <c r="F761" t="s">
        <v>45</v>
      </c>
      <c r="G761">
        <v>1</v>
      </c>
      <c r="H761" t="s">
        <v>37</v>
      </c>
      <c r="I761" t="s">
        <v>60</v>
      </c>
      <c r="J761" t="s">
        <v>31</v>
      </c>
      <c r="K761" t="s">
        <v>33</v>
      </c>
      <c r="L761">
        <v>45</v>
      </c>
      <c r="M761">
        <v>24</v>
      </c>
      <c r="N761" t="s">
        <v>44</v>
      </c>
      <c r="O761">
        <v>2</v>
      </c>
      <c r="P761">
        <v>1</v>
      </c>
      <c r="Q761">
        <v>2</v>
      </c>
      <c r="R761">
        <v>2177</v>
      </c>
      <c r="S761">
        <v>6</v>
      </c>
      <c r="T761">
        <v>3</v>
      </c>
      <c r="U761">
        <v>6</v>
      </c>
      <c r="V761">
        <v>3</v>
      </c>
      <c r="W761">
        <v>0</v>
      </c>
      <c r="X761">
        <v>4</v>
      </c>
      <c r="Y761">
        <f>IF(HR_data[[#This Row],[Attrition]]= "Yes",1,0)</f>
        <v>0</v>
      </c>
    </row>
    <row r="762" spans="1:25">
      <c r="A762">
        <v>761</v>
      </c>
      <c r="B762" t="s">
        <v>33</v>
      </c>
      <c r="C762" t="s">
        <v>34</v>
      </c>
      <c r="D762" t="s">
        <v>35</v>
      </c>
      <c r="E762" t="s">
        <v>27</v>
      </c>
      <c r="F762" t="s">
        <v>56</v>
      </c>
      <c r="G762">
        <v>1</v>
      </c>
      <c r="H762" t="s">
        <v>29</v>
      </c>
      <c r="I762" t="s">
        <v>30</v>
      </c>
      <c r="J762" t="s">
        <v>39</v>
      </c>
      <c r="K762" t="s">
        <v>33</v>
      </c>
      <c r="L762">
        <v>53</v>
      </c>
      <c r="M762">
        <v>2</v>
      </c>
      <c r="N762" t="s">
        <v>47</v>
      </c>
      <c r="O762">
        <v>3</v>
      </c>
      <c r="P762">
        <v>3</v>
      </c>
      <c r="Q762">
        <v>2</v>
      </c>
      <c r="R762">
        <v>7525</v>
      </c>
      <c r="S762">
        <v>30</v>
      </c>
      <c r="T762">
        <v>3</v>
      </c>
      <c r="U762">
        <v>15</v>
      </c>
      <c r="V762">
        <v>7</v>
      </c>
      <c r="W762">
        <v>6</v>
      </c>
      <c r="X762">
        <v>12</v>
      </c>
      <c r="Y762">
        <f>IF(HR_data[[#This Row],[Attrition]]= "Yes",1,0)</f>
        <v>0</v>
      </c>
    </row>
    <row r="763" spans="1:25">
      <c r="A763">
        <v>762</v>
      </c>
      <c r="B763" t="s">
        <v>24</v>
      </c>
      <c r="C763" t="s">
        <v>25</v>
      </c>
      <c r="D763" t="s">
        <v>26</v>
      </c>
      <c r="E763" t="s">
        <v>36</v>
      </c>
      <c r="F763" t="s">
        <v>41</v>
      </c>
      <c r="G763">
        <v>1</v>
      </c>
      <c r="H763" t="s">
        <v>37</v>
      </c>
      <c r="I763" t="s">
        <v>42</v>
      </c>
      <c r="J763" t="s">
        <v>48</v>
      </c>
      <c r="K763" t="s">
        <v>33</v>
      </c>
      <c r="L763">
        <v>36</v>
      </c>
      <c r="M763">
        <v>15</v>
      </c>
      <c r="N763" t="s">
        <v>47</v>
      </c>
      <c r="O763">
        <v>1</v>
      </c>
      <c r="P763">
        <v>2</v>
      </c>
      <c r="Q763">
        <v>3</v>
      </c>
      <c r="R763">
        <v>4834</v>
      </c>
      <c r="S763">
        <v>9</v>
      </c>
      <c r="T763">
        <v>2</v>
      </c>
      <c r="U763">
        <v>1</v>
      </c>
      <c r="V763">
        <v>0</v>
      </c>
      <c r="W763">
        <v>0</v>
      </c>
      <c r="X763">
        <v>0</v>
      </c>
      <c r="Y763">
        <f>IF(HR_data[[#This Row],[Attrition]]= "Yes",1,0)</f>
        <v>1</v>
      </c>
    </row>
    <row r="764" spans="1:25">
      <c r="A764">
        <v>763</v>
      </c>
      <c r="B764" t="s">
        <v>24</v>
      </c>
      <c r="C764" t="s">
        <v>34</v>
      </c>
      <c r="D764" t="s">
        <v>43</v>
      </c>
      <c r="E764" t="s">
        <v>36</v>
      </c>
      <c r="F764" t="s">
        <v>28</v>
      </c>
      <c r="G764">
        <v>1</v>
      </c>
      <c r="H764" t="s">
        <v>37</v>
      </c>
      <c r="I764" t="s">
        <v>38</v>
      </c>
      <c r="J764" t="s">
        <v>39</v>
      </c>
      <c r="K764" t="s">
        <v>24</v>
      </c>
      <c r="L764">
        <v>26</v>
      </c>
      <c r="M764">
        <v>2</v>
      </c>
      <c r="N764" t="s">
        <v>47</v>
      </c>
      <c r="O764">
        <v>1</v>
      </c>
      <c r="P764">
        <v>1</v>
      </c>
      <c r="Q764">
        <v>1</v>
      </c>
      <c r="R764">
        <v>2042</v>
      </c>
      <c r="S764">
        <v>6</v>
      </c>
      <c r="T764">
        <v>3</v>
      </c>
      <c r="U764">
        <v>3</v>
      </c>
      <c r="V764">
        <v>2</v>
      </c>
      <c r="W764">
        <v>1</v>
      </c>
      <c r="X764">
        <v>2</v>
      </c>
      <c r="Y764">
        <f>IF(HR_data[[#This Row],[Attrition]]= "Yes",1,0)</f>
        <v>1</v>
      </c>
    </row>
    <row r="765" spans="1:25">
      <c r="A765">
        <v>764</v>
      </c>
      <c r="B765" t="s">
        <v>33</v>
      </c>
      <c r="C765" t="s">
        <v>25</v>
      </c>
      <c r="D765" t="s">
        <v>43</v>
      </c>
      <c r="E765" t="s">
        <v>27</v>
      </c>
      <c r="F765" t="s">
        <v>28</v>
      </c>
      <c r="G765">
        <v>1</v>
      </c>
      <c r="H765" t="s">
        <v>29</v>
      </c>
      <c r="I765" t="s">
        <v>54</v>
      </c>
      <c r="J765" t="s">
        <v>39</v>
      </c>
      <c r="K765" t="s">
        <v>24</v>
      </c>
      <c r="L765">
        <v>34</v>
      </c>
      <c r="M765">
        <v>10</v>
      </c>
      <c r="N765" t="s">
        <v>44</v>
      </c>
      <c r="O765">
        <v>3</v>
      </c>
      <c r="P765">
        <v>1</v>
      </c>
      <c r="Q765">
        <v>3</v>
      </c>
      <c r="R765">
        <v>2220</v>
      </c>
      <c r="S765">
        <v>1</v>
      </c>
      <c r="T765">
        <v>3</v>
      </c>
      <c r="U765">
        <v>1</v>
      </c>
      <c r="V765">
        <v>1</v>
      </c>
      <c r="W765">
        <v>0</v>
      </c>
      <c r="X765">
        <v>0</v>
      </c>
      <c r="Y765">
        <f>IF(HR_data[[#This Row],[Attrition]]= "Yes",1,0)</f>
        <v>0</v>
      </c>
    </row>
    <row r="766" spans="1:25">
      <c r="A766">
        <v>765</v>
      </c>
      <c r="B766" t="s">
        <v>33</v>
      </c>
      <c r="C766" t="s">
        <v>25</v>
      </c>
      <c r="D766" t="s">
        <v>43</v>
      </c>
      <c r="E766" t="s">
        <v>27</v>
      </c>
      <c r="F766" t="s">
        <v>45</v>
      </c>
      <c r="G766">
        <v>1</v>
      </c>
      <c r="H766" t="s">
        <v>37</v>
      </c>
      <c r="I766" t="s">
        <v>54</v>
      </c>
      <c r="J766" t="s">
        <v>39</v>
      </c>
      <c r="K766" t="s">
        <v>33</v>
      </c>
      <c r="L766">
        <v>28</v>
      </c>
      <c r="M766">
        <v>10</v>
      </c>
      <c r="N766" t="s">
        <v>40</v>
      </c>
      <c r="O766">
        <v>4</v>
      </c>
      <c r="P766">
        <v>1</v>
      </c>
      <c r="Q766">
        <v>2</v>
      </c>
      <c r="R766">
        <v>1052</v>
      </c>
      <c r="S766">
        <v>1</v>
      </c>
      <c r="T766">
        <v>3</v>
      </c>
      <c r="U766">
        <v>1</v>
      </c>
      <c r="V766">
        <v>0</v>
      </c>
      <c r="W766">
        <v>0</v>
      </c>
      <c r="X766">
        <v>0</v>
      </c>
      <c r="Y766">
        <f>IF(HR_data[[#This Row],[Attrition]]= "Yes",1,0)</f>
        <v>0</v>
      </c>
    </row>
    <row r="767" spans="1:25">
      <c r="A767">
        <v>766</v>
      </c>
      <c r="B767" t="s">
        <v>33</v>
      </c>
      <c r="C767" t="s">
        <v>34</v>
      </c>
      <c r="D767" t="s">
        <v>26</v>
      </c>
      <c r="E767" t="s">
        <v>36</v>
      </c>
      <c r="F767" t="s">
        <v>41</v>
      </c>
      <c r="G767">
        <v>1</v>
      </c>
      <c r="H767" t="s">
        <v>37</v>
      </c>
      <c r="I767" t="s">
        <v>38</v>
      </c>
      <c r="J767" t="s">
        <v>39</v>
      </c>
      <c r="K767" t="s">
        <v>33</v>
      </c>
      <c r="L767">
        <v>38</v>
      </c>
      <c r="M767">
        <v>3</v>
      </c>
      <c r="N767" t="s">
        <v>44</v>
      </c>
      <c r="O767">
        <v>3</v>
      </c>
      <c r="P767">
        <v>1</v>
      </c>
      <c r="Q767">
        <v>3</v>
      </c>
      <c r="R767">
        <v>2821</v>
      </c>
      <c r="S767">
        <v>8</v>
      </c>
      <c r="T767">
        <v>3</v>
      </c>
      <c r="U767">
        <v>2</v>
      </c>
      <c r="V767">
        <v>2</v>
      </c>
      <c r="W767">
        <v>2</v>
      </c>
      <c r="X767">
        <v>2</v>
      </c>
      <c r="Y767">
        <f>IF(HR_data[[#This Row],[Attrition]]= "Yes",1,0)</f>
        <v>0</v>
      </c>
    </row>
    <row r="768" spans="1:25">
      <c r="A768">
        <v>767</v>
      </c>
      <c r="B768" t="s">
        <v>33</v>
      </c>
      <c r="C768" t="s">
        <v>25</v>
      </c>
      <c r="D768" t="s">
        <v>35</v>
      </c>
      <c r="E768" t="s">
        <v>36</v>
      </c>
      <c r="F768" t="s">
        <v>45</v>
      </c>
      <c r="G768">
        <v>1</v>
      </c>
      <c r="H768" t="s">
        <v>37</v>
      </c>
      <c r="I768" t="s">
        <v>55</v>
      </c>
      <c r="J768" t="s">
        <v>39</v>
      </c>
      <c r="K768" t="s">
        <v>24</v>
      </c>
      <c r="L768">
        <v>50</v>
      </c>
      <c r="M768">
        <v>2</v>
      </c>
      <c r="N768" t="s">
        <v>44</v>
      </c>
      <c r="O768">
        <v>2</v>
      </c>
      <c r="P768">
        <v>5</v>
      </c>
      <c r="Q768">
        <v>3</v>
      </c>
      <c r="R768">
        <v>19237</v>
      </c>
      <c r="S768">
        <v>29</v>
      </c>
      <c r="T768">
        <v>2</v>
      </c>
      <c r="U768">
        <v>8</v>
      </c>
      <c r="V768">
        <v>1</v>
      </c>
      <c r="W768">
        <v>7</v>
      </c>
      <c r="X768">
        <v>7</v>
      </c>
      <c r="Y768">
        <f>IF(HR_data[[#This Row],[Attrition]]= "Yes",1,0)</f>
        <v>0</v>
      </c>
    </row>
    <row r="769" spans="1:25">
      <c r="A769">
        <v>768</v>
      </c>
      <c r="B769" t="s">
        <v>33</v>
      </c>
      <c r="C769" t="s">
        <v>25</v>
      </c>
      <c r="D769" t="s">
        <v>26</v>
      </c>
      <c r="E769" t="s">
        <v>36</v>
      </c>
      <c r="F769" t="s">
        <v>41</v>
      </c>
      <c r="G769">
        <v>1</v>
      </c>
      <c r="H769" t="s">
        <v>29</v>
      </c>
      <c r="I769" t="s">
        <v>50</v>
      </c>
      <c r="J769" t="s">
        <v>31</v>
      </c>
      <c r="K769" t="s">
        <v>33</v>
      </c>
      <c r="L769">
        <v>37</v>
      </c>
      <c r="M769">
        <v>3</v>
      </c>
      <c r="N769" t="s">
        <v>47</v>
      </c>
      <c r="O769">
        <v>4</v>
      </c>
      <c r="P769">
        <v>2</v>
      </c>
      <c r="Q769">
        <v>2</v>
      </c>
      <c r="R769">
        <v>4107</v>
      </c>
      <c r="S769">
        <v>8</v>
      </c>
      <c r="T769">
        <v>2</v>
      </c>
      <c r="U769">
        <v>4</v>
      </c>
      <c r="V769">
        <v>3</v>
      </c>
      <c r="W769">
        <v>0</v>
      </c>
      <c r="X769">
        <v>1</v>
      </c>
      <c r="Y769">
        <f>IF(HR_data[[#This Row],[Attrition]]= "Yes",1,0)</f>
        <v>0</v>
      </c>
    </row>
    <row r="770" spans="1:25">
      <c r="A770">
        <v>769</v>
      </c>
      <c r="B770" t="s">
        <v>33</v>
      </c>
      <c r="C770" t="s">
        <v>25</v>
      </c>
      <c r="D770" t="s">
        <v>26</v>
      </c>
      <c r="E770" t="s">
        <v>27</v>
      </c>
      <c r="F770" t="s">
        <v>56</v>
      </c>
      <c r="G770">
        <v>1</v>
      </c>
      <c r="H770" t="s">
        <v>37</v>
      </c>
      <c r="I770" t="s">
        <v>30</v>
      </c>
      <c r="J770" t="s">
        <v>39</v>
      </c>
      <c r="K770" t="s">
        <v>33</v>
      </c>
      <c r="L770">
        <v>40</v>
      </c>
      <c r="M770">
        <v>26</v>
      </c>
      <c r="N770" t="s">
        <v>47</v>
      </c>
      <c r="O770">
        <v>3</v>
      </c>
      <c r="P770">
        <v>2</v>
      </c>
      <c r="Q770">
        <v>1</v>
      </c>
      <c r="R770">
        <v>8396</v>
      </c>
      <c r="S770">
        <v>8</v>
      </c>
      <c r="T770">
        <v>2</v>
      </c>
      <c r="U770">
        <v>7</v>
      </c>
      <c r="V770">
        <v>7</v>
      </c>
      <c r="W770">
        <v>7</v>
      </c>
      <c r="X770">
        <v>5</v>
      </c>
      <c r="Y770">
        <f>IF(HR_data[[#This Row],[Attrition]]= "Yes",1,0)</f>
        <v>0</v>
      </c>
    </row>
    <row r="771" spans="1:25">
      <c r="A771">
        <v>770</v>
      </c>
      <c r="B771" t="s">
        <v>33</v>
      </c>
      <c r="C771" t="s">
        <v>34</v>
      </c>
      <c r="D771" t="s">
        <v>43</v>
      </c>
      <c r="E771" t="s">
        <v>36</v>
      </c>
      <c r="F771" t="s">
        <v>45</v>
      </c>
      <c r="G771">
        <v>1</v>
      </c>
      <c r="H771" t="s">
        <v>29</v>
      </c>
      <c r="I771" t="s">
        <v>38</v>
      </c>
      <c r="J771" t="s">
        <v>48</v>
      </c>
      <c r="K771" t="s">
        <v>33</v>
      </c>
      <c r="L771">
        <v>26</v>
      </c>
      <c r="M771">
        <v>1</v>
      </c>
      <c r="N771" t="s">
        <v>40</v>
      </c>
      <c r="O771">
        <v>1</v>
      </c>
      <c r="P771">
        <v>1</v>
      </c>
      <c r="Q771">
        <v>3</v>
      </c>
      <c r="R771">
        <v>2007</v>
      </c>
      <c r="S771">
        <v>5</v>
      </c>
      <c r="T771">
        <v>3</v>
      </c>
      <c r="U771">
        <v>5</v>
      </c>
      <c r="V771">
        <v>3</v>
      </c>
      <c r="W771">
        <v>1</v>
      </c>
      <c r="X771">
        <v>3</v>
      </c>
      <c r="Y771">
        <f>IF(HR_data[[#This Row],[Attrition]]= "Yes",1,0)</f>
        <v>0</v>
      </c>
    </row>
    <row r="772" spans="1:25">
      <c r="A772">
        <v>771</v>
      </c>
      <c r="B772" t="s">
        <v>33</v>
      </c>
      <c r="C772" t="s">
        <v>25</v>
      </c>
      <c r="D772" t="s">
        <v>35</v>
      </c>
      <c r="E772" t="s">
        <v>36</v>
      </c>
      <c r="F772" t="s">
        <v>45</v>
      </c>
      <c r="G772">
        <v>1</v>
      </c>
      <c r="H772" t="s">
        <v>37</v>
      </c>
      <c r="I772" t="s">
        <v>55</v>
      </c>
      <c r="J772" t="s">
        <v>48</v>
      </c>
      <c r="K772" t="s">
        <v>33</v>
      </c>
      <c r="L772">
        <v>46</v>
      </c>
      <c r="M772">
        <v>1</v>
      </c>
      <c r="N772" t="s">
        <v>44</v>
      </c>
      <c r="O772">
        <v>4</v>
      </c>
      <c r="P772">
        <v>5</v>
      </c>
      <c r="Q772">
        <v>4</v>
      </c>
      <c r="R772">
        <v>19627</v>
      </c>
      <c r="S772">
        <v>23</v>
      </c>
      <c r="T772">
        <v>3</v>
      </c>
      <c r="U772">
        <v>2</v>
      </c>
      <c r="V772">
        <v>2</v>
      </c>
      <c r="W772">
        <v>2</v>
      </c>
      <c r="X772">
        <v>2</v>
      </c>
      <c r="Y772">
        <f>IF(HR_data[[#This Row],[Attrition]]= "Yes",1,0)</f>
        <v>0</v>
      </c>
    </row>
    <row r="773" spans="1:25">
      <c r="A773">
        <v>772</v>
      </c>
      <c r="B773" t="s">
        <v>33</v>
      </c>
      <c r="C773" t="s">
        <v>25</v>
      </c>
      <c r="D773" t="s">
        <v>35</v>
      </c>
      <c r="E773" t="s">
        <v>27</v>
      </c>
      <c r="F773" t="s">
        <v>28</v>
      </c>
      <c r="G773">
        <v>1</v>
      </c>
      <c r="H773" t="s">
        <v>29</v>
      </c>
      <c r="I773" t="s">
        <v>30</v>
      </c>
      <c r="J773" t="s">
        <v>39</v>
      </c>
      <c r="K773" t="s">
        <v>33</v>
      </c>
      <c r="L773">
        <v>54</v>
      </c>
      <c r="M773">
        <v>2</v>
      </c>
      <c r="N773" t="s">
        <v>44</v>
      </c>
      <c r="O773">
        <v>3</v>
      </c>
      <c r="P773">
        <v>3</v>
      </c>
      <c r="Q773">
        <v>3</v>
      </c>
      <c r="R773">
        <v>10686</v>
      </c>
      <c r="S773">
        <v>13</v>
      </c>
      <c r="T773">
        <v>3</v>
      </c>
      <c r="U773">
        <v>9</v>
      </c>
      <c r="V773">
        <v>4</v>
      </c>
      <c r="W773">
        <v>7</v>
      </c>
      <c r="X773">
        <v>0</v>
      </c>
      <c r="Y773">
        <f>IF(HR_data[[#This Row],[Attrition]]= "Yes",1,0)</f>
        <v>0</v>
      </c>
    </row>
    <row r="774" spans="1:25">
      <c r="A774">
        <v>773</v>
      </c>
      <c r="B774" t="s">
        <v>33</v>
      </c>
      <c r="C774" t="s">
        <v>34</v>
      </c>
      <c r="D774" t="s">
        <v>46</v>
      </c>
      <c r="E774" t="s">
        <v>36</v>
      </c>
      <c r="F774" t="s">
        <v>45</v>
      </c>
      <c r="G774">
        <v>1</v>
      </c>
      <c r="H774" t="s">
        <v>29</v>
      </c>
      <c r="I774" t="s">
        <v>38</v>
      </c>
      <c r="J774" t="s">
        <v>39</v>
      </c>
      <c r="K774" t="s">
        <v>33</v>
      </c>
      <c r="L774">
        <v>56</v>
      </c>
      <c r="M774">
        <v>9</v>
      </c>
      <c r="N774" t="s">
        <v>47</v>
      </c>
      <c r="O774">
        <v>1</v>
      </c>
      <c r="P774">
        <v>1</v>
      </c>
      <c r="Q774">
        <v>3</v>
      </c>
      <c r="R774">
        <v>2942</v>
      </c>
      <c r="S774">
        <v>18</v>
      </c>
      <c r="T774">
        <v>3</v>
      </c>
      <c r="U774">
        <v>5</v>
      </c>
      <c r="V774">
        <v>4</v>
      </c>
      <c r="W774">
        <v>0</v>
      </c>
      <c r="X774">
        <v>3</v>
      </c>
      <c r="Y774">
        <f>IF(HR_data[[#This Row],[Attrition]]= "Yes",1,0)</f>
        <v>0</v>
      </c>
    </row>
    <row r="775" spans="1:25">
      <c r="A775">
        <v>774</v>
      </c>
      <c r="B775" t="s">
        <v>33</v>
      </c>
      <c r="C775" t="s">
        <v>25</v>
      </c>
      <c r="D775" t="s">
        <v>26</v>
      </c>
      <c r="E775" t="s">
        <v>36</v>
      </c>
      <c r="F775" t="s">
        <v>45</v>
      </c>
      <c r="G775">
        <v>1</v>
      </c>
      <c r="H775" t="s">
        <v>29</v>
      </c>
      <c r="I775" t="s">
        <v>49</v>
      </c>
      <c r="J775" t="s">
        <v>31</v>
      </c>
      <c r="K775" t="s">
        <v>33</v>
      </c>
      <c r="L775">
        <v>36</v>
      </c>
      <c r="M775">
        <v>12</v>
      </c>
      <c r="N775" t="s">
        <v>58</v>
      </c>
      <c r="O775">
        <v>4</v>
      </c>
      <c r="P775">
        <v>3</v>
      </c>
      <c r="Q775">
        <v>4</v>
      </c>
      <c r="R775">
        <v>8858</v>
      </c>
      <c r="S775">
        <v>15</v>
      </c>
      <c r="T775">
        <v>2</v>
      </c>
      <c r="U775">
        <v>14</v>
      </c>
      <c r="V775">
        <v>8</v>
      </c>
      <c r="W775">
        <v>7</v>
      </c>
      <c r="X775">
        <v>8</v>
      </c>
      <c r="Y775">
        <f>IF(HR_data[[#This Row],[Attrition]]= "Yes",1,0)</f>
        <v>0</v>
      </c>
    </row>
    <row r="776" spans="1:25">
      <c r="A776">
        <v>775</v>
      </c>
      <c r="B776" t="s">
        <v>33</v>
      </c>
      <c r="C776" t="s">
        <v>51</v>
      </c>
      <c r="D776" t="s">
        <v>46</v>
      </c>
      <c r="E776" t="s">
        <v>36</v>
      </c>
      <c r="F776" t="s">
        <v>45</v>
      </c>
      <c r="G776">
        <v>1</v>
      </c>
      <c r="H776" t="s">
        <v>37</v>
      </c>
      <c r="I776" t="s">
        <v>53</v>
      </c>
      <c r="J776" t="s">
        <v>31</v>
      </c>
      <c r="K776" t="s">
        <v>33</v>
      </c>
      <c r="L776">
        <v>55</v>
      </c>
      <c r="M776">
        <v>2</v>
      </c>
      <c r="N776" t="s">
        <v>40</v>
      </c>
      <c r="O776">
        <v>3</v>
      </c>
      <c r="P776">
        <v>4</v>
      </c>
      <c r="Q776">
        <v>1</v>
      </c>
      <c r="R776">
        <v>16756</v>
      </c>
      <c r="S776">
        <v>31</v>
      </c>
      <c r="T776">
        <v>4</v>
      </c>
      <c r="U776">
        <v>9</v>
      </c>
      <c r="V776">
        <v>7</v>
      </c>
      <c r="W776">
        <v>6</v>
      </c>
      <c r="X776">
        <v>2</v>
      </c>
      <c r="Y776">
        <f>IF(HR_data[[#This Row],[Attrition]]= "Yes",1,0)</f>
        <v>0</v>
      </c>
    </row>
    <row r="777" spans="1:25">
      <c r="A777">
        <v>776</v>
      </c>
      <c r="B777" t="s">
        <v>33</v>
      </c>
      <c r="C777" t="s">
        <v>25</v>
      </c>
      <c r="D777" t="s">
        <v>26</v>
      </c>
      <c r="E777" t="s">
        <v>27</v>
      </c>
      <c r="F777" t="s">
        <v>45</v>
      </c>
      <c r="G777">
        <v>1</v>
      </c>
      <c r="H777" t="s">
        <v>37</v>
      </c>
      <c r="I777" t="s">
        <v>30</v>
      </c>
      <c r="J777" t="s">
        <v>48</v>
      </c>
      <c r="K777" t="s">
        <v>33</v>
      </c>
      <c r="L777">
        <v>43</v>
      </c>
      <c r="M777">
        <v>25</v>
      </c>
      <c r="N777" t="s">
        <v>47</v>
      </c>
      <c r="O777">
        <v>3</v>
      </c>
      <c r="P777">
        <v>3</v>
      </c>
      <c r="Q777">
        <v>4</v>
      </c>
      <c r="R777">
        <v>10798</v>
      </c>
      <c r="S777">
        <v>18</v>
      </c>
      <c r="T777">
        <v>3</v>
      </c>
      <c r="U777">
        <v>1</v>
      </c>
      <c r="V777">
        <v>0</v>
      </c>
      <c r="W777">
        <v>0</v>
      </c>
      <c r="X777">
        <v>0</v>
      </c>
      <c r="Y777">
        <f>IF(HR_data[[#This Row],[Attrition]]= "Yes",1,0)</f>
        <v>0</v>
      </c>
    </row>
    <row r="778" spans="1:25">
      <c r="A778">
        <v>777</v>
      </c>
      <c r="B778" t="s">
        <v>24</v>
      </c>
      <c r="C778" t="s">
        <v>34</v>
      </c>
      <c r="D778" t="s">
        <v>52</v>
      </c>
      <c r="E778" t="s">
        <v>27</v>
      </c>
      <c r="F778" t="s">
        <v>56</v>
      </c>
      <c r="G778">
        <v>1</v>
      </c>
      <c r="H778" t="s">
        <v>29</v>
      </c>
      <c r="I778" t="s">
        <v>54</v>
      </c>
      <c r="J778" t="s">
        <v>31</v>
      </c>
      <c r="K778" t="s">
        <v>24</v>
      </c>
      <c r="L778">
        <v>20</v>
      </c>
      <c r="M778">
        <v>9</v>
      </c>
      <c r="N778" t="s">
        <v>47</v>
      </c>
      <c r="O778">
        <v>4</v>
      </c>
      <c r="P778">
        <v>1</v>
      </c>
      <c r="Q778">
        <v>4</v>
      </c>
      <c r="R778">
        <v>2323</v>
      </c>
      <c r="S778">
        <v>2</v>
      </c>
      <c r="T778">
        <v>3</v>
      </c>
      <c r="U778">
        <v>2</v>
      </c>
      <c r="V778">
        <v>2</v>
      </c>
      <c r="W778">
        <v>0</v>
      </c>
      <c r="X778">
        <v>2</v>
      </c>
      <c r="Y778">
        <f>IF(HR_data[[#This Row],[Attrition]]= "Yes",1,0)</f>
        <v>1</v>
      </c>
    </row>
    <row r="779" spans="1:25">
      <c r="A779">
        <v>778</v>
      </c>
      <c r="B779" t="s">
        <v>24</v>
      </c>
      <c r="C779" t="s">
        <v>25</v>
      </c>
      <c r="D779" t="s">
        <v>52</v>
      </c>
      <c r="E779" t="s">
        <v>36</v>
      </c>
      <c r="F779" t="s">
        <v>28</v>
      </c>
      <c r="G779">
        <v>1</v>
      </c>
      <c r="H779" t="s">
        <v>29</v>
      </c>
      <c r="I779" t="s">
        <v>42</v>
      </c>
      <c r="J779" t="s">
        <v>31</v>
      </c>
      <c r="K779" t="s">
        <v>33</v>
      </c>
      <c r="L779">
        <v>21</v>
      </c>
      <c r="M779">
        <v>10</v>
      </c>
      <c r="N779" t="s">
        <v>47</v>
      </c>
      <c r="O779">
        <v>3</v>
      </c>
      <c r="P779">
        <v>1</v>
      </c>
      <c r="Q779">
        <v>1</v>
      </c>
      <c r="R779">
        <v>1416</v>
      </c>
      <c r="S779">
        <v>1</v>
      </c>
      <c r="T779">
        <v>2</v>
      </c>
      <c r="U779">
        <v>1</v>
      </c>
      <c r="V779">
        <v>0</v>
      </c>
      <c r="W779">
        <v>1</v>
      </c>
      <c r="X779">
        <v>0</v>
      </c>
      <c r="Y779">
        <f>IF(HR_data[[#This Row],[Attrition]]= "Yes",1,0)</f>
        <v>1</v>
      </c>
    </row>
    <row r="780" spans="1:25">
      <c r="A780">
        <v>779</v>
      </c>
      <c r="B780" t="s">
        <v>33</v>
      </c>
      <c r="C780" t="s">
        <v>25</v>
      </c>
      <c r="D780" t="s">
        <v>35</v>
      </c>
      <c r="E780" t="s">
        <v>36</v>
      </c>
      <c r="F780" t="s">
        <v>28</v>
      </c>
      <c r="G780">
        <v>1</v>
      </c>
      <c r="H780" t="s">
        <v>29</v>
      </c>
      <c r="I780" t="s">
        <v>38</v>
      </c>
      <c r="J780" t="s">
        <v>48</v>
      </c>
      <c r="K780" t="s">
        <v>24</v>
      </c>
      <c r="L780">
        <v>46</v>
      </c>
      <c r="M780">
        <v>8</v>
      </c>
      <c r="N780" t="s">
        <v>44</v>
      </c>
      <c r="O780">
        <v>4</v>
      </c>
      <c r="P780">
        <v>2</v>
      </c>
      <c r="Q780">
        <v>1</v>
      </c>
      <c r="R780">
        <v>4615</v>
      </c>
      <c r="S780">
        <v>19</v>
      </c>
      <c r="T780">
        <v>3</v>
      </c>
      <c r="U780">
        <v>16</v>
      </c>
      <c r="V780">
        <v>13</v>
      </c>
      <c r="W780">
        <v>1</v>
      </c>
      <c r="X780">
        <v>7</v>
      </c>
      <c r="Y780">
        <f>IF(HR_data[[#This Row],[Attrition]]= "Yes",1,0)</f>
        <v>0</v>
      </c>
    </row>
    <row r="781" spans="1:25">
      <c r="A781">
        <v>780</v>
      </c>
      <c r="B781" t="s">
        <v>24</v>
      </c>
      <c r="C781" t="s">
        <v>25</v>
      </c>
      <c r="D781" t="s">
        <v>35</v>
      </c>
      <c r="E781" t="s">
        <v>36</v>
      </c>
      <c r="F781" t="s">
        <v>28</v>
      </c>
      <c r="G781">
        <v>1</v>
      </c>
      <c r="H781" t="s">
        <v>37</v>
      </c>
      <c r="I781" t="s">
        <v>38</v>
      </c>
      <c r="J781" t="s">
        <v>39</v>
      </c>
      <c r="K781" t="s">
        <v>24</v>
      </c>
      <c r="L781">
        <v>51</v>
      </c>
      <c r="M781">
        <v>4</v>
      </c>
      <c r="N781" t="s">
        <v>44</v>
      </c>
      <c r="O781">
        <v>1</v>
      </c>
      <c r="P781">
        <v>1</v>
      </c>
      <c r="Q781">
        <v>3</v>
      </c>
      <c r="R781">
        <v>2461</v>
      </c>
      <c r="S781">
        <v>18</v>
      </c>
      <c r="T781">
        <v>4</v>
      </c>
      <c r="U781">
        <v>10</v>
      </c>
      <c r="V781">
        <v>0</v>
      </c>
      <c r="W781">
        <v>2</v>
      </c>
      <c r="X781">
        <v>7</v>
      </c>
      <c r="Y781">
        <f>IF(HR_data[[#This Row],[Attrition]]= "Yes",1,0)</f>
        <v>1</v>
      </c>
    </row>
    <row r="782" spans="1:25">
      <c r="A782">
        <v>781</v>
      </c>
      <c r="B782" t="s">
        <v>24</v>
      </c>
      <c r="C782" t="s">
        <v>51</v>
      </c>
      <c r="D782" t="s">
        <v>43</v>
      </c>
      <c r="E782" t="s">
        <v>36</v>
      </c>
      <c r="F782" t="s">
        <v>57</v>
      </c>
      <c r="G782">
        <v>1</v>
      </c>
      <c r="H782" t="s">
        <v>37</v>
      </c>
      <c r="I782" t="s">
        <v>50</v>
      </c>
      <c r="J782" t="s">
        <v>31</v>
      </c>
      <c r="K782" t="s">
        <v>33</v>
      </c>
      <c r="L782">
        <v>28</v>
      </c>
      <c r="M782">
        <v>24</v>
      </c>
      <c r="N782" t="s">
        <v>32</v>
      </c>
      <c r="O782">
        <v>2</v>
      </c>
      <c r="P782">
        <v>3</v>
      </c>
      <c r="Q782">
        <v>1</v>
      </c>
      <c r="R782">
        <v>8722</v>
      </c>
      <c r="S782">
        <v>10</v>
      </c>
      <c r="T782">
        <v>2</v>
      </c>
      <c r="U782">
        <v>10</v>
      </c>
      <c r="V782">
        <v>7</v>
      </c>
      <c r="W782">
        <v>1</v>
      </c>
      <c r="X782">
        <v>9</v>
      </c>
      <c r="Y782">
        <f>IF(HR_data[[#This Row],[Attrition]]= "Yes",1,0)</f>
        <v>1</v>
      </c>
    </row>
    <row r="783" spans="1:25">
      <c r="A783">
        <v>782</v>
      </c>
      <c r="B783" t="s">
        <v>33</v>
      </c>
      <c r="C783" t="s">
        <v>25</v>
      </c>
      <c r="D783" t="s">
        <v>43</v>
      </c>
      <c r="E783" t="s">
        <v>36</v>
      </c>
      <c r="F783" t="s">
        <v>45</v>
      </c>
      <c r="G783">
        <v>1</v>
      </c>
      <c r="H783" t="s">
        <v>37</v>
      </c>
      <c r="I783" t="s">
        <v>42</v>
      </c>
      <c r="J783" t="s">
        <v>39</v>
      </c>
      <c r="K783" t="s">
        <v>33</v>
      </c>
      <c r="L783">
        <v>26</v>
      </c>
      <c r="M783">
        <v>1</v>
      </c>
      <c r="N783" t="s">
        <v>32</v>
      </c>
      <c r="O783">
        <v>1</v>
      </c>
      <c r="P783">
        <v>1</v>
      </c>
      <c r="Q783">
        <v>1</v>
      </c>
      <c r="R783">
        <v>3955</v>
      </c>
      <c r="S783">
        <v>6</v>
      </c>
      <c r="T783">
        <v>3</v>
      </c>
      <c r="U783">
        <v>5</v>
      </c>
      <c r="V783">
        <v>3</v>
      </c>
      <c r="W783">
        <v>1</v>
      </c>
      <c r="X783">
        <v>3</v>
      </c>
      <c r="Y783">
        <f>IF(HR_data[[#This Row],[Attrition]]= "Yes",1,0)</f>
        <v>0</v>
      </c>
    </row>
    <row r="784" spans="1:25">
      <c r="A784">
        <v>783</v>
      </c>
      <c r="B784" t="s">
        <v>33</v>
      </c>
      <c r="C784" t="s">
        <v>25</v>
      </c>
      <c r="D784" t="s">
        <v>43</v>
      </c>
      <c r="E784" t="s">
        <v>36</v>
      </c>
      <c r="F784" t="s">
        <v>41</v>
      </c>
      <c r="G784">
        <v>1</v>
      </c>
      <c r="H784" t="s">
        <v>37</v>
      </c>
      <c r="I784" t="s">
        <v>49</v>
      </c>
      <c r="J784" t="s">
        <v>39</v>
      </c>
      <c r="K784" t="s">
        <v>33</v>
      </c>
      <c r="L784">
        <v>30</v>
      </c>
      <c r="M784">
        <v>20</v>
      </c>
      <c r="N784" t="s">
        <v>47</v>
      </c>
      <c r="O784">
        <v>3</v>
      </c>
      <c r="P784">
        <v>2</v>
      </c>
      <c r="Q784">
        <v>1</v>
      </c>
      <c r="R784">
        <v>9957</v>
      </c>
      <c r="S784">
        <v>7</v>
      </c>
      <c r="T784">
        <v>2</v>
      </c>
      <c r="U784">
        <v>6</v>
      </c>
      <c r="V784">
        <v>2</v>
      </c>
      <c r="W784">
        <v>0</v>
      </c>
      <c r="X784">
        <v>2</v>
      </c>
      <c r="Y784">
        <f>IF(HR_data[[#This Row],[Attrition]]= "Yes",1,0)</f>
        <v>0</v>
      </c>
    </row>
    <row r="785" spans="1:25">
      <c r="A785">
        <v>784</v>
      </c>
      <c r="B785" t="s">
        <v>33</v>
      </c>
      <c r="C785" t="s">
        <v>25</v>
      </c>
      <c r="D785" t="s">
        <v>26</v>
      </c>
      <c r="E785" t="s">
        <v>36</v>
      </c>
      <c r="F785" t="s">
        <v>57</v>
      </c>
      <c r="G785">
        <v>1</v>
      </c>
      <c r="H785" t="s">
        <v>29</v>
      </c>
      <c r="I785" t="s">
        <v>38</v>
      </c>
      <c r="J785" t="s">
        <v>39</v>
      </c>
      <c r="K785" t="s">
        <v>33</v>
      </c>
      <c r="L785">
        <v>41</v>
      </c>
      <c r="M785">
        <v>7</v>
      </c>
      <c r="N785" t="s">
        <v>32</v>
      </c>
      <c r="O785">
        <v>2</v>
      </c>
      <c r="P785">
        <v>1</v>
      </c>
      <c r="Q785">
        <v>3</v>
      </c>
      <c r="R785">
        <v>3376</v>
      </c>
      <c r="S785">
        <v>10</v>
      </c>
      <c r="T785">
        <v>3</v>
      </c>
      <c r="U785">
        <v>10</v>
      </c>
      <c r="V785">
        <v>6</v>
      </c>
      <c r="W785">
        <v>0</v>
      </c>
      <c r="X785">
        <v>8</v>
      </c>
      <c r="Y785">
        <f>IF(HR_data[[#This Row],[Attrition]]= "Yes",1,0)</f>
        <v>0</v>
      </c>
    </row>
    <row r="786" spans="1:25">
      <c r="A786">
        <v>785</v>
      </c>
      <c r="B786" t="s">
        <v>33</v>
      </c>
      <c r="C786" t="s">
        <v>25</v>
      </c>
      <c r="D786" t="s">
        <v>26</v>
      </c>
      <c r="E786" t="s">
        <v>36</v>
      </c>
      <c r="F786" t="s">
        <v>28</v>
      </c>
      <c r="G786">
        <v>1</v>
      </c>
      <c r="H786" t="s">
        <v>29</v>
      </c>
      <c r="I786" t="s">
        <v>50</v>
      </c>
      <c r="J786" t="s">
        <v>39</v>
      </c>
      <c r="K786" t="s">
        <v>33</v>
      </c>
      <c r="L786">
        <v>38</v>
      </c>
      <c r="M786">
        <v>17</v>
      </c>
      <c r="N786" t="s">
        <v>40</v>
      </c>
      <c r="O786">
        <v>3</v>
      </c>
      <c r="P786">
        <v>3</v>
      </c>
      <c r="Q786">
        <v>3</v>
      </c>
      <c r="R786">
        <v>8823</v>
      </c>
      <c r="S786">
        <v>20</v>
      </c>
      <c r="T786">
        <v>2</v>
      </c>
      <c r="U786">
        <v>19</v>
      </c>
      <c r="V786">
        <v>9</v>
      </c>
      <c r="W786">
        <v>1</v>
      </c>
      <c r="X786">
        <v>9</v>
      </c>
      <c r="Y786">
        <f>IF(HR_data[[#This Row],[Attrition]]= "Yes",1,0)</f>
        <v>0</v>
      </c>
    </row>
    <row r="787" spans="1:25">
      <c r="A787">
        <v>786</v>
      </c>
      <c r="B787" t="s">
        <v>33</v>
      </c>
      <c r="C787" t="s">
        <v>25</v>
      </c>
      <c r="D787" t="s">
        <v>26</v>
      </c>
      <c r="E787" t="s">
        <v>36</v>
      </c>
      <c r="F787" t="s">
        <v>57</v>
      </c>
      <c r="G787">
        <v>1</v>
      </c>
      <c r="H787" t="s">
        <v>37</v>
      </c>
      <c r="I787" t="s">
        <v>50</v>
      </c>
      <c r="J787" t="s">
        <v>39</v>
      </c>
      <c r="K787" t="s">
        <v>33</v>
      </c>
      <c r="L787">
        <v>40</v>
      </c>
      <c r="M787">
        <v>20</v>
      </c>
      <c r="N787" t="s">
        <v>44</v>
      </c>
      <c r="O787">
        <v>1</v>
      </c>
      <c r="P787">
        <v>3</v>
      </c>
      <c r="Q787">
        <v>4</v>
      </c>
      <c r="R787">
        <v>10322</v>
      </c>
      <c r="S787">
        <v>14</v>
      </c>
      <c r="T787">
        <v>3</v>
      </c>
      <c r="U787">
        <v>11</v>
      </c>
      <c r="V787">
        <v>10</v>
      </c>
      <c r="W787">
        <v>11</v>
      </c>
      <c r="X787">
        <v>1</v>
      </c>
      <c r="Y787">
        <f>IF(HR_data[[#This Row],[Attrition]]= "Yes",1,0)</f>
        <v>0</v>
      </c>
    </row>
    <row r="788" spans="1:25">
      <c r="A788">
        <v>787</v>
      </c>
      <c r="B788" t="s">
        <v>33</v>
      </c>
      <c r="C788" t="s">
        <v>51</v>
      </c>
      <c r="D788" t="s">
        <v>43</v>
      </c>
      <c r="E788" t="s">
        <v>36</v>
      </c>
      <c r="F788" t="s">
        <v>28</v>
      </c>
      <c r="G788">
        <v>1</v>
      </c>
      <c r="H788" t="s">
        <v>37</v>
      </c>
      <c r="I788" t="s">
        <v>42</v>
      </c>
      <c r="J788" t="s">
        <v>39</v>
      </c>
      <c r="K788" t="s">
        <v>33</v>
      </c>
      <c r="L788">
        <v>27</v>
      </c>
      <c r="M788">
        <v>8</v>
      </c>
      <c r="N788" t="s">
        <v>58</v>
      </c>
      <c r="O788">
        <v>1</v>
      </c>
      <c r="P788">
        <v>1</v>
      </c>
      <c r="Q788">
        <v>3</v>
      </c>
      <c r="R788">
        <v>4621</v>
      </c>
      <c r="S788">
        <v>3</v>
      </c>
      <c r="T788">
        <v>3</v>
      </c>
      <c r="U788">
        <v>3</v>
      </c>
      <c r="V788">
        <v>2</v>
      </c>
      <c r="W788">
        <v>1</v>
      </c>
      <c r="X788">
        <v>2</v>
      </c>
      <c r="Y788">
        <f>IF(HR_data[[#This Row],[Attrition]]= "Yes",1,0)</f>
        <v>0</v>
      </c>
    </row>
    <row r="789" spans="1:25">
      <c r="A789">
        <v>788</v>
      </c>
      <c r="B789" t="s">
        <v>33</v>
      </c>
      <c r="C789" t="s">
        <v>34</v>
      </c>
      <c r="D789" t="s">
        <v>46</v>
      </c>
      <c r="E789" t="s">
        <v>36</v>
      </c>
      <c r="F789" t="s">
        <v>28</v>
      </c>
      <c r="G789">
        <v>1</v>
      </c>
      <c r="H789" t="s">
        <v>37</v>
      </c>
      <c r="I789" t="s">
        <v>49</v>
      </c>
      <c r="J789" t="s">
        <v>39</v>
      </c>
      <c r="K789" t="s">
        <v>33</v>
      </c>
      <c r="L789">
        <v>55</v>
      </c>
      <c r="M789">
        <v>2</v>
      </c>
      <c r="N789" t="s">
        <v>40</v>
      </c>
      <c r="O789">
        <v>4</v>
      </c>
      <c r="P789">
        <v>3</v>
      </c>
      <c r="Q789">
        <v>2</v>
      </c>
      <c r="R789">
        <v>10976</v>
      </c>
      <c r="S789">
        <v>23</v>
      </c>
      <c r="T789">
        <v>3</v>
      </c>
      <c r="U789">
        <v>3</v>
      </c>
      <c r="V789">
        <v>2</v>
      </c>
      <c r="W789">
        <v>1</v>
      </c>
      <c r="X789">
        <v>2</v>
      </c>
      <c r="Y789">
        <f>IF(HR_data[[#This Row],[Attrition]]= "Yes",1,0)</f>
        <v>0</v>
      </c>
    </row>
    <row r="790" spans="1:25">
      <c r="A790">
        <v>789</v>
      </c>
      <c r="B790" t="s">
        <v>33</v>
      </c>
      <c r="C790" t="s">
        <v>25</v>
      </c>
      <c r="D790" t="s">
        <v>43</v>
      </c>
      <c r="E790" t="s">
        <v>36</v>
      </c>
      <c r="F790" t="s">
        <v>41</v>
      </c>
      <c r="G790">
        <v>1</v>
      </c>
      <c r="H790" t="s">
        <v>29</v>
      </c>
      <c r="I790" t="s">
        <v>38</v>
      </c>
      <c r="J790" t="s">
        <v>31</v>
      </c>
      <c r="K790" t="s">
        <v>33</v>
      </c>
      <c r="L790">
        <v>28</v>
      </c>
      <c r="M790">
        <v>10</v>
      </c>
      <c r="N790" t="s">
        <v>47</v>
      </c>
      <c r="O790">
        <v>3</v>
      </c>
      <c r="P790">
        <v>2</v>
      </c>
      <c r="Q790">
        <v>3</v>
      </c>
      <c r="R790">
        <v>3660</v>
      </c>
      <c r="S790">
        <v>10</v>
      </c>
      <c r="T790">
        <v>4</v>
      </c>
      <c r="U790">
        <v>8</v>
      </c>
      <c r="V790">
        <v>7</v>
      </c>
      <c r="W790">
        <v>1</v>
      </c>
      <c r="X790">
        <v>7</v>
      </c>
      <c r="Y790">
        <f>IF(HR_data[[#This Row],[Attrition]]= "Yes",1,0)</f>
        <v>0</v>
      </c>
    </row>
    <row r="791" spans="1:25">
      <c r="A791">
        <v>790</v>
      </c>
      <c r="B791" t="s">
        <v>24</v>
      </c>
      <c r="C791" t="s">
        <v>25</v>
      </c>
      <c r="D791" t="s">
        <v>26</v>
      </c>
      <c r="E791" t="s">
        <v>59</v>
      </c>
      <c r="F791" t="s">
        <v>45</v>
      </c>
      <c r="G791">
        <v>1</v>
      </c>
      <c r="H791" t="s">
        <v>37</v>
      </c>
      <c r="I791" t="s">
        <v>60</v>
      </c>
      <c r="J791" t="s">
        <v>39</v>
      </c>
      <c r="K791" t="s">
        <v>33</v>
      </c>
      <c r="L791">
        <v>44</v>
      </c>
      <c r="M791">
        <v>1</v>
      </c>
      <c r="N791" t="s">
        <v>32</v>
      </c>
      <c r="O791">
        <v>2</v>
      </c>
      <c r="P791">
        <v>3</v>
      </c>
      <c r="Q791">
        <v>1</v>
      </c>
      <c r="R791">
        <v>10482</v>
      </c>
      <c r="S791">
        <v>24</v>
      </c>
      <c r="T791">
        <v>3</v>
      </c>
      <c r="U791">
        <v>20</v>
      </c>
      <c r="V791">
        <v>6</v>
      </c>
      <c r="W791">
        <v>3</v>
      </c>
      <c r="X791">
        <v>6</v>
      </c>
      <c r="Y791">
        <f>IF(HR_data[[#This Row],[Attrition]]= "Yes",1,0)</f>
        <v>1</v>
      </c>
    </row>
    <row r="792" spans="1:25">
      <c r="A792">
        <v>791</v>
      </c>
      <c r="B792" t="s">
        <v>33</v>
      </c>
      <c r="C792" t="s">
        <v>25</v>
      </c>
      <c r="D792" t="s">
        <v>43</v>
      </c>
      <c r="E792" t="s">
        <v>36</v>
      </c>
      <c r="F792" t="s">
        <v>28</v>
      </c>
      <c r="G792">
        <v>1</v>
      </c>
      <c r="H792" t="s">
        <v>37</v>
      </c>
      <c r="I792" t="s">
        <v>50</v>
      </c>
      <c r="J792" t="s">
        <v>48</v>
      </c>
      <c r="K792" t="s">
        <v>33</v>
      </c>
      <c r="L792">
        <v>33</v>
      </c>
      <c r="M792">
        <v>5</v>
      </c>
      <c r="N792" t="s">
        <v>47</v>
      </c>
      <c r="O792">
        <v>4</v>
      </c>
      <c r="P792">
        <v>3</v>
      </c>
      <c r="Q792">
        <v>4</v>
      </c>
      <c r="R792">
        <v>7119</v>
      </c>
      <c r="S792">
        <v>9</v>
      </c>
      <c r="T792">
        <v>3</v>
      </c>
      <c r="U792">
        <v>3</v>
      </c>
      <c r="V792">
        <v>2</v>
      </c>
      <c r="W792">
        <v>1</v>
      </c>
      <c r="X792">
        <v>2</v>
      </c>
      <c r="Y792">
        <f>IF(HR_data[[#This Row],[Attrition]]= "Yes",1,0)</f>
        <v>0</v>
      </c>
    </row>
    <row r="793" spans="1:25">
      <c r="A793">
        <v>792</v>
      </c>
      <c r="B793" t="s">
        <v>24</v>
      </c>
      <c r="C793" t="s">
        <v>25</v>
      </c>
      <c r="D793" t="s">
        <v>26</v>
      </c>
      <c r="E793" t="s">
        <v>27</v>
      </c>
      <c r="F793" t="s">
        <v>57</v>
      </c>
      <c r="G793">
        <v>1</v>
      </c>
      <c r="H793" t="s">
        <v>37</v>
      </c>
      <c r="I793" t="s">
        <v>30</v>
      </c>
      <c r="J793" t="s">
        <v>31</v>
      </c>
      <c r="K793" t="s">
        <v>24</v>
      </c>
      <c r="L793">
        <v>35</v>
      </c>
      <c r="M793">
        <v>4</v>
      </c>
      <c r="N793" t="s">
        <v>47</v>
      </c>
      <c r="O793">
        <v>4</v>
      </c>
      <c r="P793">
        <v>3</v>
      </c>
      <c r="Q793">
        <v>1</v>
      </c>
      <c r="R793">
        <v>9582</v>
      </c>
      <c r="S793">
        <v>9</v>
      </c>
      <c r="T793">
        <v>3</v>
      </c>
      <c r="U793">
        <v>8</v>
      </c>
      <c r="V793">
        <v>7</v>
      </c>
      <c r="W793">
        <v>4</v>
      </c>
      <c r="X793">
        <v>7</v>
      </c>
      <c r="Y793">
        <f>IF(HR_data[[#This Row],[Attrition]]= "Yes",1,0)</f>
        <v>1</v>
      </c>
    </row>
    <row r="794" spans="1:25">
      <c r="A794">
        <v>793</v>
      </c>
      <c r="B794" t="s">
        <v>24</v>
      </c>
      <c r="C794" t="s">
        <v>34</v>
      </c>
      <c r="D794" t="s">
        <v>43</v>
      </c>
      <c r="E794" t="s">
        <v>36</v>
      </c>
      <c r="F794" t="s">
        <v>45</v>
      </c>
      <c r="G794">
        <v>1</v>
      </c>
      <c r="H794" t="s">
        <v>29</v>
      </c>
      <c r="I794" t="s">
        <v>38</v>
      </c>
      <c r="J794" t="s">
        <v>31</v>
      </c>
      <c r="K794" t="s">
        <v>33</v>
      </c>
      <c r="L794">
        <v>33</v>
      </c>
      <c r="M794">
        <v>29</v>
      </c>
      <c r="N794" t="s">
        <v>44</v>
      </c>
      <c r="O794">
        <v>1</v>
      </c>
      <c r="P794">
        <v>2</v>
      </c>
      <c r="Q794">
        <v>3</v>
      </c>
      <c r="R794">
        <v>4508</v>
      </c>
      <c r="S794">
        <v>14</v>
      </c>
      <c r="T794">
        <v>3</v>
      </c>
      <c r="U794">
        <v>13</v>
      </c>
      <c r="V794">
        <v>7</v>
      </c>
      <c r="W794">
        <v>3</v>
      </c>
      <c r="X794">
        <v>8</v>
      </c>
      <c r="Y794">
        <f>IF(HR_data[[#This Row],[Attrition]]= "Yes",1,0)</f>
        <v>1</v>
      </c>
    </row>
    <row r="795" spans="1:25">
      <c r="A795">
        <v>794</v>
      </c>
      <c r="B795" t="s">
        <v>33</v>
      </c>
      <c r="C795" t="s">
        <v>25</v>
      </c>
      <c r="D795" t="s">
        <v>43</v>
      </c>
      <c r="E795" t="s">
        <v>36</v>
      </c>
      <c r="F795" t="s">
        <v>28</v>
      </c>
      <c r="G795">
        <v>1</v>
      </c>
      <c r="H795" t="s">
        <v>37</v>
      </c>
      <c r="I795" t="s">
        <v>42</v>
      </c>
      <c r="J795" t="s">
        <v>48</v>
      </c>
      <c r="K795" t="s">
        <v>33</v>
      </c>
      <c r="L795">
        <v>28</v>
      </c>
      <c r="M795">
        <v>15</v>
      </c>
      <c r="N795" t="s">
        <v>32</v>
      </c>
      <c r="O795">
        <v>1</v>
      </c>
      <c r="P795">
        <v>1</v>
      </c>
      <c r="Q795">
        <v>3</v>
      </c>
      <c r="R795">
        <v>2207</v>
      </c>
      <c r="S795">
        <v>4</v>
      </c>
      <c r="T795">
        <v>2</v>
      </c>
      <c r="U795">
        <v>4</v>
      </c>
      <c r="V795">
        <v>2</v>
      </c>
      <c r="W795">
        <v>2</v>
      </c>
      <c r="X795">
        <v>2</v>
      </c>
      <c r="Y795">
        <f>IF(HR_data[[#This Row],[Attrition]]= "Yes",1,0)</f>
        <v>0</v>
      </c>
    </row>
    <row r="796" spans="1:25">
      <c r="A796">
        <v>795</v>
      </c>
      <c r="B796" t="s">
        <v>33</v>
      </c>
      <c r="C796" t="s">
        <v>34</v>
      </c>
      <c r="D796" t="s">
        <v>43</v>
      </c>
      <c r="E796" t="s">
        <v>36</v>
      </c>
      <c r="F796" t="s">
        <v>28</v>
      </c>
      <c r="G796">
        <v>1</v>
      </c>
      <c r="H796" t="s">
        <v>37</v>
      </c>
      <c r="I796" t="s">
        <v>50</v>
      </c>
      <c r="J796" t="s">
        <v>31</v>
      </c>
      <c r="K796" t="s">
        <v>33</v>
      </c>
      <c r="L796">
        <v>34</v>
      </c>
      <c r="M796">
        <v>3</v>
      </c>
      <c r="N796" t="s">
        <v>40</v>
      </c>
      <c r="O796">
        <v>1</v>
      </c>
      <c r="P796">
        <v>2</v>
      </c>
      <c r="Q796">
        <v>4</v>
      </c>
      <c r="R796">
        <v>7756</v>
      </c>
      <c r="S796">
        <v>7</v>
      </c>
      <c r="T796">
        <v>2</v>
      </c>
      <c r="U796">
        <v>6</v>
      </c>
      <c r="V796">
        <v>2</v>
      </c>
      <c r="W796">
        <v>0</v>
      </c>
      <c r="X796">
        <v>4</v>
      </c>
      <c r="Y796">
        <f>IF(HR_data[[#This Row],[Attrition]]= "Yes",1,0)</f>
        <v>0</v>
      </c>
    </row>
    <row r="797" spans="1:25">
      <c r="A797">
        <v>796</v>
      </c>
      <c r="B797" t="s">
        <v>33</v>
      </c>
      <c r="C797" t="s">
        <v>25</v>
      </c>
      <c r="D797" t="s">
        <v>26</v>
      </c>
      <c r="E797" t="s">
        <v>27</v>
      </c>
      <c r="F797" t="s">
        <v>28</v>
      </c>
      <c r="G797">
        <v>1</v>
      </c>
      <c r="H797" t="s">
        <v>29</v>
      </c>
      <c r="I797" t="s">
        <v>30</v>
      </c>
      <c r="J797" t="s">
        <v>48</v>
      </c>
      <c r="K797" t="s">
        <v>24</v>
      </c>
      <c r="L797">
        <v>37</v>
      </c>
      <c r="M797">
        <v>10</v>
      </c>
      <c r="N797" t="s">
        <v>44</v>
      </c>
      <c r="O797">
        <v>4</v>
      </c>
      <c r="P797">
        <v>2</v>
      </c>
      <c r="Q797">
        <v>4</v>
      </c>
      <c r="R797">
        <v>6694</v>
      </c>
      <c r="S797">
        <v>8</v>
      </c>
      <c r="T797">
        <v>3</v>
      </c>
      <c r="U797">
        <v>1</v>
      </c>
      <c r="V797">
        <v>0</v>
      </c>
      <c r="W797">
        <v>0</v>
      </c>
      <c r="X797">
        <v>0</v>
      </c>
      <c r="Y797">
        <f>IF(HR_data[[#This Row],[Attrition]]= "Yes",1,0)</f>
        <v>0</v>
      </c>
    </row>
    <row r="798" spans="1:25">
      <c r="A798">
        <v>797</v>
      </c>
      <c r="B798" t="s">
        <v>24</v>
      </c>
      <c r="C798" t="s">
        <v>25</v>
      </c>
      <c r="D798" t="s">
        <v>43</v>
      </c>
      <c r="E798" t="s">
        <v>36</v>
      </c>
      <c r="F798" t="s">
        <v>57</v>
      </c>
      <c r="G798">
        <v>1</v>
      </c>
      <c r="H798" t="s">
        <v>37</v>
      </c>
      <c r="I798" t="s">
        <v>42</v>
      </c>
      <c r="J798" t="s">
        <v>39</v>
      </c>
      <c r="K798" t="s">
        <v>24</v>
      </c>
      <c r="L798">
        <v>25</v>
      </c>
      <c r="M798">
        <v>4</v>
      </c>
      <c r="N798" t="s">
        <v>40</v>
      </c>
      <c r="O798">
        <v>4</v>
      </c>
      <c r="P798">
        <v>1</v>
      </c>
      <c r="Q798">
        <v>4</v>
      </c>
      <c r="R798">
        <v>3691</v>
      </c>
      <c r="S798">
        <v>7</v>
      </c>
      <c r="T798">
        <v>4</v>
      </c>
      <c r="U798">
        <v>7</v>
      </c>
      <c r="V798">
        <v>7</v>
      </c>
      <c r="W798">
        <v>5</v>
      </c>
      <c r="X798">
        <v>6</v>
      </c>
      <c r="Y798">
        <f>IF(HR_data[[#This Row],[Attrition]]= "Yes",1,0)</f>
        <v>1</v>
      </c>
    </row>
    <row r="799" spans="1:25">
      <c r="A799">
        <v>798</v>
      </c>
      <c r="B799" t="s">
        <v>24</v>
      </c>
      <c r="C799" t="s">
        <v>25</v>
      </c>
      <c r="D799" t="s">
        <v>43</v>
      </c>
      <c r="E799" t="s">
        <v>36</v>
      </c>
      <c r="F799" t="s">
        <v>45</v>
      </c>
      <c r="G799">
        <v>1</v>
      </c>
      <c r="H799" t="s">
        <v>37</v>
      </c>
      <c r="I799" t="s">
        <v>42</v>
      </c>
      <c r="J799" t="s">
        <v>48</v>
      </c>
      <c r="K799" t="s">
        <v>33</v>
      </c>
      <c r="L799">
        <v>26</v>
      </c>
      <c r="M799">
        <v>21</v>
      </c>
      <c r="N799" t="s">
        <v>47</v>
      </c>
      <c r="O799">
        <v>1</v>
      </c>
      <c r="P799">
        <v>1</v>
      </c>
      <c r="Q799">
        <v>3</v>
      </c>
      <c r="R799">
        <v>2377</v>
      </c>
      <c r="S799">
        <v>1</v>
      </c>
      <c r="T799">
        <v>2</v>
      </c>
      <c r="U799">
        <v>1</v>
      </c>
      <c r="V799">
        <v>1</v>
      </c>
      <c r="W799">
        <v>0</v>
      </c>
      <c r="X799">
        <v>0</v>
      </c>
      <c r="Y799">
        <f>IF(HR_data[[#This Row],[Attrition]]= "Yes",1,0)</f>
        <v>1</v>
      </c>
    </row>
    <row r="800" spans="1:25">
      <c r="A800">
        <v>799</v>
      </c>
      <c r="B800" t="s">
        <v>24</v>
      </c>
      <c r="C800" t="s">
        <v>25</v>
      </c>
      <c r="D800" t="s">
        <v>43</v>
      </c>
      <c r="E800" t="s">
        <v>36</v>
      </c>
      <c r="F800" t="s">
        <v>45</v>
      </c>
      <c r="G800">
        <v>1</v>
      </c>
      <c r="H800" t="s">
        <v>37</v>
      </c>
      <c r="I800" t="s">
        <v>38</v>
      </c>
      <c r="J800" t="s">
        <v>31</v>
      </c>
      <c r="K800" t="s">
        <v>24</v>
      </c>
      <c r="L800">
        <v>33</v>
      </c>
      <c r="M800">
        <v>25</v>
      </c>
      <c r="N800" t="s">
        <v>47</v>
      </c>
      <c r="O800">
        <v>1</v>
      </c>
      <c r="P800">
        <v>1</v>
      </c>
      <c r="Q800">
        <v>2</v>
      </c>
      <c r="R800">
        <v>2313</v>
      </c>
      <c r="S800">
        <v>5</v>
      </c>
      <c r="T800">
        <v>3</v>
      </c>
      <c r="U800">
        <v>2</v>
      </c>
      <c r="V800">
        <v>2</v>
      </c>
      <c r="W800">
        <v>2</v>
      </c>
      <c r="X800">
        <v>2</v>
      </c>
      <c r="Y800">
        <f>IF(HR_data[[#This Row],[Attrition]]= "Yes",1,0)</f>
        <v>1</v>
      </c>
    </row>
    <row r="801" spans="1:25">
      <c r="A801">
        <v>800</v>
      </c>
      <c r="B801" t="s">
        <v>33</v>
      </c>
      <c r="C801" t="s">
        <v>25</v>
      </c>
      <c r="D801" t="s">
        <v>26</v>
      </c>
      <c r="E801" t="s">
        <v>36</v>
      </c>
      <c r="F801" t="s">
        <v>45</v>
      </c>
      <c r="G801">
        <v>1</v>
      </c>
      <c r="H801" t="s">
        <v>37</v>
      </c>
      <c r="I801" t="s">
        <v>53</v>
      </c>
      <c r="J801" t="s">
        <v>39</v>
      </c>
      <c r="K801" t="s">
        <v>33</v>
      </c>
      <c r="L801">
        <v>42</v>
      </c>
      <c r="M801">
        <v>2</v>
      </c>
      <c r="N801" t="s">
        <v>32</v>
      </c>
      <c r="O801">
        <v>4</v>
      </c>
      <c r="P801">
        <v>4</v>
      </c>
      <c r="Q801">
        <v>1</v>
      </c>
      <c r="R801">
        <v>17665</v>
      </c>
      <c r="S801">
        <v>23</v>
      </c>
      <c r="T801">
        <v>3</v>
      </c>
      <c r="U801">
        <v>22</v>
      </c>
      <c r="V801">
        <v>6</v>
      </c>
      <c r="W801">
        <v>13</v>
      </c>
      <c r="X801">
        <v>7</v>
      </c>
      <c r="Y801">
        <f>IF(HR_data[[#This Row],[Attrition]]= "Yes",1,0)</f>
        <v>0</v>
      </c>
    </row>
    <row r="802" spans="1:25">
      <c r="A802">
        <v>801</v>
      </c>
      <c r="B802" t="s">
        <v>24</v>
      </c>
      <c r="C802" t="s">
        <v>34</v>
      </c>
      <c r="D802" t="s">
        <v>43</v>
      </c>
      <c r="E802" t="s">
        <v>36</v>
      </c>
      <c r="F802" t="s">
        <v>45</v>
      </c>
      <c r="G802">
        <v>1</v>
      </c>
      <c r="H802" t="s">
        <v>37</v>
      </c>
      <c r="I802" t="s">
        <v>42</v>
      </c>
      <c r="J802" t="s">
        <v>48</v>
      </c>
      <c r="K802" t="s">
        <v>33</v>
      </c>
      <c r="L802">
        <v>28</v>
      </c>
      <c r="M802">
        <v>1</v>
      </c>
      <c r="N802" t="s">
        <v>47</v>
      </c>
      <c r="O802">
        <v>1</v>
      </c>
      <c r="P802">
        <v>1</v>
      </c>
      <c r="Q802">
        <v>2</v>
      </c>
      <c r="R802">
        <v>2596</v>
      </c>
      <c r="S802">
        <v>1</v>
      </c>
      <c r="T802">
        <v>3</v>
      </c>
      <c r="U802">
        <v>1</v>
      </c>
      <c r="V802">
        <v>0</v>
      </c>
      <c r="W802">
        <v>0</v>
      </c>
      <c r="X802">
        <v>0</v>
      </c>
      <c r="Y802">
        <f>IF(HR_data[[#This Row],[Attrition]]= "Yes",1,0)</f>
        <v>1</v>
      </c>
    </row>
    <row r="803" spans="1:25">
      <c r="A803">
        <v>802</v>
      </c>
      <c r="B803" t="s">
        <v>24</v>
      </c>
      <c r="C803" t="s">
        <v>34</v>
      </c>
      <c r="D803" t="s">
        <v>35</v>
      </c>
      <c r="E803" t="s">
        <v>27</v>
      </c>
      <c r="F803" t="s">
        <v>41</v>
      </c>
      <c r="G803">
        <v>1</v>
      </c>
      <c r="H803" t="s">
        <v>37</v>
      </c>
      <c r="I803" t="s">
        <v>30</v>
      </c>
      <c r="J803" t="s">
        <v>31</v>
      </c>
      <c r="K803" t="s">
        <v>24</v>
      </c>
      <c r="L803">
        <v>50</v>
      </c>
      <c r="M803">
        <v>1</v>
      </c>
      <c r="N803" t="s">
        <v>44</v>
      </c>
      <c r="O803">
        <v>4</v>
      </c>
      <c r="P803">
        <v>2</v>
      </c>
      <c r="Q803">
        <v>3</v>
      </c>
      <c r="R803">
        <v>4728</v>
      </c>
      <c r="S803">
        <v>5</v>
      </c>
      <c r="T803">
        <v>3</v>
      </c>
      <c r="U803">
        <v>0</v>
      </c>
      <c r="V803">
        <v>0</v>
      </c>
      <c r="W803">
        <v>0</v>
      </c>
      <c r="X803">
        <v>0</v>
      </c>
      <c r="Y803">
        <f>IF(HR_data[[#This Row],[Attrition]]= "Yes",1,0)</f>
        <v>1</v>
      </c>
    </row>
    <row r="804" spans="1:25">
      <c r="A804">
        <v>803</v>
      </c>
      <c r="B804" t="s">
        <v>33</v>
      </c>
      <c r="C804" t="s">
        <v>34</v>
      </c>
      <c r="D804" t="s">
        <v>43</v>
      </c>
      <c r="E804" t="s">
        <v>27</v>
      </c>
      <c r="F804" t="s">
        <v>28</v>
      </c>
      <c r="G804">
        <v>1</v>
      </c>
      <c r="H804" t="s">
        <v>29</v>
      </c>
      <c r="I804" t="s">
        <v>30</v>
      </c>
      <c r="J804" t="s">
        <v>39</v>
      </c>
      <c r="K804" t="s">
        <v>33</v>
      </c>
      <c r="L804">
        <v>33</v>
      </c>
      <c r="M804">
        <v>7</v>
      </c>
      <c r="N804" t="s">
        <v>47</v>
      </c>
      <c r="O804">
        <v>4</v>
      </c>
      <c r="P804">
        <v>2</v>
      </c>
      <c r="Q804">
        <v>2</v>
      </c>
      <c r="R804">
        <v>4302</v>
      </c>
      <c r="S804">
        <v>4</v>
      </c>
      <c r="T804">
        <v>3</v>
      </c>
      <c r="U804">
        <v>3</v>
      </c>
      <c r="V804">
        <v>2</v>
      </c>
      <c r="W804">
        <v>0</v>
      </c>
      <c r="X804">
        <v>2</v>
      </c>
      <c r="Y804">
        <f>IF(HR_data[[#This Row],[Attrition]]= "Yes",1,0)</f>
        <v>0</v>
      </c>
    </row>
    <row r="805" spans="1:25">
      <c r="A805">
        <v>804</v>
      </c>
      <c r="B805" t="s">
        <v>33</v>
      </c>
      <c r="C805" t="s">
        <v>51</v>
      </c>
      <c r="D805" t="s">
        <v>43</v>
      </c>
      <c r="E805" t="s">
        <v>36</v>
      </c>
      <c r="F805" t="s">
        <v>28</v>
      </c>
      <c r="G805">
        <v>1</v>
      </c>
      <c r="H805" t="s">
        <v>37</v>
      </c>
      <c r="I805" t="s">
        <v>38</v>
      </c>
      <c r="J805" t="s">
        <v>39</v>
      </c>
      <c r="K805" t="s">
        <v>33</v>
      </c>
      <c r="L805">
        <v>34</v>
      </c>
      <c r="M805">
        <v>3</v>
      </c>
      <c r="N805" t="s">
        <v>44</v>
      </c>
      <c r="O805">
        <v>3</v>
      </c>
      <c r="P805">
        <v>1</v>
      </c>
      <c r="Q805">
        <v>4</v>
      </c>
      <c r="R805">
        <v>2979</v>
      </c>
      <c r="S805">
        <v>6</v>
      </c>
      <c r="T805">
        <v>3</v>
      </c>
      <c r="U805">
        <v>0</v>
      </c>
      <c r="V805">
        <v>0</v>
      </c>
      <c r="W805">
        <v>0</v>
      </c>
      <c r="X805">
        <v>0</v>
      </c>
      <c r="Y805">
        <f>IF(HR_data[[#This Row],[Attrition]]= "Yes",1,0)</f>
        <v>0</v>
      </c>
    </row>
    <row r="806" spans="1:25">
      <c r="A806">
        <v>805</v>
      </c>
      <c r="B806" t="s">
        <v>33</v>
      </c>
      <c r="C806" t="s">
        <v>51</v>
      </c>
      <c r="D806" t="s">
        <v>35</v>
      </c>
      <c r="E806" t="s">
        <v>36</v>
      </c>
      <c r="F806" t="s">
        <v>45</v>
      </c>
      <c r="G806">
        <v>1</v>
      </c>
      <c r="H806" t="s">
        <v>37</v>
      </c>
      <c r="I806" t="s">
        <v>53</v>
      </c>
      <c r="J806" t="s">
        <v>31</v>
      </c>
      <c r="K806" t="s">
        <v>33</v>
      </c>
      <c r="L806">
        <v>48</v>
      </c>
      <c r="M806">
        <v>1</v>
      </c>
      <c r="N806" t="s">
        <v>44</v>
      </c>
      <c r="O806">
        <v>1</v>
      </c>
      <c r="P806">
        <v>4</v>
      </c>
      <c r="Q806">
        <v>4</v>
      </c>
      <c r="R806">
        <v>16885</v>
      </c>
      <c r="S806">
        <v>27</v>
      </c>
      <c r="T806">
        <v>2</v>
      </c>
      <c r="U806">
        <v>5</v>
      </c>
      <c r="V806">
        <v>4</v>
      </c>
      <c r="W806">
        <v>2</v>
      </c>
      <c r="X806">
        <v>1</v>
      </c>
      <c r="Y806">
        <f>IF(HR_data[[#This Row],[Attrition]]= "Yes",1,0)</f>
        <v>0</v>
      </c>
    </row>
    <row r="807" spans="1:25">
      <c r="A807">
        <v>806</v>
      </c>
      <c r="B807" t="s">
        <v>33</v>
      </c>
      <c r="C807" t="s">
        <v>51</v>
      </c>
      <c r="D807" t="s">
        <v>35</v>
      </c>
      <c r="E807" t="s">
        <v>27</v>
      </c>
      <c r="F807" t="s">
        <v>28</v>
      </c>
      <c r="G807">
        <v>1</v>
      </c>
      <c r="H807" t="s">
        <v>29</v>
      </c>
      <c r="I807" t="s">
        <v>30</v>
      </c>
      <c r="J807" t="s">
        <v>39</v>
      </c>
      <c r="K807" t="s">
        <v>33</v>
      </c>
      <c r="L807">
        <v>45</v>
      </c>
      <c r="M807">
        <v>9</v>
      </c>
      <c r="N807" t="s">
        <v>44</v>
      </c>
      <c r="O807">
        <v>2</v>
      </c>
      <c r="P807">
        <v>2</v>
      </c>
      <c r="Q807">
        <v>3</v>
      </c>
      <c r="R807">
        <v>5593</v>
      </c>
      <c r="S807">
        <v>15</v>
      </c>
      <c r="T807">
        <v>3</v>
      </c>
      <c r="U807">
        <v>15</v>
      </c>
      <c r="V807">
        <v>10</v>
      </c>
      <c r="W807">
        <v>4</v>
      </c>
      <c r="X807">
        <v>12</v>
      </c>
      <c r="Y807">
        <f>IF(HR_data[[#This Row],[Attrition]]= "Yes",1,0)</f>
        <v>0</v>
      </c>
    </row>
    <row r="808" spans="1:25">
      <c r="A808">
        <v>807</v>
      </c>
      <c r="B808" t="s">
        <v>33</v>
      </c>
      <c r="C808" t="s">
        <v>25</v>
      </c>
      <c r="D808" t="s">
        <v>35</v>
      </c>
      <c r="E808" t="s">
        <v>36</v>
      </c>
      <c r="F808" t="s">
        <v>28</v>
      </c>
      <c r="G808">
        <v>1</v>
      </c>
      <c r="H808" t="s">
        <v>37</v>
      </c>
      <c r="I808" t="s">
        <v>50</v>
      </c>
      <c r="J808" t="s">
        <v>31</v>
      </c>
      <c r="K808" t="s">
        <v>33</v>
      </c>
      <c r="L808">
        <v>52</v>
      </c>
      <c r="M808">
        <v>7</v>
      </c>
      <c r="N808" t="s">
        <v>44</v>
      </c>
      <c r="O808">
        <v>2</v>
      </c>
      <c r="P808">
        <v>3</v>
      </c>
      <c r="Q808">
        <v>2</v>
      </c>
      <c r="R808">
        <v>10445</v>
      </c>
      <c r="S808">
        <v>18</v>
      </c>
      <c r="T808">
        <v>3</v>
      </c>
      <c r="U808">
        <v>8</v>
      </c>
      <c r="V808">
        <v>6</v>
      </c>
      <c r="W808">
        <v>4</v>
      </c>
      <c r="X808">
        <v>0</v>
      </c>
      <c r="Y808">
        <f>IF(HR_data[[#This Row],[Attrition]]= "Yes",1,0)</f>
        <v>0</v>
      </c>
    </row>
    <row r="809" spans="1:25">
      <c r="A809">
        <v>808</v>
      </c>
      <c r="B809" t="s">
        <v>33</v>
      </c>
      <c r="C809" t="s">
        <v>25</v>
      </c>
      <c r="D809" t="s">
        <v>26</v>
      </c>
      <c r="E809" t="s">
        <v>27</v>
      </c>
      <c r="F809" t="s">
        <v>56</v>
      </c>
      <c r="G809">
        <v>1</v>
      </c>
      <c r="H809" t="s">
        <v>37</v>
      </c>
      <c r="I809" t="s">
        <v>30</v>
      </c>
      <c r="J809" t="s">
        <v>48</v>
      </c>
      <c r="K809" t="s">
        <v>24</v>
      </c>
      <c r="L809">
        <v>38</v>
      </c>
      <c r="M809">
        <v>10</v>
      </c>
      <c r="N809" t="s">
        <v>44</v>
      </c>
      <c r="O809">
        <v>3</v>
      </c>
      <c r="P809">
        <v>3</v>
      </c>
      <c r="Q809">
        <v>3</v>
      </c>
      <c r="R809">
        <v>8740</v>
      </c>
      <c r="S809">
        <v>9</v>
      </c>
      <c r="T809">
        <v>3</v>
      </c>
      <c r="U809">
        <v>8</v>
      </c>
      <c r="V809">
        <v>7</v>
      </c>
      <c r="W809">
        <v>2</v>
      </c>
      <c r="X809">
        <v>7</v>
      </c>
      <c r="Y809">
        <f>IF(HR_data[[#This Row],[Attrition]]= "Yes",1,0)</f>
        <v>0</v>
      </c>
    </row>
    <row r="810" spans="1:25">
      <c r="A810">
        <v>809</v>
      </c>
      <c r="B810" t="s">
        <v>33</v>
      </c>
      <c r="C810" t="s">
        <v>25</v>
      </c>
      <c r="D810" t="s">
        <v>43</v>
      </c>
      <c r="E810" t="s">
        <v>36</v>
      </c>
      <c r="F810" t="s">
        <v>28</v>
      </c>
      <c r="G810">
        <v>1</v>
      </c>
      <c r="H810" t="s">
        <v>29</v>
      </c>
      <c r="I810" t="s">
        <v>38</v>
      </c>
      <c r="J810" t="s">
        <v>48</v>
      </c>
      <c r="K810" t="s">
        <v>33</v>
      </c>
      <c r="L810">
        <v>29</v>
      </c>
      <c r="M810">
        <v>28</v>
      </c>
      <c r="N810" t="s">
        <v>44</v>
      </c>
      <c r="O810">
        <v>3</v>
      </c>
      <c r="P810">
        <v>1</v>
      </c>
      <c r="Q810">
        <v>4</v>
      </c>
      <c r="R810">
        <v>2514</v>
      </c>
      <c r="S810">
        <v>11</v>
      </c>
      <c r="T810">
        <v>3</v>
      </c>
      <c r="U810">
        <v>7</v>
      </c>
      <c r="V810">
        <v>5</v>
      </c>
      <c r="W810">
        <v>1</v>
      </c>
      <c r="X810">
        <v>7</v>
      </c>
      <c r="Y810">
        <f>IF(HR_data[[#This Row],[Attrition]]= "Yes",1,0)</f>
        <v>0</v>
      </c>
    </row>
    <row r="811" spans="1:25">
      <c r="A811">
        <v>810</v>
      </c>
      <c r="B811" t="s">
        <v>33</v>
      </c>
      <c r="C811" t="s">
        <v>25</v>
      </c>
      <c r="D811" t="s">
        <v>43</v>
      </c>
      <c r="E811" t="s">
        <v>36</v>
      </c>
      <c r="F811" t="s">
        <v>45</v>
      </c>
      <c r="G811">
        <v>1</v>
      </c>
      <c r="H811" t="s">
        <v>29</v>
      </c>
      <c r="I811" t="s">
        <v>49</v>
      </c>
      <c r="J811" t="s">
        <v>48</v>
      </c>
      <c r="K811" t="s">
        <v>33</v>
      </c>
      <c r="L811">
        <v>28</v>
      </c>
      <c r="M811">
        <v>3</v>
      </c>
      <c r="N811" t="s">
        <v>47</v>
      </c>
      <c r="O811">
        <v>4</v>
      </c>
      <c r="P811">
        <v>3</v>
      </c>
      <c r="Q811">
        <v>2</v>
      </c>
      <c r="R811">
        <v>7655</v>
      </c>
      <c r="S811">
        <v>10</v>
      </c>
      <c r="T811">
        <v>2</v>
      </c>
      <c r="U811">
        <v>9</v>
      </c>
      <c r="V811">
        <v>7</v>
      </c>
      <c r="W811">
        <v>1</v>
      </c>
      <c r="X811">
        <v>7</v>
      </c>
      <c r="Y811">
        <f>IF(HR_data[[#This Row],[Attrition]]= "Yes",1,0)</f>
        <v>0</v>
      </c>
    </row>
    <row r="812" spans="1:25">
      <c r="A812">
        <v>811</v>
      </c>
      <c r="B812" t="s">
        <v>33</v>
      </c>
      <c r="C812" t="s">
        <v>25</v>
      </c>
      <c r="D812" t="s">
        <v>35</v>
      </c>
      <c r="E812" t="s">
        <v>27</v>
      </c>
      <c r="F812" t="s">
        <v>56</v>
      </c>
      <c r="G812">
        <v>1</v>
      </c>
      <c r="H812" t="s">
        <v>37</v>
      </c>
      <c r="I812" t="s">
        <v>53</v>
      </c>
      <c r="J812" t="s">
        <v>39</v>
      </c>
      <c r="K812" t="s">
        <v>33</v>
      </c>
      <c r="L812">
        <v>46</v>
      </c>
      <c r="M812">
        <v>3</v>
      </c>
      <c r="N812" t="s">
        <v>40</v>
      </c>
      <c r="O812">
        <v>1</v>
      </c>
      <c r="P812">
        <v>4</v>
      </c>
      <c r="Q812">
        <v>3</v>
      </c>
      <c r="R812">
        <v>17465</v>
      </c>
      <c r="S812">
        <v>23</v>
      </c>
      <c r="T812">
        <v>3</v>
      </c>
      <c r="U812">
        <v>12</v>
      </c>
      <c r="V812">
        <v>9</v>
      </c>
      <c r="W812">
        <v>4</v>
      </c>
      <c r="X812">
        <v>9</v>
      </c>
      <c r="Y812">
        <f>IF(HR_data[[#This Row],[Attrition]]= "Yes",1,0)</f>
        <v>0</v>
      </c>
    </row>
    <row r="813" spans="1:25">
      <c r="A813">
        <v>812</v>
      </c>
      <c r="B813" t="s">
        <v>33</v>
      </c>
      <c r="C813" t="s">
        <v>25</v>
      </c>
      <c r="D813" t="s">
        <v>26</v>
      </c>
      <c r="E813" t="s">
        <v>27</v>
      </c>
      <c r="F813" t="s">
        <v>56</v>
      </c>
      <c r="G813">
        <v>1</v>
      </c>
      <c r="H813" t="s">
        <v>37</v>
      </c>
      <c r="I813" t="s">
        <v>30</v>
      </c>
      <c r="J813" t="s">
        <v>31</v>
      </c>
      <c r="K813" t="s">
        <v>33</v>
      </c>
      <c r="L813">
        <v>38</v>
      </c>
      <c r="M813">
        <v>2</v>
      </c>
      <c r="N813" t="s">
        <v>32</v>
      </c>
      <c r="O813">
        <v>4</v>
      </c>
      <c r="P813">
        <v>3</v>
      </c>
      <c r="Q813">
        <v>2</v>
      </c>
      <c r="R813">
        <v>7351</v>
      </c>
      <c r="S813">
        <v>10</v>
      </c>
      <c r="T813">
        <v>3</v>
      </c>
      <c r="U813">
        <v>1</v>
      </c>
      <c r="V813">
        <v>0</v>
      </c>
      <c r="W813">
        <v>0</v>
      </c>
      <c r="X813">
        <v>0</v>
      </c>
      <c r="Y813">
        <f>IF(HR_data[[#This Row],[Attrition]]= "Yes",1,0)</f>
        <v>0</v>
      </c>
    </row>
    <row r="814" spans="1:25">
      <c r="A814">
        <v>813</v>
      </c>
      <c r="B814" t="s">
        <v>33</v>
      </c>
      <c r="C814" t="s">
        <v>34</v>
      </c>
      <c r="D814" t="s">
        <v>26</v>
      </c>
      <c r="E814" t="s">
        <v>36</v>
      </c>
      <c r="F814" t="s">
        <v>28</v>
      </c>
      <c r="G814">
        <v>1</v>
      </c>
      <c r="H814" t="s">
        <v>29</v>
      </c>
      <c r="I814" t="s">
        <v>49</v>
      </c>
      <c r="J814" t="s">
        <v>39</v>
      </c>
      <c r="K814" t="s">
        <v>33</v>
      </c>
      <c r="L814">
        <v>43</v>
      </c>
      <c r="M814">
        <v>27</v>
      </c>
      <c r="N814" t="s">
        <v>47</v>
      </c>
      <c r="O814">
        <v>3</v>
      </c>
      <c r="P814">
        <v>3</v>
      </c>
      <c r="Q814">
        <v>1</v>
      </c>
      <c r="R814">
        <v>10820</v>
      </c>
      <c r="S814">
        <v>18</v>
      </c>
      <c r="T814">
        <v>3</v>
      </c>
      <c r="U814">
        <v>8</v>
      </c>
      <c r="V814">
        <v>7</v>
      </c>
      <c r="W814">
        <v>0</v>
      </c>
      <c r="X814">
        <v>1</v>
      </c>
      <c r="Y814">
        <f>IF(HR_data[[#This Row],[Attrition]]= "Yes",1,0)</f>
        <v>0</v>
      </c>
    </row>
    <row r="815" spans="1:25">
      <c r="A815">
        <v>814</v>
      </c>
      <c r="B815" t="s">
        <v>24</v>
      </c>
      <c r="C815" t="s">
        <v>34</v>
      </c>
      <c r="D815" t="s">
        <v>26</v>
      </c>
      <c r="E815" t="s">
        <v>36</v>
      </c>
      <c r="F815" t="s">
        <v>28</v>
      </c>
      <c r="G815">
        <v>1</v>
      </c>
      <c r="H815" t="s">
        <v>37</v>
      </c>
      <c r="I815" t="s">
        <v>50</v>
      </c>
      <c r="J815" t="s">
        <v>48</v>
      </c>
      <c r="K815" t="s">
        <v>33</v>
      </c>
      <c r="L815">
        <v>39</v>
      </c>
      <c r="M815">
        <v>2</v>
      </c>
      <c r="N815" t="s">
        <v>47</v>
      </c>
      <c r="O815">
        <v>1</v>
      </c>
      <c r="P815">
        <v>4</v>
      </c>
      <c r="Q815">
        <v>4</v>
      </c>
      <c r="R815">
        <v>12169</v>
      </c>
      <c r="S815">
        <v>21</v>
      </c>
      <c r="T815">
        <v>3</v>
      </c>
      <c r="U815">
        <v>18</v>
      </c>
      <c r="V815">
        <v>7</v>
      </c>
      <c r="W815">
        <v>11</v>
      </c>
      <c r="X815">
        <v>5</v>
      </c>
      <c r="Y815">
        <f>IF(HR_data[[#This Row],[Attrition]]= "Yes",1,0)</f>
        <v>1</v>
      </c>
    </row>
    <row r="816" spans="1:25">
      <c r="A816">
        <v>815</v>
      </c>
      <c r="B816" t="s">
        <v>33</v>
      </c>
      <c r="C816" t="s">
        <v>25</v>
      </c>
      <c r="D816" t="s">
        <v>26</v>
      </c>
      <c r="E816" t="s">
        <v>36</v>
      </c>
      <c r="F816" t="s">
        <v>45</v>
      </c>
      <c r="G816">
        <v>1</v>
      </c>
      <c r="H816" t="s">
        <v>37</v>
      </c>
      <c r="I816" t="s">
        <v>55</v>
      </c>
      <c r="J816" t="s">
        <v>31</v>
      </c>
      <c r="K816" t="s">
        <v>33</v>
      </c>
      <c r="L816">
        <v>40</v>
      </c>
      <c r="M816">
        <v>14</v>
      </c>
      <c r="N816" t="s">
        <v>47</v>
      </c>
      <c r="O816">
        <v>3</v>
      </c>
      <c r="P816">
        <v>5</v>
      </c>
      <c r="Q816">
        <v>3</v>
      </c>
      <c r="R816">
        <v>19626</v>
      </c>
      <c r="S816">
        <v>21</v>
      </c>
      <c r="T816">
        <v>4</v>
      </c>
      <c r="U816">
        <v>20</v>
      </c>
      <c r="V816">
        <v>7</v>
      </c>
      <c r="W816">
        <v>4</v>
      </c>
      <c r="X816">
        <v>9</v>
      </c>
      <c r="Y816">
        <f>IF(HR_data[[#This Row],[Attrition]]= "Yes",1,0)</f>
        <v>0</v>
      </c>
    </row>
    <row r="817" spans="1:25">
      <c r="A817">
        <v>816</v>
      </c>
      <c r="B817" t="s">
        <v>33</v>
      </c>
      <c r="C817" t="s">
        <v>25</v>
      </c>
      <c r="D817" t="s">
        <v>52</v>
      </c>
      <c r="E817" t="s">
        <v>36</v>
      </c>
      <c r="F817" t="s">
        <v>57</v>
      </c>
      <c r="G817">
        <v>1</v>
      </c>
      <c r="H817" t="s">
        <v>29</v>
      </c>
      <c r="I817" t="s">
        <v>38</v>
      </c>
      <c r="J817" t="s">
        <v>31</v>
      </c>
      <c r="K817" t="s">
        <v>24</v>
      </c>
      <c r="L817">
        <v>21</v>
      </c>
      <c r="M817">
        <v>1</v>
      </c>
      <c r="N817" t="s">
        <v>40</v>
      </c>
      <c r="O817">
        <v>4</v>
      </c>
      <c r="P817">
        <v>1</v>
      </c>
      <c r="Q817">
        <v>2</v>
      </c>
      <c r="R817">
        <v>2070</v>
      </c>
      <c r="S817">
        <v>2</v>
      </c>
      <c r="T817">
        <v>4</v>
      </c>
      <c r="U817">
        <v>2</v>
      </c>
      <c r="V817">
        <v>2</v>
      </c>
      <c r="W817">
        <v>2</v>
      </c>
      <c r="X817">
        <v>2</v>
      </c>
      <c r="Y817">
        <f>IF(HR_data[[#This Row],[Attrition]]= "Yes",1,0)</f>
        <v>0</v>
      </c>
    </row>
    <row r="818" spans="1:25">
      <c r="A818">
        <v>817</v>
      </c>
      <c r="B818" t="s">
        <v>33</v>
      </c>
      <c r="C818" t="s">
        <v>51</v>
      </c>
      <c r="D818" t="s">
        <v>26</v>
      </c>
      <c r="E818" t="s">
        <v>36</v>
      </c>
      <c r="F818" t="s">
        <v>28</v>
      </c>
      <c r="G818">
        <v>1</v>
      </c>
      <c r="H818" t="s">
        <v>37</v>
      </c>
      <c r="I818" t="s">
        <v>42</v>
      </c>
      <c r="J818" t="s">
        <v>31</v>
      </c>
      <c r="K818" t="s">
        <v>33</v>
      </c>
      <c r="L818">
        <v>39</v>
      </c>
      <c r="M818">
        <v>9</v>
      </c>
      <c r="N818" t="s">
        <v>47</v>
      </c>
      <c r="O818">
        <v>3</v>
      </c>
      <c r="P818">
        <v>2</v>
      </c>
      <c r="Q818">
        <v>2</v>
      </c>
      <c r="R818">
        <v>6782</v>
      </c>
      <c r="S818">
        <v>9</v>
      </c>
      <c r="T818">
        <v>2</v>
      </c>
      <c r="U818">
        <v>5</v>
      </c>
      <c r="V818">
        <v>4</v>
      </c>
      <c r="W818">
        <v>0</v>
      </c>
      <c r="X818">
        <v>3</v>
      </c>
      <c r="Y818">
        <f>IF(HR_data[[#This Row],[Attrition]]= "Yes",1,0)</f>
        <v>0</v>
      </c>
    </row>
    <row r="819" spans="1:25">
      <c r="A819">
        <v>818</v>
      </c>
      <c r="B819" t="s">
        <v>33</v>
      </c>
      <c r="C819" t="s">
        <v>51</v>
      </c>
      <c r="D819" t="s">
        <v>26</v>
      </c>
      <c r="E819" t="s">
        <v>36</v>
      </c>
      <c r="F819" t="s">
        <v>28</v>
      </c>
      <c r="G819">
        <v>1</v>
      </c>
      <c r="H819" t="s">
        <v>37</v>
      </c>
      <c r="I819" t="s">
        <v>49</v>
      </c>
      <c r="J819" t="s">
        <v>31</v>
      </c>
      <c r="K819" t="s">
        <v>33</v>
      </c>
      <c r="L819">
        <v>36</v>
      </c>
      <c r="M819">
        <v>18</v>
      </c>
      <c r="N819" t="s">
        <v>44</v>
      </c>
      <c r="O819">
        <v>1</v>
      </c>
      <c r="P819">
        <v>2</v>
      </c>
      <c r="Q819">
        <v>4</v>
      </c>
      <c r="R819">
        <v>7779</v>
      </c>
      <c r="S819">
        <v>18</v>
      </c>
      <c r="T819">
        <v>3</v>
      </c>
      <c r="U819">
        <v>11</v>
      </c>
      <c r="V819">
        <v>9</v>
      </c>
      <c r="W819">
        <v>0</v>
      </c>
      <c r="X819">
        <v>9</v>
      </c>
      <c r="Y819">
        <f>IF(HR_data[[#This Row],[Attrition]]= "Yes",1,0)</f>
        <v>0</v>
      </c>
    </row>
    <row r="820" spans="1:25">
      <c r="A820">
        <v>819</v>
      </c>
      <c r="B820" t="s">
        <v>33</v>
      </c>
      <c r="C820" t="s">
        <v>34</v>
      </c>
      <c r="D820" t="s">
        <v>43</v>
      </c>
      <c r="E820" t="s">
        <v>27</v>
      </c>
      <c r="F820" t="s">
        <v>28</v>
      </c>
      <c r="G820">
        <v>1</v>
      </c>
      <c r="H820" t="s">
        <v>37</v>
      </c>
      <c r="I820" t="s">
        <v>54</v>
      </c>
      <c r="J820" t="s">
        <v>39</v>
      </c>
      <c r="K820" t="s">
        <v>33</v>
      </c>
      <c r="L820">
        <v>31</v>
      </c>
      <c r="M820">
        <v>20</v>
      </c>
      <c r="N820" t="s">
        <v>47</v>
      </c>
      <c r="O820">
        <v>3</v>
      </c>
      <c r="P820">
        <v>1</v>
      </c>
      <c r="Q820">
        <v>4</v>
      </c>
      <c r="R820">
        <v>2791</v>
      </c>
      <c r="S820">
        <v>3</v>
      </c>
      <c r="T820">
        <v>3</v>
      </c>
      <c r="U820">
        <v>2</v>
      </c>
      <c r="V820">
        <v>2</v>
      </c>
      <c r="W820">
        <v>2</v>
      </c>
      <c r="X820">
        <v>2</v>
      </c>
      <c r="Y820">
        <f>IF(HR_data[[#This Row],[Attrition]]= "Yes",1,0)</f>
        <v>0</v>
      </c>
    </row>
    <row r="821" spans="1:25">
      <c r="A821">
        <v>820</v>
      </c>
      <c r="B821" t="s">
        <v>33</v>
      </c>
      <c r="C821" t="s">
        <v>25</v>
      </c>
      <c r="D821" t="s">
        <v>43</v>
      </c>
      <c r="E821" t="s">
        <v>36</v>
      </c>
      <c r="F821" t="s">
        <v>28</v>
      </c>
      <c r="G821">
        <v>1</v>
      </c>
      <c r="H821" t="s">
        <v>37</v>
      </c>
      <c r="I821" t="s">
        <v>38</v>
      </c>
      <c r="J821" t="s">
        <v>39</v>
      </c>
      <c r="K821" t="s">
        <v>33</v>
      </c>
      <c r="L821">
        <v>28</v>
      </c>
      <c r="M821">
        <v>2</v>
      </c>
      <c r="N821" t="s">
        <v>40</v>
      </c>
      <c r="O821">
        <v>1</v>
      </c>
      <c r="P821">
        <v>1</v>
      </c>
      <c r="Q821">
        <v>2</v>
      </c>
      <c r="R821">
        <v>3201</v>
      </c>
      <c r="S821">
        <v>6</v>
      </c>
      <c r="T821">
        <v>1</v>
      </c>
      <c r="U821">
        <v>5</v>
      </c>
      <c r="V821">
        <v>3</v>
      </c>
      <c r="W821">
        <v>0</v>
      </c>
      <c r="X821">
        <v>4</v>
      </c>
      <c r="Y821">
        <f>IF(HR_data[[#This Row],[Attrition]]= "Yes",1,0)</f>
        <v>0</v>
      </c>
    </row>
    <row r="822" spans="1:25">
      <c r="A822">
        <v>821</v>
      </c>
      <c r="B822" t="s">
        <v>33</v>
      </c>
      <c r="C822" t="s">
        <v>34</v>
      </c>
      <c r="D822" t="s">
        <v>26</v>
      </c>
      <c r="E822" t="s">
        <v>27</v>
      </c>
      <c r="F822" t="s">
        <v>56</v>
      </c>
      <c r="G822">
        <v>1</v>
      </c>
      <c r="H822" t="s">
        <v>37</v>
      </c>
      <c r="I822" t="s">
        <v>30</v>
      </c>
      <c r="J822" t="s">
        <v>48</v>
      </c>
      <c r="K822" t="s">
        <v>33</v>
      </c>
      <c r="L822">
        <v>35</v>
      </c>
      <c r="M822">
        <v>11</v>
      </c>
      <c r="N822" t="s">
        <v>32</v>
      </c>
      <c r="O822">
        <v>4</v>
      </c>
      <c r="P822">
        <v>2</v>
      </c>
      <c r="Q822">
        <v>4</v>
      </c>
      <c r="R822">
        <v>4968</v>
      </c>
      <c r="S822">
        <v>5</v>
      </c>
      <c r="T822">
        <v>3</v>
      </c>
      <c r="U822">
        <v>5</v>
      </c>
      <c r="V822">
        <v>2</v>
      </c>
      <c r="W822">
        <v>0</v>
      </c>
      <c r="X822">
        <v>2</v>
      </c>
      <c r="Y822">
        <f>IF(HR_data[[#This Row],[Attrition]]= "Yes",1,0)</f>
        <v>0</v>
      </c>
    </row>
    <row r="823" spans="1:25">
      <c r="A823">
        <v>822</v>
      </c>
      <c r="B823" t="s">
        <v>33</v>
      </c>
      <c r="C823" t="s">
        <v>25</v>
      </c>
      <c r="D823" t="s">
        <v>35</v>
      </c>
      <c r="E823" t="s">
        <v>27</v>
      </c>
      <c r="F823" t="s">
        <v>57</v>
      </c>
      <c r="G823">
        <v>1</v>
      </c>
      <c r="H823" t="s">
        <v>37</v>
      </c>
      <c r="I823" t="s">
        <v>30</v>
      </c>
      <c r="J823" t="s">
        <v>39</v>
      </c>
      <c r="K823" t="s">
        <v>33</v>
      </c>
      <c r="L823">
        <v>49</v>
      </c>
      <c r="M823">
        <v>8</v>
      </c>
      <c r="N823" t="s">
        <v>44</v>
      </c>
      <c r="O823">
        <v>4</v>
      </c>
      <c r="P823">
        <v>4</v>
      </c>
      <c r="Q823">
        <v>2</v>
      </c>
      <c r="R823">
        <v>13120</v>
      </c>
      <c r="S823">
        <v>22</v>
      </c>
      <c r="T823">
        <v>3</v>
      </c>
      <c r="U823">
        <v>9</v>
      </c>
      <c r="V823">
        <v>8</v>
      </c>
      <c r="W823">
        <v>2</v>
      </c>
      <c r="X823">
        <v>3</v>
      </c>
      <c r="Y823">
        <f>IF(HR_data[[#This Row],[Attrition]]= "Yes",1,0)</f>
        <v>0</v>
      </c>
    </row>
    <row r="824" spans="1:25">
      <c r="A824">
        <v>823</v>
      </c>
      <c r="B824" t="s">
        <v>33</v>
      </c>
      <c r="C824" t="s">
        <v>34</v>
      </c>
      <c r="D824" t="s">
        <v>43</v>
      </c>
      <c r="E824" t="s">
        <v>36</v>
      </c>
      <c r="F824" t="s">
        <v>28</v>
      </c>
      <c r="G824">
        <v>1</v>
      </c>
      <c r="H824" t="s">
        <v>37</v>
      </c>
      <c r="I824" t="s">
        <v>49</v>
      </c>
      <c r="J824" t="s">
        <v>31</v>
      </c>
      <c r="K824" t="s">
        <v>33</v>
      </c>
      <c r="L824">
        <v>34</v>
      </c>
      <c r="M824">
        <v>2</v>
      </c>
      <c r="N824" t="s">
        <v>32</v>
      </c>
      <c r="O824">
        <v>4</v>
      </c>
      <c r="P824">
        <v>2</v>
      </c>
      <c r="Q824">
        <v>3</v>
      </c>
      <c r="R824">
        <v>4033</v>
      </c>
      <c r="S824">
        <v>5</v>
      </c>
      <c r="T824">
        <v>2</v>
      </c>
      <c r="U824">
        <v>3</v>
      </c>
      <c r="V824">
        <v>2</v>
      </c>
      <c r="W824">
        <v>0</v>
      </c>
      <c r="X824">
        <v>2</v>
      </c>
      <c r="Y824">
        <f>IF(HR_data[[#This Row],[Attrition]]= "Yes",1,0)</f>
        <v>0</v>
      </c>
    </row>
    <row r="825" spans="1:25">
      <c r="A825">
        <v>824</v>
      </c>
      <c r="B825" t="s">
        <v>33</v>
      </c>
      <c r="C825" t="s">
        <v>34</v>
      </c>
      <c r="D825" t="s">
        <v>43</v>
      </c>
      <c r="E825" t="s">
        <v>36</v>
      </c>
      <c r="F825" t="s">
        <v>28</v>
      </c>
      <c r="G825">
        <v>1</v>
      </c>
      <c r="H825" t="s">
        <v>29</v>
      </c>
      <c r="I825" t="s">
        <v>38</v>
      </c>
      <c r="J825" t="s">
        <v>48</v>
      </c>
      <c r="K825" t="s">
        <v>33</v>
      </c>
      <c r="L825">
        <v>29</v>
      </c>
      <c r="M825">
        <v>10</v>
      </c>
      <c r="N825" t="s">
        <v>47</v>
      </c>
      <c r="O825">
        <v>4</v>
      </c>
      <c r="P825">
        <v>1</v>
      </c>
      <c r="Q825">
        <v>2</v>
      </c>
      <c r="R825">
        <v>3291</v>
      </c>
      <c r="S825">
        <v>8</v>
      </c>
      <c r="T825">
        <v>2</v>
      </c>
      <c r="U825">
        <v>7</v>
      </c>
      <c r="V825">
        <v>5</v>
      </c>
      <c r="W825">
        <v>1</v>
      </c>
      <c r="X825">
        <v>1</v>
      </c>
      <c r="Y825">
        <f>IF(HR_data[[#This Row],[Attrition]]= "Yes",1,0)</f>
        <v>0</v>
      </c>
    </row>
    <row r="826" spans="1:25">
      <c r="A826">
        <v>825</v>
      </c>
      <c r="B826" t="s">
        <v>33</v>
      </c>
      <c r="C826" t="s">
        <v>25</v>
      </c>
      <c r="D826" t="s">
        <v>26</v>
      </c>
      <c r="E826" t="s">
        <v>36</v>
      </c>
      <c r="F826" t="s">
        <v>45</v>
      </c>
      <c r="G826">
        <v>1</v>
      </c>
      <c r="H826" t="s">
        <v>37</v>
      </c>
      <c r="I826" t="s">
        <v>42</v>
      </c>
      <c r="J826" t="s">
        <v>31</v>
      </c>
      <c r="K826" t="s">
        <v>33</v>
      </c>
      <c r="L826">
        <v>42</v>
      </c>
      <c r="M826">
        <v>29</v>
      </c>
      <c r="N826" t="s">
        <v>47</v>
      </c>
      <c r="O826">
        <v>2</v>
      </c>
      <c r="P826">
        <v>2</v>
      </c>
      <c r="Q826">
        <v>4</v>
      </c>
      <c r="R826">
        <v>4272</v>
      </c>
      <c r="S826">
        <v>16</v>
      </c>
      <c r="T826">
        <v>3</v>
      </c>
      <c r="U826">
        <v>1</v>
      </c>
      <c r="V826">
        <v>0</v>
      </c>
      <c r="W826">
        <v>0</v>
      </c>
      <c r="X826">
        <v>0</v>
      </c>
      <c r="Y826">
        <f>IF(HR_data[[#This Row],[Attrition]]= "Yes",1,0)</f>
        <v>0</v>
      </c>
    </row>
    <row r="827" spans="1:25">
      <c r="A827">
        <v>826</v>
      </c>
      <c r="B827" t="s">
        <v>33</v>
      </c>
      <c r="C827" t="s">
        <v>25</v>
      </c>
      <c r="D827" t="s">
        <v>43</v>
      </c>
      <c r="E827" t="s">
        <v>36</v>
      </c>
      <c r="F827" t="s">
        <v>45</v>
      </c>
      <c r="G827">
        <v>1</v>
      </c>
      <c r="H827" t="s">
        <v>37</v>
      </c>
      <c r="I827" t="s">
        <v>49</v>
      </c>
      <c r="J827" t="s">
        <v>39</v>
      </c>
      <c r="K827" t="s">
        <v>24</v>
      </c>
      <c r="L827">
        <v>29</v>
      </c>
      <c r="M827">
        <v>8</v>
      </c>
      <c r="N827" t="s">
        <v>40</v>
      </c>
      <c r="O827">
        <v>2</v>
      </c>
      <c r="P827">
        <v>2</v>
      </c>
      <c r="Q827">
        <v>4</v>
      </c>
      <c r="R827">
        <v>5056</v>
      </c>
      <c r="S827">
        <v>10</v>
      </c>
      <c r="T827">
        <v>2</v>
      </c>
      <c r="U827">
        <v>10</v>
      </c>
      <c r="V827">
        <v>7</v>
      </c>
      <c r="W827">
        <v>1</v>
      </c>
      <c r="X827">
        <v>2</v>
      </c>
      <c r="Y827">
        <f>IF(HR_data[[#This Row],[Attrition]]= "Yes",1,0)</f>
        <v>0</v>
      </c>
    </row>
    <row r="828" spans="1:25">
      <c r="A828">
        <v>827</v>
      </c>
      <c r="B828" t="s">
        <v>33</v>
      </c>
      <c r="C828" t="s">
        <v>25</v>
      </c>
      <c r="D828" t="s">
        <v>26</v>
      </c>
      <c r="E828" t="s">
        <v>59</v>
      </c>
      <c r="F828" t="s">
        <v>60</v>
      </c>
      <c r="G828">
        <v>1</v>
      </c>
      <c r="H828" t="s">
        <v>37</v>
      </c>
      <c r="I828" t="s">
        <v>60</v>
      </c>
      <c r="J828" t="s">
        <v>39</v>
      </c>
      <c r="K828" t="s">
        <v>33</v>
      </c>
      <c r="L828">
        <v>38</v>
      </c>
      <c r="M828">
        <v>1</v>
      </c>
      <c r="N828" t="s">
        <v>47</v>
      </c>
      <c r="O828">
        <v>3</v>
      </c>
      <c r="P828">
        <v>1</v>
      </c>
      <c r="Q828">
        <v>3</v>
      </c>
      <c r="R828">
        <v>2844</v>
      </c>
      <c r="S828">
        <v>7</v>
      </c>
      <c r="T828">
        <v>4</v>
      </c>
      <c r="U828">
        <v>7</v>
      </c>
      <c r="V828">
        <v>6</v>
      </c>
      <c r="W828">
        <v>5</v>
      </c>
      <c r="X828">
        <v>0</v>
      </c>
      <c r="Y828">
        <f>IF(HR_data[[#This Row],[Attrition]]= "Yes",1,0)</f>
        <v>0</v>
      </c>
    </row>
    <row r="829" spans="1:25">
      <c r="A829">
        <v>828</v>
      </c>
      <c r="B829" t="s">
        <v>33</v>
      </c>
      <c r="C829" t="s">
        <v>34</v>
      </c>
      <c r="D829" t="s">
        <v>43</v>
      </c>
      <c r="E829" t="s">
        <v>36</v>
      </c>
      <c r="F829" t="s">
        <v>28</v>
      </c>
      <c r="G829">
        <v>1</v>
      </c>
      <c r="H829" t="s">
        <v>37</v>
      </c>
      <c r="I829" t="s">
        <v>38</v>
      </c>
      <c r="J829" t="s">
        <v>48</v>
      </c>
      <c r="K829" t="s">
        <v>24</v>
      </c>
      <c r="L829">
        <v>28</v>
      </c>
      <c r="M829">
        <v>6</v>
      </c>
      <c r="N829" t="s">
        <v>47</v>
      </c>
      <c r="O829">
        <v>3</v>
      </c>
      <c r="P829">
        <v>1</v>
      </c>
      <c r="Q829">
        <v>3</v>
      </c>
      <c r="R829">
        <v>2703</v>
      </c>
      <c r="S829">
        <v>3</v>
      </c>
      <c r="T829">
        <v>3</v>
      </c>
      <c r="U829">
        <v>3</v>
      </c>
      <c r="V829">
        <v>1</v>
      </c>
      <c r="W829">
        <v>0</v>
      </c>
      <c r="X829">
        <v>2</v>
      </c>
      <c r="Y829">
        <f>IF(HR_data[[#This Row],[Attrition]]= "Yes",1,0)</f>
        <v>0</v>
      </c>
    </row>
    <row r="830" spans="1:25">
      <c r="A830">
        <v>829</v>
      </c>
      <c r="B830" t="s">
        <v>24</v>
      </c>
      <c r="C830" t="s">
        <v>51</v>
      </c>
      <c r="D830" t="s">
        <v>52</v>
      </c>
      <c r="E830" t="s">
        <v>36</v>
      </c>
      <c r="F830" t="s">
        <v>45</v>
      </c>
      <c r="G830">
        <v>1</v>
      </c>
      <c r="H830" t="s">
        <v>37</v>
      </c>
      <c r="I830" t="s">
        <v>42</v>
      </c>
      <c r="J830" t="s">
        <v>31</v>
      </c>
      <c r="K830" t="s">
        <v>33</v>
      </c>
      <c r="L830">
        <v>18</v>
      </c>
      <c r="M830">
        <v>8</v>
      </c>
      <c r="N830" t="s">
        <v>40</v>
      </c>
      <c r="O830">
        <v>3</v>
      </c>
      <c r="P830">
        <v>1</v>
      </c>
      <c r="Q830">
        <v>3</v>
      </c>
      <c r="R830">
        <v>1904</v>
      </c>
      <c r="S830">
        <v>0</v>
      </c>
      <c r="T830">
        <v>3</v>
      </c>
      <c r="U830">
        <v>0</v>
      </c>
      <c r="V830">
        <v>0</v>
      </c>
      <c r="W830">
        <v>0</v>
      </c>
      <c r="X830">
        <v>0</v>
      </c>
      <c r="Y830">
        <f>IF(HR_data[[#This Row],[Attrition]]= "Yes",1,0)</f>
        <v>1</v>
      </c>
    </row>
    <row r="831" spans="1:25">
      <c r="A831">
        <v>830</v>
      </c>
      <c r="B831" t="s">
        <v>24</v>
      </c>
      <c r="C831" t="s">
        <v>25</v>
      </c>
      <c r="D831" t="s">
        <v>43</v>
      </c>
      <c r="E831" t="s">
        <v>27</v>
      </c>
      <c r="F831" t="s">
        <v>56</v>
      </c>
      <c r="G831">
        <v>1</v>
      </c>
      <c r="H831" t="s">
        <v>29</v>
      </c>
      <c r="I831" t="s">
        <v>30</v>
      </c>
      <c r="J831" t="s">
        <v>31</v>
      </c>
      <c r="K831" t="s">
        <v>24</v>
      </c>
      <c r="L831">
        <v>33</v>
      </c>
      <c r="M831">
        <v>9</v>
      </c>
      <c r="N831" t="s">
        <v>44</v>
      </c>
      <c r="O831">
        <v>1</v>
      </c>
      <c r="P831">
        <v>2</v>
      </c>
      <c r="Q831">
        <v>1</v>
      </c>
      <c r="R831">
        <v>8224</v>
      </c>
      <c r="S831">
        <v>6</v>
      </c>
      <c r="T831">
        <v>3</v>
      </c>
      <c r="U831">
        <v>5</v>
      </c>
      <c r="V831">
        <v>2</v>
      </c>
      <c r="W831">
        <v>0</v>
      </c>
      <c r="X831">
        <v>3</v>
      </c>
      <c r="Y831">
        <f>IF(HR_data[[#This Row],[Attrition]]= "Yes",1,0)</f>
        <v>1</v>
      </c>
    </row>
    <row r="832" spans="1:25">
      <c r="A832">
        <v>831</v>
      </c>
      <c r="B832" t="s">
        <v>33</v>
      </c>
      <c r="C832" t="s">
        <v>25</v>
      </c>
      <c r="D832" t="s">
        <v>26</v>
      </c>
      <c r="E832" t="s">
        <v>36</v>
      </c>
      <c r="F832" t="s">
        <v>28</v>
      </c>
      <c r="G832">
        <v>1</v>
      </c>
      <c r="H832" t="s">
        <v>37</v>
      </c>
      <c r="I832" t="s">
        <v>42</v>
      </c>
      <c r="J832" t="s">
        <v>39</v>
      </c>
      <c r="K832" t="s">
        <v>24</v>
      </c>
      <c r="L832">
        <v>41</v>
      </c>
      <c r="M832">
        <v>12</v>
      </c>
      <c r="N832" t="s">
        <v>44</v>
      </c>
      <c r="O832">
        <v>2</v>
      </c>
      <c r="P832">
        <v>1</v>
      </c>
      <c r="Q832">
        <v>4</v>
      </c>
      <c r="R832">
        <v>4766</v>
      </c>
      <c r="S832">
        <v>6</v>
      </c>
      <c r="T832">
        <v>3</v>
      </c>
      <c r="U832">
        <v>1</v>
      </c>
      <c r="V832">
        <v>0</v>
      </c>
      <c r="W832">
        <v>0</v>
      </c>
      <c r="X832">
        <v>0</v>
      </c>
      <c r="Y832">
        <f>IF(HR_data[[#This Row],[Attrition]]= "Yes",1,0)</f>
        <v>0</v>
      </c>
    </row>
    <row r="833" spans="1:25">
      <c r="A833">
        <v>832</v>
      </c>
      <c r="B833" t="s">
        <v>24</v>
      </c>
      <c r="C833" t="s">
        <v>34</v>
      </c>
      <c r="D833" t="s">
        <v>43</v>
      </c>
      <c r="E833" t="s">
        <v>36</v>
      </c>
      <c r="F833" t="s">
        <v>45</v>
      </c>
      <c r="G833">
        <v>1</v>
      </c>
      <c r="H833" t="s">
        <v>37</v>
      </c>
      <c r="I833" t="s">
        <v>42</v>
      </c>
      <c r="J833" t="s">
        <v>39</v>
      </c>
      <c r="K833" t="s">
        <v>33</v>
      </c>
      <c r="L833">
        <v>31</v>
      </c>
      <c r="M833">
        <v>15</v>
      </c>
      <c r="N833" t="s">
        <v>47</v>
      </c>
      <c r="O833">
        <v>3</v>
      </c>
      <c r="P833">
        <v>1</v>
      </c>
      <c r="Q833">
        <v>3</v>
      </c>
      <c r="R833">
        <v>2610</v>
      </c>
      <c r="S833">
        <v>2</v>
      </c>
      <c r="T833">
        <v>2</v>
      </c>
      <c r="U833">
        <v>2</v>
      </c>
      <c r="V833">
        <v>2</v>
      </c>
      <c r="W833">
        <v>2</v>
      </c>
      <c r="X833">
        <v>2</v>
      </c>
      <c r="Y833">
        <f>IF(HR_data[[#This Row],[Attrition]]= "Yes",1,0)</f>
        <v>1</v>
      </c>
    </row>
    <row r="834" spans="1:25">
      <c r="A834">
        <v>833</v>
      </c>
      <c r="B834" t="s">
        <v>33</v>
      </c>
      <c r="C834" t="s">
        <v>25</v>
      </c>
      <c r="D834" t="s">
        <v>26</v>
      </c>
      <c r="E834" t="s">
        <v>36</v>
      </c>
      <c r="F834" t="s">
        <v>45</v>
      </c>
      <c r="G834">
        <v>1</v>
      </c>
      <c r="H834" t="s">
        <v>29</v>
      </c>
      <c r="I834" t="s">
        <v>50</v>
      </c>
      <c r="J834" t="s">
        <v>48</v>
      </c>
      <c r="K834" t="s">
        <v>33</v>
      </c>
      <c r="L834">
        <v>37</v>
      </c>
      <c r="M834">
        <v>25</v>
      </c>
      <c r="N834" t="s">
        <v>32</v>
      </c>
      <c r="O834">
        <v>3</v>
      </c>
      <c r="P834">
        <v>2</v>
      </c>
      <c r="Q834">
        <v>4</v>
      </c>
      <c r="R834">
        <v>5731</v>
      </c>
      <c r="S834">
        <v>9</v>
      </c>
      <c r="T834">
        <v>3</v>
      </c>
      <c r="U834">
        <v>6</v>
      </c>
      <c r="V834">
        <v>2</v>
      </c>
      <c r="W834">
        <v>1</v>
      </c>
      <c r="X834">
        <v>3</v>
      </c>
      <c r="Y834">
        <f>IF(HR_data[[#This Row],[Attrition]]= "Yes",1,0)</f>
        <v>0</v>
      </c>
    </row>
    <row r="835" spans="1:25">
      <c r="A835">
        <v>834</v>
      </c>
      <c r="B835" t="s">
        <v>33</v>
      </c>
      <c r="C835" t="s">
        <v>25</v>
      </c>
      <c r="D835" t="s">
        <v>43</v>
      </c>
      <c r="E835" t="s">
        <v>36</v>
      </c>
      <c r="F835" t="s">
        <v>28</v>
      </c>
      <c r="G835">
        <v>1</v>
      </c>
      <c r="H835" t="s">
        <v>37</v>
      </c>
      <c r="I835" t="s">
        <v>38</v>
      </c>
      <c r="J835" t="s">
        <v>39</v>
      </c>
      <c r="K835" t="s">
        <v>33</v>
      </c>
      <c r="L835">
        <v>27</v>
      </c>
      <c r="M835">
        <v>6</v>
      </c>
      <c r="N835" t="s">
        <v>47</v>
      </c>
      <c r="O835">
        <v>4</v>
      </c>
      <c r="P835">
        <v>1</v>
      </c>
      <c r="Q835">
        <v>3</v>
      </c>
      <c r="R835">
        <v>2539</v>
      </c>
      <c r="S835">
        <v>4</v>
      </c>
      <c r="T835">
        <v>3</v>
      </c>
      <c r="U835">
        <v>4</v>
      </c>
      <c r="V835">
        <v>2</v>
      </c>
      <c r="W835">
        <v>2</v>
      </c>
      <c r="X835">
        <v>2</v>
      </c>
      <c r="Y835">
        <f>IF(HR_data[[#This Row],[Attrition]]= "Yes",1,0)</f>
        <v>0</v>
      </c>
    </row>
    <row r="836" spans="1:25">
      <c r="A836">
        <v>835</v>
      </c>
      <c r="B836" t="s">
        <v>33</v>
      </c>
      <c r="C836" t="s">
        <v>25</v>
      </c>
      <c r="D836" t="s">
        <v>43</v>
      </c>
      <c r="E836" t="s">
        <v>27</v>
      </c>
      <c r="F836" t="s">
        <v>28</v>
      </c>
      <c r="G836">
        <v>1</v>
      </c>
      <c r="H836" t="s">
        <v>29</v>
      </c>
      <c r="I836" t="s">
        <v>30</v>
      </c>
      <c r="J836" t="s">
        <v>39</v>
      </c>
      <c r="K836" t="s">
        <v>33</v>
      </c>
      <c r="L836">
        <v>34</v>
      </c>
      <c r="M836">
        <v>9</v>
      </c>
      <c r="N836" t="s">
        <v>40</v>
      </c>
      <c r="O836">
        <v>2</v>
      </c>
      <c r="P836">
        <v>2</v>
      </c>
      <c r="Q836">
        <v>3</v>
      </c>
      <c r="R836">
        <v>5714</v>
      </c>
      <c r="S836">
        <v>6</v>
      </c>
      <c r="T836">
        <v>2</v>
      </c>
      <c r="U836">
        <v>6</v>
      </c>
      <c r="V836">
        <v>5</v>
      </c>
      <c r="W836">
        <v>1</v>
      </c>
      <c r="X836">
        <v>3</v>
      </c>
      <c r="Y836">
        <f>IF(HR_data[[#This Row],[Attrition]]= "Yes",1,0)</f>
        <v>0</v>
      </c>
    </row>
    <row r="837" spans="1:25">
      <c r="A837">
        <v>836</v>
      </c>
      <c r="B837" t="s">
        <v>33</v>
      </c>
      <c r="C837" t="s">
        <v>25</v>
      </c>
      <c r="D837" t="s">
        <v>26</v>
      </c>
      <c r="E837" t="s">
        <v>59</v>
      </c>
      <c r="F837" t="s">
        <v>57</v>
      </c>
      <c r="G837">
        <v>1</v>
      </c>
      <c r="H837" t="s">
        <v>37</v>
      </c>
      <c r="I837" t="s">
        <v>60</v>
      </c>
      <c r="J837" t="s">
        <v>31</v>
      </c>
      <c r="K837" t="s">
        <v>33</v>
      </c>
      <c r="L837">
        <v>35</v>
      </c>
      <c r="M837">
        <v>8</v>
      </c>
      <c r="N837" t="s">
        <v>44</v>
      </c>
      <c r="O837">
        <v>3</v>
      </c>
      <c r="P837">
        <v>1</v>
      </c>
      <c r="Q837">
        <v>3</v>
      </c>
      <c r="R837">
        <v>4323</v>
      </c>
      <c r="S837">
        <v>6</v>
      </c>
      <c r="T837">
        <v>1</v>
      </c>
      <c r="U837">
        <v>5</v>
      </c>
      <c r="V837">
        <v>4</v>
      </c>
      <c r="W837">
        <v>1</v>
      </c>
      <c r="X837">
        <v>4</v>
      </c>
      <c r="Y837">
        <f>IF(HR_data[[#This Row],[Attrition]]= "Yes",1,0)</f>
        <v>0</v>
      </c>
    </row>
    <row r="838" spans="1:25">
      <c r="A838">
        <v>837</v>
      </c>
      <c r="B838" t="s">
        <v>24</v>
      </c>
      <c r="C838" t="s">
        <v>25</v>
      </c>
      <c r="D838" t="s">
        <v>43</v>
      </c>
      <c r="E838" t="s">
        <v>27</v>
      </c>
      <c r="F838" t="s">
        <v>28</v>
      </c>
      <c r="G838">
        <v>1</v>
      </c>
      <c r="H838" t="s">
        <v>29</v>
      </c>
      <c r="I838" t="s">
        <v>30</v>
      </c>
      <c r="J838" t="s">
        <v>39</v>
      </c>
      <c r="K838" t="s">
        <v>33</v>
      </c>
      <c r="L838">
        <v>29</v>
      </c>
      <c r="M838">
        <v>23</v>
      </c>
      <c r="N838" t="s">
        <v>40</v>
      </c>
      <c r="O838">
        <v>4</v>
      </c>
      <c r="P838">
        <v>3</v>
      </c>
      <c r="Q838">
        <v>1</v>
      </c>
      <c r="R838">
        <v>7336</v>
      </c>
      <c r="S838">
        <v>11</v>
      </c>
      <c r="T838">
        <v>1</v>
      </c>
      <c r="U838">
        <v>11</v>
      </c>
      <c r="V838">
        <v>8</v>
      </c>
      <c r="W838">
        <v>3</v>
      </c>
      <c r="X838">
        <v>10</v>
      </c>
      <c r="Y838">
        <f>IF(HR_data[[#This Row],[Attrition]]= "Yes",1,0)</f>
        <v>1</v>
      </c>
    </row>
    <row r="839" spans="1:25">
      <c r="A839">
        <v>838</v>
      </c>
      <c r="B839" t="s">
        <v>33</v>
      </c>
      <c r="C839" t="s">
        <v>34</v>
      </c>
      <c r="D839" t="s">
        <v>26</v>
      </c>
      <c r="E839" t="s">
        <v>36</v>
      </c>
      <c r="F839" t="s">
        <v>45</v>
      </c>
      <c r="G839">
        <v>1</v>
      </c>
      <c r="H839" t="s">
        <v>29</v>
      </c>
      <c r="I839" t="s">
        <v>55</v>
      </c>
      <c r="J839" t="s">
        <v>31</v>
      </c>
      <c r="K839" t="s">
        <v>33</v>
      </c>
      <c r="L839">
        <v>40</v>
      </c>
      <c r="M839">
        <v>9</v>
      </c>
      <c r="N839" t="s">
        <v>44</v>
      </c>
      <c r="O839">
        <v>2</v>
      </c>
      <c r="P839">
        <v>3</v>
      </c>
      <c r="Q839">
        <v>3</v>
      </c>
      <c r="R839">
        <v>13499</v>
      </c>
      <c r="S839">
        <v>20</v>
      </c>
      <c r="T839">
        <v>2</v>
      </c>
      <c r="U839">
        <v>18</v>
      </c>
      <c r="V839">
        <v>7</v>
      </c>
      <c r="W839">
        <v>2</v>
      </c>
      <c r="X839">
        <v>13</v>
      </c>
      <c r="Y839">
        <f>IF(HR_data[[#This Row],[Attrition]]= "Yes",1,0)</f>
        <v>0</v>
      </c>
    </row>
    <row r="840" spans="1:25">
      <c r="A840">
        <v>839</v>
      </c>
      <c r="B840" t="s">
        <v>24</v>
      </c>
      <c r="C840" t="s">
        <v>34</v>
      </c>
      <c r="D840" t="s">
        <v>26</v>
      </c>
      <c r="E840" t="s">
        <v>27</v>
      </c>
      <c r="F840" t="s">
        <v>28</v>
      </c>
      <c r="G840">
        <v>1</v>
      </c>
      <c r="H840" t="s">
        <v>37</v>
      </c>
      <c r="I840" t="s">
        <v>30</v>
      </c>
      <c r="J840" t="s">
        <v>31</v>
      </c>
      <c r="K840" t="s">
        <v>24</v>
      </c>
      <c r="L840">
        <v>42</v>
      </c>
      <c r="M840">
        <v>12</v>
      </c>
      <c r="N840" t="s">
        <v>47</v>
      </c>
      <c r="O840">
        <v>3</v>
      </c>
      <c r="P840">
        <v>4</v>
      </c>
      <c r="Q840">
        <v>1</v>
      </c>
      <c r="R840">
        <v>13758</v>
      </c>
      <c r="S840">
        <v>22</v>
      </c>
      <c r="T840">
        <v>2</v>
      </c>
      <c r="U840">
        <v>21</v>
      </c>
      <c r="V840">
        <v>9</v>
      </c>
      <c r="W840">
        <v>13</v>
      </c>
      <c r="X840">
        <v>14</v>
      </c>
      <c r="Y840">
        <f>IF(HR_data[[#This Row],[Attrition]]= "Yes",1,0)</f>
        <v>1</v>
      </c>
    </row>
    <row r="841" spans="1:25">
      <c r="A841">
        <v>840</v>
      </c>
      <c r="B841" t="s">
        <v>33</v>
      </c>
      <c r="C841" t="s">
        <v>25</v>
      </c>
      <c r="D841" t="s">
        <v>26</v>
      </c>
      <c r="E841" t="s">
        <v>27</v>
      </c>
      <c r="F841" t="s">
        <v>56</v>
      </c>
      <c r="G841">
        <v>1</v>
      </c>
      <c r="H841" t="s">
        <v>37</v>
      </c>
      <c r="I841" t="s">
        <v>30</v>
      </c>
      <c r="J841" t="s">
        <v>31</v>
      </c>
      <c r="K841" t="s">
        <v>33</v>
      </c>
      <c r="L841">
        <v>42</v>
      </c>
      <c r="M841">
        <v>4</v>
      </c>
      <c r="N841" t="s">
        <v>44</v>
      </c>
      <c r="O841">
        <v>2</v>
      </c>
      <c r="P841">
        <v>2</v>
      </c>
      <c r="Q841">
        <v>1</v>
      </c>
      <c r="R841">
        <v>5155</v>
      </c>
      <c r="S841">
        <v>9</v>
      </c>
      <c r="T841">
        <v>4</v>
      </c>
      <c r="U841">
        <v>6</v>
      </c>
      <c r="V841">
        <v>4</v>
      </c>
      <c r="W841">
        <v>1</v>
      </c>
      <c r="X841">
        <v>5</v>
      </c>
      <c r="Y841">
        <f>IF(HR_data[[#This Row],[Attrition]]= "Yes",1,0)</f>
        <v>0</v>
      </c>
    </row>
    <row r="842" spans="1:25">
      <c r="A842">
        <v>841</v>
      </c>
      <c r="B842" t="s">
        <v>33</v>
      </c>
      <c r="C842" t="s">
        <v>25</v>
      </c>
      <c r="D842" t="s">
        <v>26</v>
      </c>
      <c r="E842" t="s">
        <v>36</v>
      </c>
      <c r="F842" t="s">
        <v>45</v>
      </c>
      <c r="G842">
        <v>1</v>
      </c>
      <c r="H842" t="s">
        <v>37</v>
      </c>
      <c r="I842" t="s">
        <v>42</v>
      </c>
      <c r="J842" t="s">
        <v>39</v>
      </c>
      <c r="K842" t="s">
        <v>33</v>
      </c>
      <c r="L842">
        <v>35</v>
      </c>
      <c r="M842">
        <v>1</v>
      </c>
      <c r="N842" t="s">
        <v>44</v>
      </c>
      <c r="O842">
        <v>4</v>
      </c>
      <c r="P842">
        <v>1</v>
      </c>
      <c r="Q842">
        <v>3</v>
      </c>
      <c r="R842">
        <v>2258</v>
      </c>
      <c r="S842">
        <v>10</v>
      </c>
      <c r="T842">
        <v>3</v>
      </c>
      <c r="U842">
        <v>8</v>
      </c>
      <c r="V842">
        <v>0</v>
      </c>
      <c r="W842">
        <v>1</v>
      </c>
      <c r="X842">
        <v>7</v>
      </c>
      <c r="Y842">
        <f>IF(HR_data[[#This Row],[Attrition]]= "Yes",1,0)</f>
        <v>0</v>
      </c>
    </row>
    <row r="843" spans="1:25">
      <c r="A843">
        <v>842</v>
      </c>
      <c r="B843" t="s">
        <v>33</v>
      </c>
      <c r="C843" t="s">
        <v>25</v>
      </c>
      <c r="D843" t="s">
        <v>52</v>
      </c>
      <c r="E843" t="s">
        <v>36</v>
      </c>
      <c r="F843" t="s">
        <v>45</v>
      </c>
      <c r="G843">
        <v>1</v>
      </c>
      <c r="H843" t="s">
        <v>37</v>
      </c>
      <c r="I843" t="s">
        <v>42</v>
      </c>
      <c r="J843" t="s">
        <v>31</v>
      </c>
      <c r="K843" t="s">
        <v>33</v>
      </c>
      <c r="L843">
        <v>24</v>
      </c>
      <c r="M843">
        <v>24</v>
      </c>
      <c r="N843" t="s">
        <v>47</v>
      </c>
      <c r="O843">
        <v>4</v>
      </c>
      <c r="P843">
        <v>1</v>
      </c>
      <c r="Q843">
        <v>2</v>
      </c>
      <c r="R843">
        <v>3597</v>
      </c>
      <c r="S843">
        <v>6</v>
      </c>
      <c r="T843">
        <v>3</v>
      </c>
      <c r="U843">
        <v>4</v>
      </c>
      <c r="V843">
        <v>3</v>
      </c>
      <c r="W843">
        <v>1</v>
      </c>
      <c r="X843">
        <v>2</v>
      </c>
      <c r="Y843">
        <f>IF(HR_data[[#This Row],[Attrition]]= "Yes",1,0)</f>
        <v>0</v>
      </c>
    </row>
    <row r="844" spans="1:25">
      <c r="A844">
        <v>843</v>
      </c>
      <c r="B844" t="s">
        <v>24</v>
      </c>
      <c r="C844" t="s">
        <v>25</v>
      </c>
      <c r="D844" t="s">
        <v>43</v>
      </c>
      <c r="E844" t="s">
        <v>36</v>
      </c>
      <c r="F844" t="s">
        <v>28</v>
      </c>
      <c r="G844">
        <v>1</v>
      </c>
      <c r="H844" t="s">
        <v>29</v>
      </c>
      <c r="I844" t="s">
        <v>42</v>
      </c>
      <c r="J844" t="s">
        <v>39</v>
      </c>
      <c r="K844" t="s">
        <v>24</v>
      </c>
      <c r="L844">
        <v>28</v>
      </c>
      <c r="M844">
        <v>12</v>
      </c>
      <c r="N844" t="s">
        <v>40</v>
      </c>
      <c r="O844">
        <v>3</v>
      </c>
      <c r="P844">
        <v>1</v>
      </c>
      <c r="Q844">
        <v>4</v>
      </c>
      <c r="R844">
        <v>2515</v>
      </c>
      <c r="S844">
        <v>1</v>
      </c>
      <c r="T844">
        <v>2</v>
      </c>
      <c r="U844">
        <v>1</v>
      </c>
      <c r="V844">
        <v>1</v>
      </c>
      <c r="W844">
        <v>0</v>
      </c>
      <c r="X844">
        <v>0</v>
      </c>
      <c r="Y844">
        <f>IF(HR_data[[#This Row],[Attrition]]= "Yes",1,0)</f>
        <v>1</v>
      </c>
    </row>
    <row r="845" spans="1:25">
      <c r="A845">
        <v>844</v>
      </c>
      <c r="B845" t="s">
        <v>33</v>
      </c>
      <c r="C845" t="s">
        <v>25</v>
      </c>
      <c r="D845" t="s">
        <v>43</v>
      </c>
      <c r="E845" t="s">
        <v>36</v>
      </c>
      <c r="F845" t="s">
        <v>45</v>
      </c>
      <c r="G845">
        <v>1</v>
      </c>
      <c r="H845" t="s">
        <v>37</v>
      </c>
      <c r="I845" t="s">
        <v>42</v>
      </c>
      <c r="J845" t="s">
        <v>39</v>
      </c>
      <c r="K845" t="s">
        <v>33</v>
      </c>
      <c r="L845">
        <v>26</v>
      </c>
      <c r="M845">
        <v>3</v>
      </c>
      <c r="N845" t="s">
        <v>44</v>
      </c>
      <c r="O845">
        <v>1</v>
      </c>
      <c r="P845">
        <v>1</v>
      </c>
      <c r="Q845">
        <v>4</v>
      </c>
      <c r="R845">
        <v>4420</v>
      </c>
      <c r="S845">
        <v>8</v>
      </c>
      <c r="T845">
        <v>3</v>
      </c>
      <c r="U845">
        <v>8</v>
      </c>
      <c r="V845">
        <v>7</v>
      </c>
      <c r="W845">
        <v>0</v>
      </c>
      <c r="X845">
        <v>7</v>
      </c>
      <c r="Y845">
        <f>IF(HR_data[[#This Row],[Attrition]]= "Yes",1,0)</f>
        <v>0</v>
      </c>
    </row>
    <row r="846" spans="1:25">
      <c r="A846">
        <v>845</v>
      </c>
      <c r="B846" t="s">
        <v>33</v>
      </c>
      <c r="C846" t="s">
        <v>25</v>
      </c>
      <c r="D846" t="s">
        <v>43</v>
      </c>
      <c r="E846" t="s">
        <v>27</v>
      </c>
      <c r="F846" t="s">
        <v>56</v>
      </c>
      <c r="G846">
        <v>1</v>
      </c>
      <c r="H846" t="s">
        <v>37</v>
      </c>
      <c r="I846" t="s">
        <v>30</v>
      </c>
      <c r="J846" t="s">
        <v>39</v>
      </c>
      <c r="K846" t="s">
        <v>33</v>
      </c>
      <c r="L846">
        <v>30</v>
      </c>
      <c r="M846">
        <v>10</v>
      </c>
      <c r="N846" t="s">
        <v>47</v>
      </c>
      <c r="O846">
        <v>3</v>
      </c>
      <c r="P846">
        <v>2</v>
      </c>
      <c r="Q846">
        <v>3</v>
      </c>
      <c r="R846">
        <v>6578</v>
      </c>
      <c r="S846">
        <v>10</v>
      </c>
      <c r="T846">
        <v>3</v>
      </c>
      <c r="U846">
        <v>10</v>
      </c>
      <c r="V846">
        <v>3</v>
      </c>
      <c r="W846">
        <v>1</v>
      </c>
      <c r="X846">
        <v>4</v>
      </c>
      <c r="Y846">
        <f>IF(HR_data[[#This Row],[Attrition]]= "Yes",1,0)</f>
        <v>0</v>
      </c>
    </row>
    <row r="847" spans="1:25">
      <c r="A847">
        <v>846</v>
      </c>
      <c r="B847" t="s">
        <v>33</v>
      </c>
      <c r="C847" t="s">
        <v>34</v>
      </c>
      <c r="D847" t="s">
        <v>26</v>
      </c>
      <c r="E847" t="s">
        <v>36</v>
      </c>
      <c r="F847" t="s">
        <v>45</v>
      </c>
      <c r="G847">
        <v>1</v>
      </c>
      <c r="H847" t="s">
        <v>29</v>
      </c>
      <c r="I847" t="s">
        <v>38</v>
      </c>
      <c r="J847" t="s">
        <v>39</v>
      </c>
      <c r="K847" t="s">
        <v>24</v>
      </c>
      <c r="L847">
        <v>40</v>
      </c>
      <c r="M847">
        <v>26</v>
      </c>
      <c r="N847" t="s">
        <v>32</v>
      </c>
      <c r="O847">
        <v>3</v>
      </c>
      <c r="P847">
        <v>2</v>
      </c>
      <c r="Q847">
        <v>4</v>
      </c>
      <c r="R847">
        <v>4422</v>
      </c>
      <c r="S847">
        <v>16</v>
      </c>
      <c r="T847">
        <v>1</v>
      </c>
      <c r="U847">
        <v>1</v>
      </c>
      <c r="V847">
        <v>1</v>
      </c>
      <c r="W847">
        <v>0</v>
      </c>
      <c r="X847">
        <v>0</v>
      </c>
      <c r="Y847">
        <f>IF(HR_data[[#This Row],[Attrition]]= "Yes",1,0)</f>
        <v>0</v>
      </c>
    </row>
    <row r="848" spans="1:25">
      <c r="A848">
        <v>847</v>
      </c>
      <c r="B848" t="s">
        <v>33</v>
      </c>
      <c r="C848" t="s">
        <v>25</v>
      </c>
      <c r="D848" t="s">
        <v>26</v>
      </c>
      <c r="E848" t="s">
        <v>36</v>
      </c>
      <c r="F848" t="s">
        <v>28</v>
      </c>
      <c r="G848">
        <v>1</v>
      </c>
      <c r="H848" t="s">
        <v>37</v>
      </c>
      <c r="I848" t="s">
        <v>49</v>
      </c>
      <c r="J848" t="s">
        <v>48</v>
      </c>
      <c r="K848" t="s">
        <v>33</v>
      </c>
      <c r="L848">
        <v>35</v>
      </c>
      <c r="M848">
        <v>2</v>
      </c>
      <c r="N848" t="s">
        <v>47</v>
      </c>
      <c r="O848">
        <v>3</v>
      </c>
      <c r="P848">
        <v>3</v>
      </c>
      <c r="Q848">
        <v>2</v>
      </c>
      <c r="R848">
        <v>10274</v>
      </c>
      <c r="S848">
        <v>15</v>
      </c>
      <c r="T848">
        <v>4</v>
      </c>
      <c r="U848">
        <v>7</v>
      </c>
      <c r="V848">
        <v>7</v>
      </c>
      <c r="W848">
        <v>6</v>
      </c>
      <c r="X848">
        <v>4</v>
      </c>
      <c r="Y848">
        <f>IF(HR_data[[#This Row],[Attrition]]= "Yes",1,0)</f>
        <v>0</v>
      </c>
    </row>
    <row r="849" spans="1:25">
      <c r="A849">
        <v>848</v>
      </c>
      <c r="B849" t="s">
        <v>33</v>
      </c>
      <c r="C849" t="s">
        <v>34</v>
      </c>
      <c r="D849" t="s">
        <v>43</v>
      </c>
      <c r="E849" t="s">
        <v>36</v>
      </c>
      <c r="F849" t="s">
        <v>45</v>
      </c>
      <c r="G849">
        <v>1</v>
      </c>
      <c r="H849" t="s">
        <v>37</v>
      </c>
      <c r="I849" t="s">
        <v>50</v>
      </c>
      <c r="J849" t="s">
        <v>31</v>
      </c>
      <c r="K849" t="s">
        <v>33</v>
      </c>
      <c r="L849">
        <v>34</v>
      </c>
      <c r="M849">
        <v>1</v>
      </c>
      <c r="N849" t="s">
        <v>47</v>
      </c>
      <c r="O849">
        <v>4</v>
      </c>
      <c r="P849">
        <v>2</v>
      </c>
      <c r="Q849">
        <v>1</v>
      </c>
      <c r="R849">
        <v>5343</v>
      </c>
      <c r="S849">
        <v>14</v>
      </c>
      <c r="T849">
        <v>3</v>
      </c>
      <c r="U849">
        <v>13</v>
      </c>
      <c r="V849">
        <v>9</v>
      </c>
      <c r="W849">
        <v>4</v>
      </c>
      <c r="X849">
        <v>9</v>
      </c>
      <c r="Y849">
        <f>IF(HR_data[[#This Row],[Attrition]]= "Yes",1,0)</f>
        <v>0</v>
      </c>
    </row>
    <row r="850" spans="1:25">
      <c r="A850">
        <v>849</v>
      </c>
      <c r="B850" t="s">
        <v>33</v>
      </c>
      <c r="C850" t="s">
        <v>34</v>
      </c>
      <c r="D850" t="s">
        <v>26</v>
      </c>
      <c r="E850" t="s">
        <v>36</v>
      </c>
      <c r="F850" t="s">
        <v>41</v>
      </c>
      <c r="G850">
        <v>1</v>
      </c>
      <c r="H850" t="s">
        <v>37</v>
      </c>
      <c r="I850" t="s">
        <v>42</v>
      </c>
      <c r="J850" t="s">
        <v>39</v>
      </c>
      <c r="K850" t="s">
        <v>33</v>
      </c>
      <c r="L850">
        <v>35</v>
      </c>
      <c r="M850">
        <v>4</v>
      </c>
      <c r="N850" t="s">
        <v>44</v>
      </c>
      <c r="O850">
        <v>4</v>
      </c>
      <c r="P850">
        <v>1</v>
      </c>
      <c r="Q850">
        <v>4</v>
      </c>
      <c r="R850">
        <v>2376</v>
      </c>
      <c r="S850">
        <v>2</v>
      </c>
      <c r="T850">
        <v>4</v>
      </c>
      <c r="U850">
        <v>2</v>
      </c>
      <c r="V850">
        <v>2</v>
      </c>
      <c r="W850">
        <v>2</v>
      </c>
      <c r="X850">
        <v>2</v>
      </c>
      <c r="Y850">
        <f>IF(HR_data[[#This Row],[Attrition]]= "Yes",1,0)</f>
        <v>0</v>
      </c>
    </row>
    <row r="851" spans="1:25">
      <c r="A851">
        <v>850</v>
      </c>
      <c r="B851" t="s">
        <v>24</v>
      </c>
      <c r="C851" t="s">
        <v>25</v>
      </c>
      <c r="D851" t="s">
        <v>26</v>
      </c>
      <c r="E851" t="s">
        <v>27</v>
      </c>
      <c r="F851" t="s">
        <v>56</v>
      </c>
      <c r="G851">
        <v>1</v>
      </c>
      <c r="H851" t="s">
        <v>29</v>
      </c>
      <c r="I851" t="s">
        <v>30</v>
      </c>
      <c r="J851" t="s">
        <v>31</v>
      </c>
      <c r="K851" t="s">
        <v>33</v>
      </c>
      <c r="L851">
        <v>43</v>
      </c>
      <c r="M851">
        <v>9</v>
      </c>
      <c r="N851" t="s">
        <v>47</v>
      </c>
      <c r="O851">
        <v>1</v>
      </c>
      <c r="P851">
        <v>2</v>
      </c>
      <c r="Q851">
        <v>3</v>
      </c>
      <c r="R851">
        <v>5346</v>
      </c>
      <c r="S851">
        <v>7</v>
      </c>
      <c r="T851">
        <v>2</v>
      </c>
      <c r="U851">
        <v>4</v>
      </c>
      <c r="V851">
        <v>3</v>
      </c>
      <c r="W851">
        <v>1</v>
      </c>
      <c r="X851">
        <v>3</v>
      </c>
      <c r="Y851">
        <f>IF(HR_data[[#This Row],[Attrition]]= "Yes",1,0)</f>
        <v>1</v>
      </c>
    </row>
    <row r="852" spans="1:25">
      <c r="A852">
        <v>851</v>
      </c>
      <c r="B852" t="s">
        <v>33</v>
      </c>
      <c r="C852" t="s">
        <v>51</v>
      </c>
      <c r="D852" t="s">
        <v>43</v>
      </c>
      <c r="E852" t="s">
        <v>27</v>
      </c>
      <c r="F852" t="s">
        <v>28</v>
      </c>
      <c r="G852">
        <v>1</v>
      </c>
      <c r="H852" t="s">
        <v>29</v>
      </c>
      <c r="I852" t="s">
        <v>54</v>
      </c>
      <c r="J852" t="s">
        <v>48</v>
      </c>
      <c r="K852" t="s">
        <v>33</v>
      </c>
      <c r="L852">
        <v>32</v>
      </c>
      <c r="M852">
        <v>2</v>
      </c>
      <c r="N852" t="s">
        <v>40</v>
      </c>
      <c r="O852">
        <v>3</v>
      </c>
      <c r="P852">
        <v>1</v>
      </c>
      <c r="Q852">
        <v>1</v>
      </c>
      <c r="R852">
        <v>2827</v>
      </c>
      <c r="S852">
        <v>1</v>
      </c>
      <c r="T852">
        <v>3</v>
      </c>
      <c r="U852">
        <v>1</v>
      </c>
      <c r="V852">
        <v>0</v>
      </c>
      <c r="W852">
        <v>0</v>
      </c>
      <c r="X852">
        <v>0</v>
      </c>
      <c r="Y852">
        <f>IF(HR_data[[#This Row],[Attrition]]= "Yes",1,0)</f>
        <v>0</v>
      </c>
    </row>
    <row r="853" spans="1:25">
      <c r="A853">
        <v>852</v>
      </c>
      <c r="B853" t="s">
        <v>33</v>
      </c>
      <c r="C853" t="s">
        <v>25</v>
      </c>
      <c r="D853" t="s">
        <v>46</v>
      </c>
      <c r="E853" t="s">
        <v>36</v>
      </c>
      <c r="F853" t="s">
        <v>57</v>
      </c>
      <c r="G853">
        <v>1</v>
      </c>
      <c r="H853" t="s">
        <v>29</v>
      </c>
      <c r="I853" t="s">
        <v>53</v>
      </c>
      <c r="J853" t="s">
        <v>48</v>
      </c>
      <c r="K853" t="s">
        <v>33</v>
      </c>
      <c r="L853">
        <v>56</v>
      </c>
      <c r="M853">
        <v>4</v>
      </c>
      <c r="N853" t="s">
        <v>44</v>
      </c>
      <c r="O853">
        <v>4</v>
      </c>
      <c r="P853">
        <v>5</v>
      </c>
      <c r="Q853">
        <v>1</v>
      </c>
      <c r="R853">
        <v>19943</v>
      </c>
      <c r="S853">
        <v>28</v>
      </c>
      <c r="T853">
        <v>3</v>
      </c>
      <c r="U853">
        <v>5</v>
      </c>
      <c r="V853">
        <v>2</v>
      </c>
      <c r="W853">
        <v>4</v>
      </c>
      <c r="X853">
        <v>2</v>
      </c>
      <c r="Y853">
        <f>IF(HR_data[[#This Row],[Attrition]]= "Yes",1,0)</f>
        <v>0</v>
      </c>
    </row>
    <row r="854" spans="1:25">
      <c r="A854">
        <v>853</v>
      </c>
      <c r="B854" t="s">
        <v>33</v>
      </c>
      <c r="C854" t="s">
        <v>25</v>
      </c>
      <c r="D854" t="s">
        <v>43</v>
      </c>
      <c r="E854" t="s">
        <v>36</v>
      </c>
      <c r="F854" t="s">
        <v>45</v>
      </c>
      <c r="G854">
        <v>1</v>
      </c>
      <c r="H854" t="s">
        <v>29</v>
      </c>
      <c r="I854" t="s">
        <v>42</v>
      </c>
      <c r="J854" t="s">
        <v>39</v>
      </c>
      <c r="K854" t="s">
        <v>33</v>
      </c>
      <c r="L854">
        <v>29</v>
      </c>
      <c r="M854">
        <v>6</v>
      </c>
      <c r="N854" t="s">
        <v>40</v>
      </c>
      <c r="O854">
        <v>2</v>
      </c>
      <c r="P854">
        <v>1</v>
      </c>
      <c r="Q854">
        <v>4</v>
      </c>
      <c r="R854">
        <v>3131</v>
      </c>
      <c r="S854">
        <v>10</v>
      </c>
      <c r="T854">
        <v>3</v>
      </c>
      <c r="U854">
        <v>10</v>
      </c>
      <c r="V854">
        <v>8</v>
      </c>
      <c r="W854">
        <v>0</v>
      </c>
      <c r="X854">
        <v>8</v>
      </c>
      <c r="Y854">
        <f>IF(HR_data[[#This Row],[Attrition]]= "Yes",1,0)</f>
        <v>0</v>
      </c>
    </row>
    <row r="855" spans="1:25">
      <c r="A855">
        <v>854</v>
      </c>
      <c r="B855" t="s">
        <v>33</v>
      </c>
      <c r="C855" t="s">
        <v>25</v>
      </c>
      <c r="D855" t="s">
        <v>52</v>
      </c>
      <c r="E855" t="s">
        <v>36</v>
      </c>
      <c r="F855" t="s">
        <v>28</v>
      </c>
      <c r="G855">
        <v>1</v>
      </c>
      <c r="H855" t="s">
        <v>37</v>
      </c>
      <c r="I855" t="s">
        <v>38</v>
      </c>
      <c r="J855" t="s">
        <v>31</v>
      </c>
      <c r="K855" t="s">
        <v>33</v>
      </c>
      <c r="L855">
        <v>19</v>
      </c>
      <c r="M855">
        <v>9</v>
      </c>
      <c r="N855" t="s">
        <v>32</v>
      </c>
      <c r="O855">
        <v>3</v>
      </c>
      <c r="P855">
        <v>1</v>
      </c>
      <c r="Q855">
        <v>1</v>
      </c>
      <c r="R855">
        <v>2552</v>
      </c>
      <c r="S855">
        <v>1</v>
      </c>
      <c r="T855">
        <v>3</v>
      </c>
      <c r="U855">
        <v>1</v>
      </c>
      <c r="V855">
        <v>1</v>
      </c>
      <c r="W855">
        <v>0</v>
      </c>
      <c r="X855">
        <v>0</v>
      </c>
      <c r="Y855">
        <f>IF(HR_data[[#This Row],[Attrition]]= "Yes",1,0)</f>
        <v>0</v>
      </c>
    </row>
    <row r="856" spans="1:25">
      <c r="A856">
        <v>855</v>
      </c>
      <c r="B856" t="s">
        <v>33</v>
      </c>
      <c r="C856" t="s">
        <v>25</v>
      </c>
      <c r="D856" t="s">
        <v>35</v>
      </c>
      <c r="E856" t="s">
        <v>36</v>
      </c>
      <c r="F856" t="s">
        <v>45</v>
      </c>
      <c r="G856">
        <v>1</v>
      </c>
      <c r="H856" t="s">
        <v>29</v>
      </c>
      <c r="I856" t="s">
        <v>38</v>
      </c>
      <c r="J856" t="s">
        <v>39</v>
      </c>
      <c r="K856" t="s">
        <v>24</v>
      </c>
      <c r="L856">
        <v>45</v>
      </c>
      <c r="M856">
        <v>7</v>
      </c>
      <c r="N856" t="s">
        <v>47</v>
      </c>
      <c r="O856">
        <v>1</v>
      </c>
      <c r="P856">
        <v>1</v>
      </c>
      <c r="Q856">
        <v>3</v>
      </c>
      <c r="R856">
        <v>4477</v>
      </c>
      <c r="S856">
        <v>7</v>
      </c>
      <c r="T856">
        <v>2</v>
      </c>
      <c r="U856">
        <v>3</v>
      </c>
      <c r="V856">
        <v>2</v>
      </c>
      <c r="W856">
        <v>0</v>
      </c>
      <c r="X856">
        <v>2</v>
      </c>
      <c r="Y856">
        <f>IF(HR_data[[#This Row],[Attrition]]= "Yes",1,0)</f>
        <v>0</v>
      </c>
    </row>
    <row r="857" spans="1:25">
      <c r="A857">
        <v>856</v>
      </c>
      <c r="B857" t="s">
        <v>33</v>
      </c>
      <c r="C857" t="s">
        <v>25</v>
      </c>
      <c r="D857" t="s">
        <v>26</v>
      </c>
      <c r="E857" t="s">
        <v>36</v>
      </c>
      <c r="F857" t="s">
        <v>28</v>
      </c>
      <c r="G857">
        <v>1</v>
      </c>
      <c r="H857" t="s">
        <v>29</v>
      </c>
      <c r="I857" t="s">
        <v>49</v>
      </c>
      <c r="J857" t="s">
        <v>39</v>
      </c>
      <c r="K857" t="s">
        <v>33</v>
      </c>
      <c r="L857">
        <v>37</v>
      </c>
      <c r="M857">
        <v>1</v>
      </c>
      <c r="N857" t="s">
        <v>47</v>
      </c>
      <c r="O857">
        <v>4</v>
      </c>
      <c r="P857">
        <v>2</v>
      </c>
      <c r="Q857">
        <v>4</v>
      </c>
      <c r="R857">
        <v>6474</v>
      </c>
      <c r="S857">
        <v>14</v>
      </c>
      <c r="T857">
        <v>2</v>
      </c>
      <c r="U857">
        <v>14</v>
      </c>
      <c r="V857">
        <v>8</v>
      </c>
      <c r="W857">
        <v>3</v>
      </c>
      <c r="X857">
        <v>11</v>
      </c>
      <c r="Y857">
        <f>IF(HR_data[[#This Row],[Attrition]]= "Yes",1,0)</f>
        <v>0</v>
      </c>
    </row>
    <row r="858" spans="1:25">
      <c r="A858">
        <v>857</v>
      </c>
      <c r="B858" t="s">
        <v>33</v>
      </c>
      <c r="C858" t="s">
        <v>25</v>
      </c>
      <c r="D858" t="s">
        <v>52</v>
      </c>
      <c r="E858" t="s">
        <v>36</v>
      </c>
      <c r="F858" t="s">
        <v>28</v>
      </c>
      <c r="G858">
        <v>1</v>
      </c>
      <c r="H858" t="s">
        <v>37</v>
      </c>
      <c r="I858" t="s">
        <v>42</v>
      </c>
      <c r="J858" t="s">
        <v>31</v>
      </c>
      <c r="K858" t="s">
        <v>33</v>
      </c>
      <c r="L858">
        <v>20</v>
      </c>
      <c r="M858">
        <v>3</v>
      </c>
      <c r="N858" t="s">
        <v>47</v>
      </c>
      <c r="O858">
        <v>1</v>
      </c>
      <c r="P858">
        <v>1</v>
      </c>
      <c r="Q858">
        <v>3</v>
      </c>
      <c r="R858">
        <v>3033</v>
      </c>
      <c r="S858">
        <v>2</v>
      </c>
      <c r="T858">
        <v>2</v>
      </c>
      <c r="U858">
        <v>2</v>
      </c>
      <c r="V858">
        <v>2</v>
      </c>
      <c r="W858">
        <v>1</v>
      </c>
      <c r="X858">
        <v>2</v>
      </c>
      <c r="Y858">
        <f>IF(HR_data[[#This Row],[Attrition]]= "Yes",1,0)</f>
        <v>0</v>
      </c>
    </row>
    <row r="859" spans="1:25">
      <c r="A859">
        <v>858</v>
      </c>
      <c r="B859" t="s">
        <v>24</v>
      </c>
      <c r="C859" t="s">
        <v>25</v>
      </c>
      <c r="D859" t="s">
        <v>26</v>
      </c>
      <c r="E859" t="s">
        <v>36</v>
      </c>
      <c r="F859" t="s">
        <v>28</v>
      </c>
      <c r="G859">
        <v>1</v>
      </c>
      <c r="H859" t="s">
        <v>37</v>
      </c>
      <c r="I859" t="s">
        <v>38</v>
      </c>
      <c r="J859" t="s">
        <v>31</v>
      </c>
      <c r="K859" t="s">
        <v>24</v>
      </c>
      <c r="L859">
        <v>44</v>
      </c>
      <c r="M859">
        <v>10</v>
      </c>
      <c r="N859" t="s">
        <v>44</v>
      </c>
      <c r="O859">
        <v>3</v>
      </c>
      <c r="P859">
        <v>1</v>
      </c>
      <c r="Q859">
        <v>3</v>
      </c>
      <c r="R859">
        <v>2936</v>
      </c>
      <c r="S859">
        <v>6</v>
      </c>
      <c r="T859">
        <v>3</v>
      </c>
      <c r="U859">
        <v>6</v>
      </c>
      <c r="V859">
        <v>4</v>
      </c>
      <c r="W859">
        <v>0</v>
      </c>
      <c r="X859">
        <v>2</v>
      </c>
      <c r="Y859">
        <f>IF(HR_data[[#This Row],[Attrition]]= "Yes",1,0)</f>
        <v>1</v>
      </c>
    </row>
    <row r="860" spans="1:25">
      <c r="A860">
        <v>859</v>
      </c>
      <c r="B860" t="s">
        <v>33</v>
      </c>
      <c r="C860" t="s">
        <v>25</v>
      </c>
      <c r="D860" t="s">
        <v>35</v>
      </c>
      <c r="E860" t="s">
        <v>36</v>
      </c>
      <c r="F860" t="s">
        <v>45</v>
      </c>
      <c r="G860">
        <v>1</v>
      </c>
      <c r="H860" t="s">
        <v>29</v>
      </c>
      <c r="I860" t="s">
        <v>53</v>
      </c>
      <c r="J860" t="s">
        <v>48</v>
      </c>
      <c r="K860" t="s">
        <v>33</v>
      </c>
      <c r="L860">
        <v>53</v>
      </c>
      <c r="M860">
        <v>7</v>
      </c>
      <c r="N860" t="s">
        <v>32</v>
      </c>
      <c r="O860">
        <v>4</v>
      </c>
      <c r="P860">
        <v>5</v>
      </c>
      <c r="Q860">
        <v>3</v>
      </c>
      <c r="R860">
        <v>18606</v>
      </c>
      <c r="S860">
        <v>26</v>
      </c>
      <c r="T860">
        <v>3</v>
      </c>
      <c r="U860">
        <v>7</v>
      </c>
      <c r="V860">
        <v>7</v>
      </c>
      <c r="W860">
        <v>4</v>
      </c>
      <c r="X860">
        <v>7</v>
      </c>
      <c r="Y860">
        <f>IF(HR_data[[#This Row],[Attrition]]= "Yes",1,0)</f>
        <v>0</v>
      </c>
    </row>
    <row r="861" spans="1:25">
      <c r="A861">
        <v>860</v>
      </c>
      <c r="B861" t="s">
        <v>33</v>
      </c>
      <c r="C861" t="s">
        <v>25</v>
      </c>
      <c r="D861" t="s">
        <v>43</v>
      </c>
      <c r="E861" t="s">
        <v>36</v>
      </c>
      <c r="F861" t="s">
        <v>28</v>
      </c>
      <c r="G861">
        <v>1</v>
      </c>
      <c r="H861" t="s">
        <v>29</v>
      </c>
      <c r="I861" t="s">
        <v>38</v>
      </c>
      <c r="J861" t="s">
        <v>39</v>
      </c>
      <c r="K861" t="s">
        <v>24</v>
      </c>
      <c r="L861">
        <v>29</v>
      </c>
      <c r="M861">
        <v>15</v>
      </c>
      <c r="N861" t="s">
        <v>40</v>
      </c>
      <c r="O861">
        <v>2</v>
      </c>
      <c r="P861">
        <v>1</v>
      </c>
      <c r="Q861">
        <v>4</v>
      </c>
      <c r="R861">
        <v>2168</v>
      </c>
      <c r="S861">
        <v>6</v>
      </c>
      <c r="T861">
        <v>2</v>
      </c>
      <c r="U861">
        <v>5</v>
      </c>
      <c r="V861">
        <v>4</v>
      </c>
      <c r="W861">
        <v>1</v>
      </c>
      <c r="X861">
        <v>3</v>
      </c>
      <c r="Y861">
        <f>IF(HR_data[[#This Row],[Attrition]]= "Yes",1,0)</f>
        <v>0</v>
      </c>
    </row>
    <row r="862" spans="1:25">
      <c r="A862">
        <v>861</v>
      </c>
      <c r="B862" t="s">
        <v>24</v>
      </c>
      <c r="C862" t="s">
        <v>34</v>
      </c>
      <c r="D862" t="s">
        <v>52</v>
      </c>
      <c r="E862" t="s">
        <v>36</v>
      </c>
      <c r="F862" t="s">
        <v>28</v>
      </c>
      <c r="G862">
        <v>1</v>
      </c>
      <c r="H862" t="s">
        <v>37</v>
      </c>
      <c r="I862" t="s">
        <v>38</v>
      </c>
      <c r="J862" t="s">
        <v>39</v>
      </c>
      <c r="K862" t="s">
        <v>24</v>
      </c>
      <c r="L862">
        <v>22</v>
      </c>
      <c r="M862">
        <v>3</v>
      </c>
      <c r="N862" t="s">
        <v>44</v>
      </c>
      <c r="O862">
        <v>3</v>
      </c>
      <c r="P862">
        <v>1</v>
      </c>
      <c r="Q862">
        <v>4</v>
      </c>
      <c r="R862">
        <v>2853</v>
      </c>
      <c r="S862">
        <v>1</v>
      </c>
      <c r="T862">
        <v>3</v>
      </c>
      <c r="U862">
        <v>0</v>
      </c>
      <c r="V862">
        <v>0</v>
      </c>
      <c r="W862">
        <v>0</v>
      </c>
      <c r="X862">
        <v>0</v>
      </c>
      <c r="Y862">
        <f>IF(HR_data[[#This Row],[Attrition]]= "Yes",1,0)</f>
        <v>1</v>
      </c>
    </row>
    <row r="863" spans="1:25">
      <c r="A863">
        <v>862</v>
      </c>
      <c r="B863" t="s">
        <v>33</v>
      </c>
      <c r="C863" t="s">
        <v>25</v>
      </c>
      <c r="D863" t="s">
        <v>35</v>
      </c>
      <c r="E863" t="s">
        <v>27</v>
      </c>
      <c r="F863" t="s">
        <v>56</v>
      </c>
      <c r="G863">
        <v>1</v>
      </c>
      <c r="H863" t="s">
        <v>29</v>
      </c>
      <c r="I863" t="s">
        <v>53</v>
      </c>
      <c r="J863" t="s">
        <v>39</v>
      </c>
      <c r="K863" t="s">
        <v>33</v>
      </c>
      <c r="L863">
        <v>46</v>
      </c>
      <c r="M863">
        <v>2</v>
      </c>
      <c r="N863" t="s">
        <v>47</v>
      </c>
      <c r="O863">
        <v>3</v>
      </c>
      <c r="P863">
        <v>4</v>
      </c>
      <c r="Q863">
        <v>1</v>
      </c>
      <c r="R863">
        <v>17048</v>
      </c>
      <c r="S863">
        <v>28</v>
      </c>
      <c r="T863">
        <v>3</v>
      </c>
      <c r="U863">
        <v>26</v>
      </c>
      <c r="V863">
        <v>15</v>
      </c>
      <c r="W863">
        <v>15</v>
      </c>
      <c r="X863">
        <v>9</v>
      </c>
      <c r="Y863">
        <f>IF(HR_data[[#This Row],[Attrition]]= "Yes",1,0)</f>
        <v>0</v>
      </c>
    </row>
    <row r="864" spans="1:25">
      <c r="A864">
        <v>863</v>
      </c>
      <c r="B864" t="s">
        <v>33</v>
      </c>
      <c r="C864" t="s">
        <v>51</v>
      </c>
      <c r="D864" t="s">
        <v>26</v>
      </c>
      <c r="E864" t="s">
        <v>36</v>
      </c>
      <c r="F864" t="s">
        <v>28</v>
      </c>
      <c r="G864">
        <v>1</v>
      </c>
      <c r="H864" t="s">
        <v>37</v>
      </c>
      <c r="I864" t="s">
        <v>38</v>
      </c>
      <c r="J864" t="s">
        <v>31</v>
      </c>
      <c r="K864" t="s">
        <v>33</v>
      </c>
      <c r="L864">
        <v>44</v>
      </c>
      <c r="M864">
        <v>17</v>
      </c>
      <c r="N864" t="s">
        <v>47</v>
      </c>
      <c r="O864">
        <v>4</v>
      </c>
      <c r="P864">
        <v>1</v>
      </c>
      <c r="Q864">
        <v>3</v>
      </c>
      <c r="R864">
        <v>2290</v>
      </c>
      <c r="S864">
        <v>6</v>
      </c>
      <c r="T864">
        <v>3</v>
      </c>
      <c r="U864">
        <v>0</v>
      </c>
      <c r="V864">
        <v>0</v>
      </c>
      <c r="W864">
        <v>0</v>
      </c>
      <c r="X864">
        <v>0</v>
      </c>
      <c r="Y864">
        <f>IF(HR_data[[#This Row],[Attrition]]= "Yes",1,0)</f>
        <v>0</v>
      </c>
    </row>
    <row r="865" spans="1:25">
      <c r="A865">
        <v>864</v>
      </c>
      <c r="B865" t="s">
        <v>33</v>
      </c>
      <c r="C865" t="s">
        <v>25</v>
      </c>
      <c r="D865" t="s">
        <v>43</v>
      </c>
      <c r="E865" t="s">
        <v>59</v>
      </c>
      <c r="F865" t="s">
        <v>60</v>
      </c>
      <c r="G865">
        <v>1</v>
      </c>
      <c r="H865" t="s">
        <v>37</v>
      </c>
      <c r="I865" t="s">
        <v>60</v>
      </c>
      <c r="J865" t="s">
        <v>39</v>
      </c>
      <c r="K865" t="s">
        <v>33</v>
      </c>
      <c r="L865">
        <v>33</v>
      </c>
      <c r="M865">
        <v>2</v>
      </c>
      <c r="N865" t="s">
        <v>47</v>
      </c>
      <c r="O865">
        <v>2</v>
      </c>
      <c r="P865">
        <v>1</v>
      </c>
      <c r="Q865">
        <v>3</v>
      </c>
      <c r="R865">
        <v>3600</v>
      </c>
      <c r="S865">
        <v>5</v>
      </c>
      <c r="T865">
        <v>3</v>
      </c>
      <c r="U865">
        <v>5</v>
      </c>
      <c r="V865">
        <v>4</v>
      </c>
      <c r="W865">
        <v>1</v>
      </c>
      <c r="X865">
        <v>4</v>
      </c>
      <c r="Y865">
        <f>IF(HR_data[[#This Row],[Attrition]]= "Yes",1,0)</f>
        <v>0</v>
      </c>
    </row>
    <row r="866" spans="1:25">
      <c r="A866">
        <v>865</v>
      </c>
      <c r="B866" t="s">
        <v>24</v>
      </c>
      <c r="C866" t="s">
        <v>51</v>
      </c>
      <c r="D866" t="s">
        <v>26</v>
      </c>
      <c r="E866" t="s">
        <v>36</v>
      </c>
      <c r="F866" t="s">
        <v>28</v>
      </c>
      <c r="G866">
        <v>1</v>
      </c>
      <c r="H866" t="s">
        <v>37</v>
      </c>
      <c r="I866" t="s">
        <v>38</v>
      </c>
      <c r="J866" t="s">
        <v>48</v>
      </c>
      <c r="K866" t="s">
        <v>33</v>
      </c>
      <c r="L866">
        <v>41</v>
      </c>
      <c r="M866">
        <v>5</v>
      </c>
      <c r="N866" t="s">
        <v>32</v>
      </c>
      <c r="O866">
        <v>1</v>
      </c>
      <c r="P866">
        <v>1</v>
      </c>
      <c r="Q866">
        <v>1</v>
      </c>
      <c r="R866">
        <v>2107</v>
      </c>
      <c r="S866">
        <v>5</v>
      </c>
      <c r="T866">
        <v>1</v>
      </c>
      <c r="U866">
        <v>1</v>
      </c>
      <c r="V866">
        <v>0</v>
      </c>
      <c r="W866">
        <v>0</v>
      </c>
      <c r="X866">
        <v>0</v>
      </c>
      <c r="Y866">
        <f>IF(HR_data[[#This Row],[Attrition]]= "Yes",1,0)</f>
        <v>1</v>
      </c>
    </row>
    <row r="867" spans="1:25">
      <c r="A867">
        <v>866</v>
      </c>
      <c r="B867" t="s">
        <v>33</v>
      </c>
      <c r="C867" t="s">
        <v>25</v>
      </c>
      <c r="D867" t="s">
        <v>43</v>
      </c>
      <c r="E867" t="s">
        <v>27</v>
      </c>
      <c r="F867" t="s">
        <v>28</v>
      </c>
      <c r="G867">
        <v>1</v>
      </c>
      <c r="H867" t="s">
        <v>37</v>
      </c>
      <c r="I867" t="s">
        <v>30</v>
      </c>
      <c r="J867" t="s">
        <v>48</v>
      </c>
      <c r="K867" t="s">
        <v>33</v>
      </c>
      <c r="L867">
        <v>30</v>
      </c>
      <c r="M867">
        <v>29</v>
      </c>
      <c r="N867" t="s">
        <v>44</v>
      </c>
      <c r="O867">
        <v>3</v>
      </c>
      <c r="P867">
        <v>2</v>
      </c>
      <c r="Q867">
        <v>1</v>
      </c>
      <c r="R867">
        <v>4115</v>
      </c>
      <c r="S867">
        <v>8</v>
      </c>
      <c r="T867">
        <v>3</v>
      </c>
      <c r="U867">
        <v>4</v>
      </c>
      <c r="V867">
        <v>3</v>
      </c>
      <c r="W867">
        <v>0</v>
      </c>
      <c r="X867">
        <v>3</v>
      </c>
      <c r="Y867">
        <f>IF(HR_data[[#This Row],[Attrition]]= "Yes",1,0)</f>
        <v>0</v>
      </c>
    </row>
    <row r="868" spans="1:25">
      <c r="A868">
        <v>867</v>
      </c>
      <c r="B868" t="s">
        <v>33</v>
      </c>
      <c r="C868" t="s">
        <v>34</v>
      </c>
      <c r="D868" t="s">
        <v>26</v>
      </c>
      <c r="E868" t="s">
        <v>27</v>
      </c>
      <c r="F868" t="s">
        <v>45</v>
      </c>
      <c r="G868">
        <v>1</v>
      </c>
      <c r="H868" t="s">
        <v>37</v>
      </c>
      <c r="I868" t="s">
        <v>30</v>
      </c>
      <c r="J868" t="s">
        <v>39</v>
      </c>
      <c r="K868" t="s">
        <v>33</v>
      </c>
      <c r="L868">
        <v>40</v>
      </c>
      <c r="M868">
        <v>2</v>
      </c>
      <c r="N868" t="s">
        <v>44</v>
      </c>
      <c r="O868">
        <v>2</v>
      </c>
      <c r="P868">
        <v>2</v>
      </c>
      <c r="Q868">
        <v>2</v>
      </c>
      <c r="R868">
        <v>4327</v>
      </c>
      <c r="S868">
        <v>5</v>
      </c>
      <c r="T868">
        <v>3</v>
      </c>
      <c r="U868">
        <v>0</v>
      </c>
      <c r="V868">
        <v>0</v>
      </c>
      <c r="W868">
        <v>0</v>
      </c>
      <c r="X868">
        <v>0</v>
      </c>
      <c r="Y868">
        <f>IF(HR_data[[#This Row],[Attrition]]= "Yes",1,0)</f>
        <v>0</v>
      </c>
    </row>
    <row r="869" spans="1:25">
      <c r="A869">
        <v>868</v>
      </c>
      <c r="B869" t="s">
        <v>33</v>
      </c>
      <c r="C869" t="s">
        <v>34</v>
      </c>
      <c r="D869" t="s">
        <v>35</v>
      </c>
      <c r="E869" t="s">
        <v>36</v>
      </c>
      <c r="F869" t="s">
        <v>45</v>
      </c>
      <c r="G869">
        <v>1</v>
      </c>
      <c r="H869" t="s">
        <v>29</v>
      </c>
      <c r="I869" t="s">
        <v>53</v>
      </c>
      <c r="J869" t="s">
        <v>39</v>
      </c>
      <c r="K869" t="s">
        <v>33</v>
      </c>
      <c r="L869">
        <v>50</v>
      </c>
      <c r="M869">
        <v>2</v>
      </c>
      <c r="N869" t="s">
        <v>47</v>
      </c>
      <c r="O869">
        <v>4</v>
      </c>
      <c r="P869">
        <v>4</v>
      </c>
      <c r="Q869">
        <v>1</v>
      </c>
      <c r="R869">
        <v>17856</v>
      </c>
      <c r="S869">
        <v>32</v>
      </c>
      <c r="T869">
        <v>3</v>
      </c>
      <c r="U869">
        <v>2</v>
      </c>
      <c r="V869">
        <v>2</v>
      </c>
      <c r="W869">
        <v>2</v>
      </c>
      <c r="X869">
        <v>2</v>
      </c>
      <c r="Y869">
        <f>IF(HR_data[[#This Row],[Attrition]]= "Yes",1,0)</f>
        <v>0</v>
      </c>
    </row>
    <row r="870" spans="1:25">
      <c r="A870">
        <v>869</v>
      </c>
      <c r="B870" t="s">
        <v>33</v>
      </c>
      <c r="C870" t="s">
        <v>25</v>
      </c>
      <c r="D870" t="s">
        <v>43</v>
      </c>
      <c r="E870" t="s">
        <v>36</v>
      </c>
      <c r="F870" t="s">
        <v>45</v>
      </c>
      <c r="G870">
        <v>1</v>
      </c>
      <c r="H870" t="s">
        <v>37</v>
      </c>
      <c r="I870" t="s">
        <v>42</v>
      </c>
      <c r="J870" t="s">
        <v>39</v>
      </c>
      <c r="K870" t="s">
        <v>33</v>
      </c>
      <c r="L870">
        <v>28</v>
      </c>
      <c r="M870">
        <v>19</v>
      </c>
      <c r="N870" t="s">
        <v>44</v>
      </c>
      <c r="O870">
        <v>4</v>
      </c>
      <c r="P870">
        <v>1</v>
      </c>
      <c r="Q870">
        <v>1</v>
      </c>
      <c r="R870">
        <v>3196</v>
      </c>
      <c r="S870">
        <v>6</v>
      </c>
      <c r="T870">
        <v>3</v>
      </c>
      <c r="U870">
        <v>6</v>
      </c>
      <c r="V870">
        <v>5</v>
      </c>
      <c r="W870">
        <v>3</v>
      </c>
      <c r="X870">
        <v>3</v>
      </c>
      <c r="Y870">
        <f>IF(HR_data[[#This Row],[Attrition]]= "Yes",1,0)</f>
        <v>0</v>
      </c>
    </row>
    <row r="871" spans="1:25">
      <c r="A871">
        <v>870</v>
      </c>
      <c r="B871" t="s">
        <v>33</v>
      </c>
      <c r="C871" t="s">
        <v>25</v>
      </c>
      <c r="D871" t="s">
        <v>35</v>
      </c>
      <c r="E871" t="s">
        <v>36</v>
      </c>
      <c r="F871" t="s">
        <v>28</v>
      </c>
      <c r="G871">
        <v>1</v>
      </c>
      <c r="H871" t="s">
        <v>37</v>
      </c>
      <c r="I871" t="s">
        <v>55</v>
      </c>
      <c r="J871" t="s">
        <v>39</v>
      </c>
      <c r="K871" t="s">
        <v>33</v>
      </c>
      <c r="L871">
        <v>46</v>
      </c>
      <c r="M871">
        <v>15</v>
      </c>
      <c r="N871" t="s">
        <v>32</v>
      </c>
      <c r="O871">
        <v>4</v>
      </c>
      <c r="P871">
        <v>5</v>
      </c>
      <c r="Q871">
        <v>2</v>
      </c>
      <c r="R871">
        <v>19081</v>
      </c>
      <c r="S871">
        <v>25</v>
      </c>
      <c r="T871">
        <v>3</v>
      </c>
      <c r="U871">
        <v>4</v>
      </c>
      <c r="V871">
        <v>2</v>
      </c>
      <c r="W871">
        <v>0</v>
      </c>
      <c r="X871">
        <v>3</v>
      </c>
      <c r="Y871">
        <f>IF(HR_data[[#This Row],[Attrition]]= "Yes",1,0)</f>
        <v>0</v>
      </c>
    </row>
    <row r="872" spans="1:25">
      <c r="A872">
        <v>871</v>
      </c>
      <c r="B872" t="s">
        <v>33</v>
      </c>
      <c r="C872" t="s">
        <v>25</v>
      </c>
      <c r="D872" t="s">
        <v>26</v>
      </c>
      <c r="E872" t="s">
        <v>27</v>
      </c>
      <c r="F872" t="s">
        <v>28</v>
      </c>
      <c r="G872">
        <v>1</v>
      </c>
      <c r="H872" t="s">
        <v>37</v>
      </c>
      <c r="I872" t="s">
        <v>30</v>
      </c>
      <c r="J872" t="s">
        <v>39</v>
      </c>
      <c r="K872" t="s">
        <v>24</v>
      </c>
      <c r="L872">
        <v>35</v>
      </c>
      <c r="M872">
        <v>17</v>
      </c>
      <c r="N872" t="s">
        <v>44</v>
      </c>
      <c r="O872">
        <v>3</v>
      </c>
      <c r="P872">
        <v>2</v>
      </c>
      <c r="Q872">
        <v>1</v>
      </c>
      <c r="R872">
        <v>8966</v>
      </c>
      <c r="S872">
        <v>15</v>
      </c>
      <c r="T872">
        <v>3</v>
      </c>
      <c r="U872">
        <v>7</v>
      </c>
      <c r="V872">
        <v>7</v>
      </c>
      <c r="W872">
        <v>1</v>
      </c>
      <c r="X872">
        <v>7</v>
      </c>
      <c r="Y872">
        <f>IF(HR_data[[#This Row],[Attrition]]= "Yes",1,0)</f>
        <v>0</v>
      </c>
    </row>
    <row r="873" spans="1:25">
      <c r="A873">
        <v>872</v>
      </c>
      <c r="B873" t="s">
        <v>24</v>
      </c>
      <c r="C873" t="s">
        <v>25</v>
      </c>
      <c r="D873" t="s">
        <v>52</v>
      </c>
      <c r="E873" t="s">
        <v>36</v>
      </c>
      <c r="F873" t="s">
        <v>28</v>
      </c>
      <c r="G873">
        <v>1</v>
      </c>
      <c r="H873" t="s">
        <v>29</v>
      </c>
      <c r="I873" t="s">
        <v>42</v>
      </c>
      <c r="J873" t="s">
        <v>39</v>
      </c>
      <c r="K873" t="s">
        <v>33</v>
      </c>
      <c r="L873">
        <v>24</v>
      </c>
      <c r="M873">
        <v>17</v>
      </c>
      <c r="N873" t="s">
        <v>32</v>
      </c>
      <c r="O873">
        <v>4</v>
      </c>
      <c r="P873">
        <v>1</v>
      </c>
      <c r="Q873">
        <v>2</v>
      </c>
      <c r="R873">
        <v>2210</v>
      </c>
      <c r="S873">
        <v>1</v>
      </c>
      <c r="T873">
        <v>1</v>
      </c>
      <c r="U873">
        <v>1</v>
      </c>
      <c r="V873">
        <v>0</v>
      </c>
      <c r="W873">
        <v>0</v>
      </c>
      <c r="X873">
        <v>0</v>
      </c>
      <c r="Y873">
        <f>IF(HR_data[[#This Row],[Attrition]]= "Yes",1,0)</f>
        <v>1</v>
      </c>
    </row>
    <row r="874" spans="1:25">
      <c r="A874">
        <v>873</v>
      </c>
      <c r="B874" t="s">
        <v>33</v>
      </c>
      <c r="C874" t="s">
        <v>34</v>
      </c>
      <c r="D874" t="s">
        <v>43</v>
      </c>
      <c r="E874" t="s">
        <v>27</v>
      </c>
      <c r="F874" t="s">
        <v>45</v>
      </c>
      <c r="G874">
        <v>1</v>
      </c>
      <c r="H874" t="s">
        <v>29</v>
      </c>
      <c r="I874" t="s">
        <v>30</v>
      </c>
      <c r="J874" t="s">
        <v>39</v>
      </c>
      <c r="K874" t="s">
        <v>33</v>
      </c>
      <c r="L874">
        <v>33</v>
      </c>
      <c r="M874">
        <v>25</v>
      </c>
      <c r="N874" t="s">
        <v>47</v>
      </c>
      <c r="O874">
        <v>2</v>
      </c>
      <c r="P874">
        <v>2</v>
      </c>
      <c r="Q874">
        <v>3</v>
      </c>
      <c r="R874">
        <v>4539</v>
      </c>
      <c r="S874">
        <v>10</v>
      </c>
      <c r="T874">
        <v>2</v>
      </c>
      <c r="U874">
        <v>10</v>
      </c>
      <c r="V874">
        <v>7</v>
      </c>
      <c r="W874">
        <v>0</v>
      </c>
      <c r="X874">
        <v>1</v>
      </c>
      <c r="Y874">
        <f>IF(HR_data[[#This Row],[Attrition]]= "Yes",1,0)</f>
        <v>0</v>
      </c>
    </row>
    <row r="875" spans="1:25">
      <c r="A875">
        <v>874</v>
      </c>
      <c r="B875" t="s">
        <v>33</v>
      </c>
      <c r="C875" t="s">
        <v>25</v>
      </c>
      <c r="D875" t="s">
        <v>26</v>
      </c>
      <c r="E875" t="s">
        <v>36</v>
      </c>
      <c r="F875" t="s">
        <v>28</v>
      </c>
      <c r="G875">
        <v>1</v>
      </c>
      <c r="H875" t="s">
        <v>37</v>
      </c>
      <c r="I875" t="s">
        <v>42</v>
      </c>
      <c r="J875" t="s">
        <v>48</v>
      </c>
      <c r="K875" t="s">
        <v>33</v>
      </c>
      <c r="L875">
        <v>36</v>
      </c>
      <c r="M875">
        <v>6</v>
      </c>
      <c r="N875" t="s">
        <v>44</v>
      </c>
      <c r="O875">
        <v>3</v>
      </c>
      <c r="P875">
        <v>1</v>
      </c>
      <c r="Q875">
        <v>3</v>
      </c>
      <c r="R875">
        <v>2741</v>
      </c>
      <c r="S875">
        <v>7</v>
      </c>
      <c r="T875">
        <v>3</v>
      </c>
      <c r="U875">
        <v>7</v>
      </c>
      <c r="V875">
        <v>7</v>
      </c>
      <c r="W875">
        <v>1</v>
      </c>
      <c r="X875">
        <v>7</v>
      </c>
      <c r="Y875">
        <f>IF(HR_data[[#This Row],[Attrition]]= "Yes",1,0)</f>
        <v>0</v>
      </c>
    </row>
    <row r="876" spans="1:25">
      <c r="A876">
        <v>875</v>
      </c>
      <c r="B876" t="s">
        <v>33</v>
      </c>
      <c r="C876" t="s">
        <v>25</v>
      </c>
      <c r="D876" t="s">
        <v>43</v>
      </c>
      <c r="E876" t="s">
        <v>36</v>
      </c>
      <c r="F876" t="s">
        <v>28</v>
      </c>
      <c r="G876">
        <v>1</v>
      </c>
      <c r="H876" t="s">
        <v>37</v>
      </c>
      <c r="I876" t="s">
        <v>42</v>
      </c>
      <c r="J876" t="s">
        <v>48</v>
      </c>
      <c r="K876" t="s">
        <v>33</v>
      </c>
      <c r="L876">
        <v>30</v>
      </c>
      <c r="M876">
        <v>7</v>
      </c>
      <c r="N876" t="s">
        <v>44</v>
      </c>
      <c r="O876">
        <v>3</v>
      </c>
      <c r="P876">
        <v>2</v>
      </c>
      <c r="Q876">
        <v>3</v>
      </c>
      <c r="R876">
        <v>3491</v>
      </c>
      <c r="S876">
        <v>10</v>
      </c>
      <c r="T876">
        <v>2</v>
      </c>
      <c r="U876">
        <v>10</v>
      </c>
      <c r="V876">
        <v>7</v>
      </c>
      <c r="W876">
        <v>8</v>
      </c>
      <c r="X876">
        <v>9</v>
      </c>
      <c r="Y876">
        <f>IF(HR_data[[#This Row],[Attrition]]= "Yes",1,0)</f>
        <v>0</v>
      </c>
    </row>
    <row r="877" spans="1:25">
      <c r="A877">
        <v>876</v>
      </c>
      <c r="B877" t="s">
        <v>33</v>
      </c>
      <c r="C877" t="s">
        <v>25</v>
      </c>
      <c r="D877" t="s">
        <v>26</v>
      </c>
      <c r="E877" t="s">
        <v>36</v>
      </c>
      <c r="F877" t="s">
        <v>41</v>
      </c>
      <c r="G877">
        <v>1</v>
      </c>
      <c r="H877" t="s">
        <v>37</v>
      </c>
      <c r="I877" t="s">
        <v>38</v>
      </c>
      <c r="J877" t="s">
        <v>31</v>
      </c>
      <c r="K877" t="s">
        <v>33</v>
      </c>
      <c r="L877">
        <v>44</v>
      </c>
      <c r="M877">
        <v>29</v>
      </c>
      <c r="N877" t="s">
        <v>44</v>
      </c>
      <c r="O877">
        <v>4</v>
      </c>
      <c r="P877">
        <v>2</v>
      </c>
      <c r="Q877">
        <v>4</v>
      </c>
      <c r="R877">
        <v>4541</v>
      </c>
      <c r="S877">
        <v>20</v>
      </c>
      <c r="T877">
        <v>3</v>
      </c>
      <c r="U877">
        <v>20</v>
      </c>
      <c r="V877">
        <v>11</v>
      </c>
      <c r="W877">
        <v>13</v>
      </c>
      <c r="X877">
        <v>17</v>
      </c>
      <c r="Y877">
        <f>IF(HR_data[[#This Row],[Attrition]]= "Yes",1,0)</f>
        <v>0</v>
      </c>
    </row>
    <row r="878" spans="1:25">
      <c r="A878">
        <v>877</v>
      </c>
      <c r="B878" t="s">
        <v>33</v>
      </c>
      <c r="C878" t="s">
        <v>25</v>
      </c>
      <c r="D878" t="s">
        <v>52</v>
      </c>
      <c r="E878" t="s">
        <v>27</v>
      </c>
      <c r="F878" t="s">
        <v>56</v>
      </c>
      <c r="G878">
        <v>1</v>
      </c>
      <c r="H878" t="s">
        <v>37</v>
      </c>
      <c r="I878" t="s">
        <v>54</v>
      </c>
      <c r="J878" t="s">
        <v>31</v>
      </c>
      <c r="K878" t="s">
        <v>33</v>
      </c>
      <c r="L878">
        <v>20</v>
      </c>
      <c r="M878">
        <v>21</v>
      </c>
      <c r="N878" t="s">
        <v>47</v>
      </c>
      <c r="O878">
        <v>3</v>
      </c>
      <c r="P878">
        <v>1</v>
      </c>
      <c r="Q878">
        <v>4</v>
      </c>
      <c r="R878">
        <v>2678</v>
      </c>
      <c r="S878">
        <v>2</v>
      </c>
      <c r="T878">
        <v>3</v>
      </c>
      <c r="U878">
        <v>2</v>
      </c>
      <c r="V878">
        <v>1</v>
      </c>
      <c r="W878">
        <v>2</v>
      </c>
      <c r="X878">
        <v>2</v>
      </c>
      <c r="Y878">
        <f>IF(HR_data[[#This Row],[Attrition]]= "Yes",1,0)</f>
        <v>0</v>
      </c>
    </row>
    <row r="879" spans="1:25">
      <c r="A879">
        <v>878</v>
      </c>
      <c r="B879" t="s">
        <v>33</v>
      </c>
      <c r="C879" t="s">
        <v>25</v>
      </c>
      <c r="D879" t="s">
        <v>35</v>
      </c>
      <c r="E879" t="s">
        <v>36</v>
      </c>
      <c r="F879" t="s">
        <v>57</v>
      </c>
      <c r="G879">
        <v>1</v>
      </c>
      <c r="H879" t="s">
        <v>37</v>
      </c>
      <c r="I879" t="s">
        <v>49</v>
      </c>
      <c r="J879" t="s">
        <v>48</v>
      </c>
      <c r="K879" t="s">
        <v>33</v>
      </c>
      <c r="L879">
        <v>46</v>
      </c>
      <c r="M879">
        <v>2</v>
      </c>
      <c r="N879" t="s">
        <v>44</v>
      </c>
      <c r="O879">
        <v>4</v>
      </c>
      <c r="P879">
        <v>2</v>
      </c>
      <c r="Q879">
        <v>4</v>
      </c>
      <c r="R879">
        <v>7379</v>
      </c>
      <c r="S879">
        <v>12</v>
      </c>
      <c r="T879">
        <v>2</v>
      </c>
      <c r="U879">
        <v>6</v>
      </c>
      <c r="V879">
        <v>3</v>
      </c>
      <c r="W879">
        <v>1</v>
      </c>
      <c r="X879">
        <v>4</v>
      </c>
      <c r="Y879">
        <f>IF(HR_data[[#This Row],[Attrition]]= "Yes",1,0)</f>
        <v>0</v>
      </c>
    </row>
    <row r="880" spans="1:25">
      <c r="A880">
        <v>879</v>
      </c>
      <c r="B880" t="s">
        <v>33</v>
      </c>
      <c r="C880" t="s">
        <v>51</v>
      </c>
      <c r="D880" t="s">
        <v>26</v>
      </c>
      <c r="E880" t="s">
        <v>59</v>
      </c>
      <c r="F880" t="s">
        <v>45</v>
      </c>
      <c r="G880">
        <v>1</v>
      </c>
      <c r="H880" t="s">
        <v>37</v>
      </c>
      <c r="I880" t="s">
        <v>60</v>
      </c>
      <c r="J880" t="s">
        <v>39</v>
      </c>
      <c r="K880" t="s">
        <v>33</v>
      </c>
      <c r="L880">
        <v>42</v>
      </c>
      <c r="M880">
        <v>2</v>
      </c>
      <c r="N880" t="s">
        <v>58</v>
      </c>
      <c r="O880">
        <v>4</v>
      </c>
      <c r="P880">
        <v>2</v>
      </c>
      <c r="Q880">
        <v>1</v>
      </c>
      <c r="R880">
        <v>6272</v>
      </c>
      <c r="S880">
        <v>10</v>
      </c>
      <c r="T880">
        <v>4</v>
      </c>
      <c r="U880">
        <v>4</v>
      </c>
      <c r="V880">
        <v>3</v>
      </c>
      <c r="W880">
        <v>0</v>
      </c>
      <c r="X880">
        <v>3</v>
      </c>
      <c r="Y880">
        <f>IF(HR_data[[#This Row],[Attrition]]= "Yes",1,0)</f>
        <v>0</v>
      </c>
    </row>
    <row r="881" spans="1:25">
      <c r="A881">
        <v>880</v>
      </c>
      <c r="B881" t="s">
        <v>33</v>
      </c>
      <c r="C881" t="s">
        <v>25</v>
      </c>
      <c r="D881" t="s">
        <v>46</v>
      </c>
      <c r="E881" t="s">
        <v>27</v>
      </c>
      <c r="F881" t="s">
        <v>56</v>
      </c>
      <c r="G881">
        <v>1</v>
      </c>
      <c r="H881" t="s">
        <v>37</v>
      </c>
      <c r="I881" t="s">
        <v>30</v>
      </c>
      <c r="J881" t="s">
        <v>48</v>
      </c>
      <c r="K881" t="s">
        <v>24</v>
      </c>
      <c r="L881">
        <v>60</v>
      </c>
      <c r="M881">
        <v>7</v>
      </c>
      <c r="N881" t="s">
        <v>44</v>
      </c>
      <c r="O881">
        <v>2</v>
      </c>
      <c r="P881">
        <v>2</v>
      </c>
      <c r="Q881">
        <v>4</v>
      </c>
      <c r="R881">
        <v>5220</v>
      </c>
      <c r="S881">
        <v>12</v>
      </c>
      <c r="T881">
        <v>3</v>
      </c>
      <c r="U881">
        <v>11</v>
      </c>
      <c r="V881">
        <v>7</v>
      </c>
      <c r="W881">
        <v>1</v>
      </c>
      <c r="X881">
        <v>9</v>
      </c>
      <c r="Y881">
        <f>IF(HR_data[[#This Row],[Attrition]]= "Yes",1,0)</f>
        <v>0</v>
      </c>
    </row>
    <row r="882" spans="1:25">
      <c r="A882">
        <v>881</v>
      </c>
      <c r="B882" t="s">
        <v>33</v>
      </c>
      <c r="C882" t="s">
        <v>34</v>
      </c>
      <c r="D882" t="s">
        <v>43</v>
      </c>
      <c r="E882" t="s">
        <v>36</v>
      </c>
      <c r="F882" t="s">
        <v>41</v>
      </c>
      <c r="G882">
        <v>1</v>
      </c>
      <c r="H882" t="s">
        <v>29</v>
      </c>
      <c r="I882" t="s">
        <v>42</v>
      </c>
      <c r="J882" t="s">
        <v>39</v>
      </c>
      <c r="K882" t="s">
        <v>33</v>
      </c>
      <c r="L882">
        <v>32</v>
      </c>
      <c r="M882">
        <v>13</v>
      </c>
      <c r="N882" t="s">
        <v>47</v>
      </c>
      <c r="O882">
        <v>3</v>
      </c>
      <c r="P882">
        <v>1</v>
      </c>
      <c r="Q882">
        <v>2</v>
      </c>
      <c r="R882">
        <v>2743</v>
      </c>
      <c r="S882">
        <v>2</v>
      </c>
      <c r="T882">
        <v>3</v>
      </c>
      <c r="U882">
        <v>2</v>
      </c>
      <c r="V882">
        <v>2</v>
      </c>
      <c r="W882">
        <v>2</v>
      </c>
      <c r="X882">
        <v>2</v>
      </c>
      <c r="Y882">
        <f>IF(HR_data[[#This Row],[Attrition]]= "Yes",1,0)</f>
        <v>0</v>
      </c>
    </row>
    <row r="883" spans="1:25">
      <c r="A883">
        <v>882</v>
      </c>
      <c r="B883" t="s">
        <v>33</v>
      </c>
      <c r="C883" t="s">
        <v>34</v>
      </c>
      <c r="D883" t="s">
        <v>43</v>
      </c>
      <c r="E883" t="s">
        <v>36</v>
      </c>
      <c r="F883" t="s">
        <v>28</v>
      </c>
      <c r="G883">
        <v>1</v>
      </c>
      <c r="H883" t="s">
        <v>29</v>
      </c>
      <c r="I883" t="s">
        <v>38</v>
      </c>
      <c r="J883" t="s">
        <v>31</v>
      </c>
      <c r="K883" t="s">
        <v>24</v>
      </c>
      <c r="L883">
        <v>32</v>
      </c>
      <c r="M883">
        <v>2</v>
      </c>
      <c r="N883" t="s">
        <v>32</v>
      </c>
      <c r="O883">
        <v>4</v>
      </c>
      <c r="P883">
        <v>2</v>
      </c>
      <c r="Q883">
        <v>3</v>
      </c>
      <c r="R883">
        <v>4998</v>
      </c>
      <c r="S883">
        <v>10</v>
      </c>
      <c r="T883">
        <v>3</v>
      </c>
      <c r="U883">
        <v>8</v>
      </c>
      <c r="V883">
        <v>7</v>
      </c>
      <c r="W883">
        <v>0</v>
      </c>
      <c r="X883">
        <v>7</v>
      </c>
      <c r="Y883">
        <f>IF(HR_data[[#This Row],[Attrition]]= "Yes",1,0)</f>
        <v>0</v>
      </c>
    </row>
    <row r="884" spans="1:25">
      <c r="A884">
        <v>883</v>
      </c>
      <c r="B884" t="s">
        <v>33</v>
      </c>
      <c r="C884" t="s">
        <v>25</v>
      </c>
      <c r="D884" t="s">
        <v>26</v>
      </c>
      <c r="E884" t="s">
        <v>36</v>
      </c>
      <c r="F884" t="s">
        <v>57</v>
      </c>
      <c r="G884">
        <v>1</v>
      </c>
      <c r="H884" t="s">
        <v>29</v>
      </c>
      <c r="I884" t="s">
        <v>49</v>
      </c>
      <c r="J884" t="s">
        <v>48</v>
      </c>
      <c r="K884" t="s">
        <v>24</v>
      </c>
      <c r="L884">
        <v>36</v>
      </c>
      <c r="M884">
        <v>1</v>
      </c>
      <c r="N884" t="s">
        <v>47</v>
      </c>
      <c r="O884">
        <v>3</v>
      </c>
      <c r="P884">
        <v>3</v>
      </c>
      <c r="Q884">
        <v>1</v>
      </c>
      <c r="R884">
        <v>10252</v>
      </c>
      <c r="S884">
        <v>17</v>
      </c>
      <c r="T884">
        <v>3</v>
      </c>
      <c r="U884">
        <v>7</v>
      </c>
      <c r="V884">
        <v>7</v>
      </c>
      <c r="W884">
        <v>7</v>
      </c>
      <c r="X884">
        <v>7</v>
      </c>
      <c r="Y884">
        <f>IF(HR_data[[#This Row],[Attrition]]= "Yes",1,0)</f>
        <v>0</v>
      </c>
    </row>
    <row r="885" spans="1:25">
      <c r="A885">
        <v>884</v>
      </c>
      <c r="B885" t="s">
        <v>33</v>
      </c>
      <c r="C885" t="s">
        <v>25</v>
      </c>
      <c r="D885" t="s">
        <v>43</v>
      </c>
      <c r="E885" t="s">
        <v>36</v>
      </c>
      <c r="F885" t="s">
        <v>45</v>
      </c>
      <c r="G885">
        <v>1</v>
      </c>
      <c r="H885" t="s">
        <v>37</v>
      </c>
      <c r="I885" t="s">
        <v>38</v>
      </c>
      <c r="J885" t="s">
        <v>39</v>
      </c>
      <c r="K885" t="s">
        <v>33</v>
      </c>
      <c r="L885">
        <v>33</v>
      </c>
      <c r="M885">
        <v>9</v>
      </c>
      <c r="N885" t="s">
        <v>47</v>
      </c>
      <c r="O885">
        <v>1</v>
      </c>
      <c r="P885">
        <v>1</v>
      </c>
      <c r="Q885">
        <v>4</v>
      </c>
      <c r="R885">
        <v>2781</v>
      </c>
      <c r="S885">
        <v>15</v>
      </c>
      <c r="T885">
        <v>3</v>
      </c>
      <c r="U885">
        <v>14</v>
      </c>
      <c r="V885">
        <v>10</v>
      </c>
      <c r="W885">
        <v>4</v>
      </c>
      <c r="X885">
        <v>10</v>
      </c>
      <c r="Y885">
        <f>IF(HR_data[[#This Row],[Attrition]]= "Yes",1,0)</f>
        <v>0</v>
      </c>
    </row>
    <row r="886" spans="1:25">
      <c r="A886">
        <v>885</v>
      </c>
      <c r="B886" t="s">
        <v>33</v>
      </c>
      <c r="C886" t="s">
        <v>25</v>
      </c>
      <c r="D886" t="s">
        <v>26</v>
      </c>
      <c r="E886" t="s">
        <v>27</v>
      </c>
      <c r="F886" t="s">
        <v>57</v>
      </c>
      <c r="G886">
        <v>1</v>
      </c>
      <c r="H886" t="s">
        <v>29</v>
      </c>
      <c r="I886" t="s">
        <v>30</v>
      </c>
      <c r="J886" t="s">
        <v>48</v>
      </c>
      <c r="K886" t="s">
        <v>33</v>
      </c>
      <c r="L886">
        <v>40</v>
      </c>
      <c r="M886">
        <v>10</v>
      </c>
      <c r="N886" t="s">
        <v>47</v>
      </c>
      <c r="O886">
        <v>2</v>
      </c>
      <c r="P886">
        <v>2</v>
      </c>
      <c r="Q886">
        <v>2</v>
      </c>
      <c r="R886">
        <v>6852</v>
      </c>
      <c r="S886">
        <v>7</v>
      </c>
      <c r="T886">
        <v>4</v>
      </c>
      <c r="U886">
        <v>5</v>
      </c>
      <c r="V886">
        <v>1</v>
      </c>
      <c r="W886">
        <v>1</v>
      </c>
      <c r="X886">
        <v>3</v>
      </c>
      <c r="Y886">
        <f>IF(HR_data[[#This Row],[Attrition]]= "Yes",1,0)</f>
        <v>0</v>
      </c>
    </row>
    <row r="887" spans="1:25">
      <c r="A887">
        <v>886</v>
      </c>
      <c r="B887" t="s">
        <v>33</v>
      </c>
      <c r="C887" t="s">
        <v>25</v>
      </c>
      <c r="D887" t="s">
        <v>43</v>
      </c>
      <c r="E887" t="s">
        <v>27</v>
      </c>
      <c r="F887" t="s">
        <v>28</v>
      </c>
      <c r="G887">
        <v>1</v>
      </c>
      <c r="H887" t="s">
        <v>37</v>
      </c>
      <c r="I887" t="s">
        <v>30</v>
      </c>
      <c r="J887" t="s">
        <v>31</v>
      </c>
      <c r="K887" t="s">
        <v>33</v>
      </c>
      <c r="L887">
        <v>25</v>
      </c>
      <c r="M887">
        <v>10</v>
      </c>
      <c r="N887" t="s">
        <v>44</v>
      </c>
      <c r="O887">
        <v>3</v>
      </c>
      <c r="P887">
        <v>2</v>
      </c>
      <c r="Q887">
        <v>4</v>
      </c>
      <c r="R887">
        <v>4950</v>
      </c>
      <c r="S887">
        <v>5</v>
      </c>
      <c r="T887">
        <v>3</v>
      </c>
      <c r="U887">
        <v>4</v>
      </c>
      <c r="V887">
        <v>3</v>
      </c>
      <c r="W887">
        <v>1</v>
      </c>
      <c r="X887">
        <v>1</v>
      </c>
      <c r="Y887">
        <f>IF(HR_data[[#This Row],[Attrition]]= "Yes",1,0)</f>
        <v>0</v>
      </c>
    </row>
    <row r="888" spans="1:25">
      <c r="A888">
        <v>887</v>
      </c>
      <c r="B888" t="s">
        <v>33</v>
      </c>
      <c r="C888" t="s">
        <v>25</v>
      </c>
      <c r="D888" t="s">
        <v>43</v>
      </c>
      <c r="E888" t="s">
        <v>36</v>
      </c>
      <c r="F888" t="s">
        <v>45</v>
      </c>
      <c r="G888">
        <v>1</v>
      </c>
      <c r="H888" t="s">
        <v>37</v>
      </c>
      <c r="I888" t="s">
        <v>38</v>
      </c>
      <c r="J888" t="s">
        <v>39</v>
      </c>
      <c r="K888" t="s">
        <v>24</v>
      </c>
      <c r="L888">
        <v>30</v>
      </c>
      <c r="M888">
        <v>1</v>
      </c>
      <c r="N888" t="s">
        <v>47</v>
      </c>
      <c r="O888">
        <v>4</v>
      </c>
      <c r="P888">
        <v>1</v>
      </c>
      <c r="Q888">
        <v>2</v>
      </c>
      <c r="R888">
        <v>3579</v>
      </c>
      <c r="S888">
        <v>12</v>
      </c>
      <c r="T888">
        <v>3</v>
      </c>
      <c r="U888">
        <v>11</v>
      </c>
      <c r="V888">
        <v>9</v>
      </c>
      <c r="W888">
        <v>5</v>
      </c>
      <c r="X888">
        <v>7</v>
      </c>
      <c r="Y888">
        <f>IF(HR_data[[#This Row],[Attrition]]= "Yes",1,0)</f>
        <v>0</v>
      </c>
    </row>
    <row r="889" spans="1:25">
      <c r="A889">
        <v>888</v>
      </c>
      <c r="B889" t="s">
        <v>33</v>
      </c>
      <c r="C889" t="s">
        <v>34</v>
      </c>
      <c r="D889" t="s">
        <v>26</v>
      </c>
      <c r="E889" t="s">
        <v>36</v>
      </c>
      <c r="F889" t="s">
        <v>45</v>
      </c>
      <c r="G889">
        <v>1</v>
      </c>
      <c r="H889" t="s">
        <v>29</v>
      </c>
      <c r="I889" t="s">
        <v>55</v>
      </c>
      <c r="J889" t="s">
        <v>39</v>
      </c>
      <c r="K889" t="s">
        <v>24</v>
      </c>
      <c r="L889">
        <v>42</v>
      </c>
      <c r="M889">
        <v>26</v>
      </c>
      <c r="N889" t="s">
        <v>58</v>
      </c>
      <c r="O889">
        <v>1</v>
      </c>
      <c r="P889">
        <v>3</v>
      </c>
      <c r="Q889">
        <v>1</v>
      </c>
      <c r="R889">
        <v>13191</v>
      </c>
      <c r="S889">
        <v>20</v>
      </c>
      <c r="T889">
        <v>3</v>
      </c>
      <c r="U889">
        <v>1</v>
      </c>
      <c r="V889">
        <v>0</v>
      </c>
      <c r="W889">
        <v>0</v>
      </c>
      <c r="X889">
        <v>0</v>
      </c>
      <c r="Y889">
        <f>IF(HR_data[[#This Row],[Attrition]]= "Yes",1,0)</f>
        <v>0</v>
      </c>
    </row>
    <row r="890" spans="1:25">
      <c r="A890">
        <v>889</v>
      </c>
      <c r="B890" t="s">
        <v>33</v>
      </c>
      <c r="C890" t="s">
        <v>51</v>
      </c>
      <c r="D890" t="s">
        <v>26</v>
      </c>
      <c r="E890" t="s">
        <v>27</v>
      </c>
      <c r="F890" t="s">
        <v>56</v>
      </c>
      <c r="G890">
        <v>1</v>
      </c>
      <c r="H890" t="s">
        <v>29</v>
      </c>
      <c r="I890" t="s">
        <v>30</v>
      </c>
      <c r="J890" t="s">
        <v>39</v>
      </c>
      <c r="K890" t="s">
        <v>24</v>
      </c>
      <c r="L890">
        <v>35</v>
      </c>
      <c r="M890">
        <v>8</v>
      </c>
      <c r="N890" t="s">
        <v>32</v>
      </c>
      <c r="O890">
        <v>3</v>
      </c>
      <c r="P890">
        <v>3</v>
      </c>
      <c r="Q890">
        <v>4</v>
      </c>
      <c r="R890">
        <v>10377</v>
      </c>
      <c r="S890">
        <v>16</v>
      </c>
      <c r="T890">
        <v>2</v>
      </c>
      <c r="U890">
        <v>13</v>
      </c>
      <c r="V890">
        <v>2</v>
      </c>
      <c r="W890">
        <v>4</v>
      </c>
      <c r="X890">
        <v>12</v>
      </c>
      <c r="Y890">
        <f>IF(HR_data[[#This Row],[Attrition]]= "Yes",1,0)</f>
        <v>0</v>
      </c>
    </row>
    <row r="891" spans="1:25">
      <c r="A891">
        <v>890</v>
      </c>
      <c r="B891" t="s">
        <v>33</v>
      </c>
      <c r="C891" t="s">
        <v>25</v>
      </c>
      <c r="D891" t="s">
        <v>43</v>
      </c>
      <c r="E891" t="s">
        <v>36</v>
      </c>
      <c r="F891" t="s">
        <v>28</v>
      </c>
      <c r="G891">
        <v>1</v>
      </c>
      <c r="H891" t="s">
        <v>37</v>
      </c>
      <c r="I891" t="s">
        <v>38</v>
      </c>
      <c r="J891" t="s">
        <v>39</v>
      </c>
      <c r="K891" t="s">
        <v>24</v>
      </c>
      <c r="L891">
        <v>27</v>
      </c>
      <c r="M891">
        <v>14</v>
      </c>
      <c r="N891" t="s">
        <v>47</v>
      </c>
      <c r="O891">
        <v>1</v>
      </c>
      <c r="P891">
        <v>1</v>
      </c>
      <c r="Q891">
        <v>1</v>
      </c>
      <c r="R891">
        <v>2235</v>
      </c>
      <c r="S891">
        <v>9</v>
      </c>
      <c r="T891">
        <v>2</v>
      </c>
      <c r="U891">
        <v>9</v>
      </c>
      <c r="V891">
        <v>7</v>
      </c>
      <c r="W891">
        <v>6</v>
      </c>
      <c r="X891">
        <v>8</v>
      </c>
      <c r="Y891">
        <f>IF(HR_data[[#This Row],[Attrition]]= "Yes",1,0)</f>
        <v>0</v>
      </c>
    </row>
    <row r="892" spans="1:25">
      <c r="A892">
        <v>891</v>
      </c>
      <c r="B892" t="s">
        <v>33</v>
      </c>
      <c r="C892" t="s">
        <v>34</v>
      </c>
      <c r="D892" t="s">
        <v>35</v>
      </c>
      <c r="E892" t="s">
        <v>36</v>
      </c>
      <c r="F892" t="s">
        <v>28</v>
      </c>
      <c r="G892">
        <v>1</v>
      </c>
      <c r="H892" t="s">
        <v>29</v>
      </c>
      <c r="I892" t="s">
        <v>49</v>
      </c>
      <c r="J892" t="s">
        <v>48</v>
      </c>
      <c r="K892" t="s">
        <v>33</v>
      </c>
      <c r="L892">
        <v>54</v>
      </c>
      <c r="M892">
        <v>1</v>
      </c>
      <c r="N892" t="s">
        <v>44</v>
      </c>
      <c r="O892">
        <v>4</v>
      </c>
      <c r="P892">
        <v>3</v>
      </c>
      <c r="Q892">
        <v>3</v>
      </c>
      <c r="R892">
        <v>10502</v>
      </c>
      <c r="S892">
        <v>33</v>
      </c>
      <c r="T892">
        <v>1</v>
      </c>
      <c r="U892">
        <v>5</v>
      </c>
      <c r="V892">
        <v>4</v>
      </c>
      <c r="W892">
        <v>1</v>
      </c>
      <c r="X892">
        <v>4</v>
      </c>
      <c r="Y892">
        <f>IF(HR_data[[#This Row],[Attrition]]= "Yes",1,0)</f>
        <v>0</v>
      </c>
    </row>
    <row r="893" spans="1:25">
      <c r="A893">
        <v>892</v>
      </c>
      <c r="B893" t="s">
        <v>33</v>
      </c>
      <c r="C893" t="s">
        <v>25</v>
      </c>
      <c r="D893" t="s">
        <v>26</v>
      </c>
      <c r="E893" t="s">
        <v>36</v>
      </c>
      <c r="F893" t="s">
        <v>28</v>
      </c>
      <c r="G893">
        <v>1</v>
      </c>
      <c r="H893" t="s">
        <v>29</v>
      </c>
      <c r="I893" t="s">
        <v>38</v>
      </c>
      <c r="J893" t="s">
        <v>39</v>
      </c>
      <c r="K893" t="s">
        <v>33</v>
      </c>
      <c r="L893">
        <v>44</v>
      </c>
      <c r="M893">
        <v>2</v>
      </c>
      <c r="N893" t="s">
        <v>40</v>
      </c>
      <c r="O893">
        <v>1</v>
      </c>
      <c r="P893">
        <v>1</v>
      </c>
      <c r="Q893">
        <v>4</v>
      </c>
      <c r="R893">
        <v>2011</v>
      </c>
      <c r="S893">
        <v>10</v>
      </c>
      <c r="T893">
        <v>3</v>
      </c>
      <c r="U893">
        <v>10</v>
      </c>
      <c r="V893">
        <v>5</v>
      </c>
      <c r="W893">
        <v>7</v>
      </c>
      <c r="X893">
        <v>7</v>
      </c>
      <c r="Y893">
        <f>IF(HR_data[[#This Row],[Attrition]]= "Yes",1,0)</f>
        <v>0</v>
      </c>
    </row>
    <row r="894" spans="1:25">
      <c r="A894">
        <v>893</v>
      </c>
      <c r="B894" t="s">
        <v>24</v>
      </c>
      <c r="C894" t="s">
        <v>51</v>
      </c>
      <c r="D894" t="s">
        <v>52</v>
      </c>
      <c r="E894" t="s">
        <v>36</v>
      </c>
      <c r="F894" t="s">
        <v>45</v>
      </c>
      <c r="G894">
        <v>1</v>
      </c>
      <c r="H894" t="s">
        <v>29</v>
      </c>
      <c r="I894" t="s">
        <v>38</v>
      </c>
      <c r="J894" t="s">
        <v>31</v>
      </c>
      <c r="K894" t="s">
        <v>24</v>
      </c>
      <c r="L894">
        <v>19</v>
      </c>
      <c r="M894">
        <v>10</v>
      </c>
      <c r="N894" t="s">
        <v>47</v>
      </c>
      <c r="O894">
        <v>1</v>
      </c>
      <c r="P894">
        <v>1</v>
      </c>
      <c r="Q894">
        <v>2</v>
      </c>
      <c r="R894">
        <v>1859</v>
      </c>
      <c r="S894">
        <v>1</v>
      </c>
      <c r="T894">
        <v>4</v>
      </c>
      <c r="U894">
        <v>1</v>
      </c>
      <c r="V894">
        <v>1</v>
      </c>
      <c r="W894">
        <v>0</v>
      </c>
      <c r="X894">
        <v>0</v>
      </c>
      <c r="Y894">
        <f>IF(HR_data[[#This Row],[Attrition]]= "Yes",1,0)</f>
        <v>1</v>
      </c>
    </row>
    <row r="895" spans="1:25">
      <c r="A895">
        <v>894</v>
      </c>
      <c r="B895" t="s">
        <v>33</v>
      </c>
      <c r="C895" t="s">
        <v>25</v>
      </c>
      <c r="D895" t="s">
        <v>43</v>
      </c>
      <c r="E895" t="s">
        <v>36</v>
      </c>
      <c r="F895" t="s">
        <v>28</v>
      </c>
      <c r="G895">
        <v>1</v>
      </c>
      <c r="H895" t="s">
        <v>29</v>
      </c>
      <c r="I895" t="s">
        <v>38</v>
      </c>
      <c r="J895" t="s">
        <v>48</v>
      </c>
      <c r="K895" t="s">
        <v>33</v>
      </c>
      <c r="L895">
        <v>29</v>
      </c>
      <c r="M895">
        <v>1</v>
      </c>
      <c r="N895" t="s">
        <v>47</v>
      </c>
      <c r="O895">
        <v>1</v>
      </c>
      <c r="P895">
        <v>1</v>
      </c>
      <c r="Q895">
        <v>4</v>
      </c>
      <c r="R895">
        <v>3760</v>
      </c>
      <c r="S895">
        <v>3</v>
      </c>
      <c r="T895">
        <v>3</v>
      </c>
      <c r="U895">
        <v>3</v>
      </c>
      <c r="V895">
        <v>2</v>
      </c>
      <c r="W895">
        <v>1</v>
      </c>
      <c r="X895">
        <v>2</v>
      </c>
      <c r="Y895">
        <f>IF(HR_data[[#This Row],[Attrition]]= "Yes",1,0)</f>
        <v>0</v>
      </c>
    </row>
    <row r="896" spans="1:25">
      <c r="A896">
        <v>895</v>
      </c>
      <c r="B896" t="s">
        <v>33</v>
      </c>
      <c r="C896" t="s">
        <v>25</v>
      </c>
      <c r="D896" t="s">
        <v>35</v>
      </c>
      <c r="E896" t="s">
        <v>36</v>
      </c>
      <c r="F896" t="s">
        <v>28</v>
      </c>
      <c r="G896">
        <v>1</v>
      </c>
      <c r="H896" t="s">
        <v>37</v>
      </c>
      <c r="I896" t="s">
        <v>55</v>
      </c>
      <c r="J896" t="s">
        <v>39</v>
      </c>
      <c r="K896" t="s">
        <v>33</v>
      </c>
      <c r="L896">
        <v>54</v>
      </c>
      <c r="M896">
        <v>3</v>
      </c>
      <c r="N896" t="s">
        <v>47</v>
      </c>
      <c r="O896">
        <v>4</v>
      </c>
      <c r="P896">
        <v>4</v>
      </c>
      <c r="Q896">
        <v>4</v>
      </c>
      <c r="R896">
        <v>17779</v>
      </c>
      <c r="S896">
        <v>36</v>
      </c>
      <c r="T896">
        <v>3</v>
      </c>
      <c r="U896">
        <v>10</v>
      </c>
      <c r="V896">
        <v>9</v>
      </c>
      <c r="W896">
        <v>0</v>
      </c>
      <c r="X896">
        <v>9</v>
      </c>
      <c r="Y896">
        <f>IF(HR_data[[#This Row],[Attrition]]= "Yes",1,0)</f>
        <v>0</v>
      </c>
    </row>
    <row r="897" spans="1:25">
      <c r="A897">
        <v>896</v>
      </c>
      <c r="B897" t="s">
        <v>33</v>
      </c>
      <c r="C897" t="s">
        <v>25</v>
      </c>
      <c r="D897" t="s">
        <v>43</v>
      </c>
      <c r="E897" t="s">
        <v>36</v>
      </c>
      <c r="F897" t="s">
        <v>45</v>
      </c>
      <c r="G897">
        <v>1</v>
      </c>
      <c r="H897" t="s">
        <v>37</v>
      </c>
      <c r="I897" t="s">
        <v>50</v>
      </c>
      <c r="J897" t="s">
        <v>39</v>
      </c>
      <c r="K897" t="s">
        <v>24</v>
      </c>
      <c r="L897">
        <v>31</v>
      </c>
      <c r="M897">
        <v>11</v>
      </c>
      <c r="N897" t="s">
        <v>32</v>
      </c>
      <c r="O897">
        <v>3</v>
      </c>
      <c r="P897">
        <v>2</v>
      </c>
      <c r="Q897">
        <v>1</v>
      </c>
      <c r="R897">
        <v>6833</v>
      </c>
      <c r="S897">
        <v>6</v>
      </c>
      <c r="T897">
        <v>2</v>
      </c>
      <c r="U897">
        <v>6</v>
      </c>
      <c r="V897">
        <v>5</v>
      </c>
      <c r="W897">
        <v>0</v>
      </c>
      <c r="X897">
        <v>1</v>
      </c>
      <c r="Y897">
        <f>IF(HR_data[[#This Row],[Attrition]]= "Yes",1,0)</f>
        <v>0</v>
      </c>
    </row>
    <row r="898" spans="1:25">
      <c r="A898">
        <v>897</v>
      </c>
      <c r="B898" t="s">
        <v>33</v>
      </c>
      <c r="C898" t="s">
        <v>25</v>
      </c>
      <c r="D898" t="s">
        <v>43</v>
      </c>
      <c r="E898" t="s">
        <v>36</v>
      </c>
      <c r="F898" t="s">
        <v>45</v>
      </c>
      <c r="G898">
        <v>1</v>
      </c>
      <c r="H898" t="s">
        <v>29</v>
      </c>
      <c r="I898" t="s">
        <v>50</v>
      </c>
      <c r="J898" t="s">
        <v>31</v>
      </c>
      <c r="K898" t="s">
        <v>33</v>
      </c>
      <c r="L898">
        <v>31</v>
      </c>
      <c r="M898">
        <v>24</v>
      </c>
      <c r="N898" t="s">
        <v>47</v>
      </c>
      <c r="O898">
        <v>3</v>
      </c>
      <c r="P898">
        <v>2</v>
      </c>
      <c r="Q898">
        <v>1</v>
      </c>
      <c r="R898">
        <v>6812</v>
      </c>
      <c r="S898">
        <v>10</v>
      </c>
      <c r="T898">
        <v>3</v>
      </c>
      <c r="U898">
        <v>10</v>
      </c>
      <c r="V898">
        <v>9</v>
      </c>
      <c r="W898">
        <v>1</v>
      </c>
      <c r="X898">
        <v>8</v>
      </c>
      <c r="Y898">
        <f>IF(HR_data[[#This Row],[Attrition]]= "Yes",1,0)</f>
        <v>0</v>
      </c>
    </row>
    <row r="899" spans="1:25">
      <c r="A899">
        <v>898</v>
      </c>
      <c r="B899" t="s">
        <v>33</v>
      </c>
      <c r="C899" t="s">
        <v>25</v>
      </c>
      <c r="D899" t="s">
        <v>46</v>
      </c>
      <c r="E899" t="s">
        <v>27</v>
      </c>
      <c r="F899" t="s">
        <v>28</v>
      </c>
      <c r="G899">
        <v>1</v>
      </c>
      <c r="H899" t="s">
        <v>29</v>
      </c>
      <c r="I899" t="s">
        <v>30</v>
      </c>
      <c r="J899" t="s">
        <v>31</v>
      </c>
      <c r="K899" t="s">
        <v>33</v>
      </c>
      <c r="L899">
        <v>59</v>
      </c>
      <c r="M899">
        <v>3</v>
      </c>
      <c r="N899" t="s">
        <v>47</v>
      </c>
      <c r="O899">
        <v>3</v>
      </c>
      <c r="P899">
        <v>2</v>
      </c>
      <c r="Q899">
        <v>4</v>
      </c>
      <c r="R899">
        <v>5171</v>
      </c>
      <c r="S899">
        <v>13</v>
      </c>
      <c r="T899">
        <v>3</v>
      </c>
      <c r="U899">
        <v>6</v>
      </c>
      <c r="V899">
        <v>1</v>
      </c>
      <c r="W899">
        <v>0</v>
      </c>
      <c r="X899">
        <v>5</v>
      </c>
      <c r="Y899">
        <f>IF(HR_data[[#This Row],[Attrition]]= "Yes",1,0)</f>
        <v>0</v>
      </c>
    </row>
    <row r="900" spans="1:25">
      <c r="A900">
        <v>899</v>
      </c>
      <c r="B900" t="s">
        <v>33</v>
      </c>
      <c r="C900" t="s">
        <v>25</v>
      </c>
      <c r="D900" t="s">
        <v>26</v>
      </c>
      <c r="E900" t="s">
        <v>36</v>
      </c>
      <c r="F900" t="s">
        <v>28</v>
      </c>
      <c r="G900">
        <v>1</v>
      </c>
      <c r="H900" t="s">
        <v>37</v>
      </c>
      <c r="I900" t="s">
        <v>55</v>
      </c>
      <c r="J900" t="s">
        <v>39</v>
      </c>
      <c r="K900" t="s">
        <v>33</v>
      </c>
      <c r="L900">
        <v>43</v>
      </c>
      <c r="M900">
        <v>3</v>
      </c>
      <c r="N900" t="s">
        <v>47</v>
      </c>
      <c r="O900">
        <v>3</v>
      </c>
      <c r="P900">
        <v>5</v>
      </c>
      <c r="Q900">
        <v>4</v>
      </c>
      <c r="R900">
        <v>19740</v>
      </c>
      <c r="S900">
        <v>25</v>
      </c>
      <c r="T900">
        <v>3</v>
      </c>
      <c r="U900">
        <v>8</v>
      </c>
      <c r="V900">
        <v>7</v>
      </c>
      <c r="W900">
        <v>0</v>
      </c>
      <c r="X900">
        <v>7</v>
      </c>
      <c r="Y900">
        <f>IF(HR_data[[#This Row],[Attrition]]= "Yes",1,0)</f>
        <v>0</v>
      </c>
    </row>
    <row r="901" spans="1:25">
      <c r="A901">
        <v>900</v>
      </c>
      <c r="B901" t="s">
        <v>33</v>
      </c>
      <c r="C901" t="s">
        <v>25</v>
      </c>
      <c r="D901" t="s">
        <v>35</v>
      </c>
      <c r="E901" t="s">
        <v>36</v>
      </c>
      <c r="F901" t="s">
        <v>45</v>
      </c>
      <c r="G901">
        <v>1</v>
      </c>
      <c r="H901" t="s">
        <v>37</v>
      </c>
      <c r="I901" t="s">
        <v>53</v>
      </c>
      <c r="J901" t="s">
        <v>39</v>
      </c>
      <c r="K901" t="s">
        <v>33</v>
      </c>
      <c r="L901">
        <v>49</v>
      </c>
      <c r="M901">
        <v>4</v>
      </c>
      <c r="N901" t="s">
        <v>32</v>
      </c>
      <c r="O901">
        <v>1</v>
      </c>
      <c r="P901">
        <v>5</v>
      </c>
      <c r="Q901">
        <v>3</v>
      </c>
      <c r="R901">
        <v>18711</v>
      </c>
      <c r="S901">
        <v>23</v>
      </c>
      <c r="T901">
        <v>4</v>
      </c>
      <c r="U901">
        <v>1</v>
      </c>
      <c r="V901">
        <v>0</v>
      </c>
      <c r="W901">
        <v>0</v>
      </c>
      <c r="X901">
        <v>0</v>
      </c>
      <c r="Y901">
        <f>IF(HR_data[[#This Row],[Attrition]]= "Yes",1,0)</f>
        <v>0</v>
      </c>
    </row>
    <row r="902" spans="1:25">
      <c r="A902">
        <v>901</v>
      </c>
      <c r="B902" t="s">
        <v>33</v>
      </c>
      <c r="C902" t="s">
        <v>34</v>
      </c>
      <c r="D902" t="s">
        <v>26</v>
      </c>
      <c r="E902" t="s">
        <v>36</v>
      </c>
      <c r="F902" t="s">
        <v>57</v>
      </c>
      <c r="G902">
        <v>1</v>
      </c>
      <c r="H902" t="s">
        <v>37</v>
      </c>
      <c r="I902" t="s">
        <v>38</v>
      </c>
      <c r="J902" t="s">
        <v>39</v>
      </c>
      <c r="K902" t="s">
        <v>33</v>
      </c>
      <c r="L902">
        <v>36</v>
      </c>
      <c r="M902">
        <v>3</v>
      </c>
      <c r="N902" t="s">
        <v>47</v>
      </c>
      <c r="O902">
        <v>3</v>
      </c>
      <c r="P902">
        <v>1</v>
      </c>
      <c r="Q902">
        <v>2</v>
      </c>
      <c r="R902">
        <v>3692</v>
      </c>
      <c r="S902">
        <v>12</v>
      </c>
      <c r="T902">
        <v>2</v>
      </c>
      <c r="U902">
        <v>11</v>
      </c>
      <c r="V902">
        <v>10</v>
      </c>
      <c r="W902">
        <v>0</v>
      </c>
      <c r="X902">
        <v>7</v>
      </c>
      <c r="Y902">
        <f>IF(HR_data[[#This Row],[Attrition]]= "Yes",1,0)</f>
        <v>0</v>
      </c>
    </row>
    <row r="903" spans="1:25">
      <c r="A903">
        <v>902</v>
      </c>
      <c r="B903" t="s">
        <v>33</v>
      </c>
      <c r="C903" t="s">
        <v>25</v>
      </c>
      <c r="D903" t="s">
        <v>35</v>
      </c>
      <c r="E903" t="s">
        <v>36</v>
      </c>
      <c r="F903" t="s">
        <v>57</v>
      </c>
      <c r="G903">
        <v>1</v>
      </c>
      <c r="H903" t="s">
        <v>37</v>
      </c>
      <c r="I903" t="s">
        <v>42</v>
      </c>
      <c r="J903" t="s">
        <v>31</v>
      </c>
      <c r="K903" t="s">
        <v>33</v>
      </c>
      <c r="L903">
        <v>48</v>
      </c>
      <c r="M903">
        <v>2</v>
      </c>
      <c r="N903" t="s">
        <v>32</v>
      </c>
      <c r="O903">
        <v>4</v>
      </c>
      <c r="P903">
        <v>1</v>
      </c>
      <c r="Q903">
        <v>2</v>
      </c>
      <c r="R903">
        <v>2559</v>
      </c>
      <c r="S903">
        <v>7</v>
      </c>
      <c r="T903">
        <v>2</v>
      </c>
      <c r="U903">
        <v>1</v>
      </c>
      <c r="V903">
        <v>0</v>
      </c>
      <c r="W903">
        <v>0</v>
      </c>
      <c r="X903">
        <v>0</v>
      </c>
      <c r="Y903">
        <f>IF(HR_data[[#This Row],[Attrition]]= "Yes",1,0)</f>
        <v>0</v>
      </c>
    </row>
    <row r="904" spans="1:25">
      <c r="A904">
        <v>903</v>
      </c>
      <c r="B904" t="s">
        <v>33</v>
      </c>
      <c r="C904" t="s">
        <v>25</v>
      </c>
      <c r="D904" t="s">
        <v>43</v>
      </c>
      <c r="E904" t="s">
        <v>36</v>
      </c>
      <c r="F904" t="s">
        <v>28</v>
      </c>
      <c r="G904">
        <v>1</v>
      </c>
      <c r="H904" t="s">
        <v>37</v>
      </c>
      <c r="I904" t="s">
        <v>38</v>
      </c>
      <c r="J904" t="s">
        <v>48</v>
      </c>
      <c r="K904" t="s">
        <v>33</v>
      </c>
      <c r="L904">
        <v>27</v>
      </c>
      <c r="M904">
        <v>4</v>
      </c>
      <c r="N904" t="s">
        <v>32</v>
      </c>
      <c r="O904">
        <v>1</v>
      </c>
      <c r="P904">
        <v>1</v>
      </c>
      <c r="Q904">
        <v>3</v>
      </c>
      <c r="R904">
        <v>2517</v>
      </c>
      <c r="S904">
        <v>5</v>
      </c>
      <c r="T904">
        <v>3</v>
      </c>
      <c r="U904">
        <v>5</v>
      </c>
      <c r="V904">
        <v>3</v>
      </c>
      <c r="W904">
        <v>0</v>
      </c>
      <c r="X904">
        <v>3</v>
      </c>
      <c r="Y904">
        <f>IF(HR_data[[#This Row],[Attrition]]= "Yes",1,0)</f>
        <v>0</v>
      </c>
    </row>
    <row r="905" spans="1:25">
      <c r="A905">
        <v>904</v>
      </c>
      <c r="B905" t="s">
        <v>33</v>
      </c>
      <c r="C905" t="s">
        <v>25</v>
      </c>
      <c r="D905" t="s">
        <v>43</v>
      </c>
      <c r="E905" t="s">
        <v>36</v>
      </c>
      <c r="F905" t="s">
        <v>28</v>
      </c>
      <c r="G905">
        <v>1</v>
      </c>
      <c r="H905" t="s">
        <v>37</v>
      </c>
      <c r="I905" t="s">
        <v>50</v>
      </c>
      <c r="J905" t="s">
        <v>48</v>
      </c>
      <c r="K905" t="s">
        <v>24</v>
      </c>
      <c r="L905">
        <v>29</v>
      </c>
      <c r="M905">
        <v>7</v>
      </c>
      <c r="N905" t="s">
        <v>47</v>
      </c>
      <c r="O905">
        <v>3</v>
      </c>
      <c r="P905">
        <v>2</v>
      </c>
      <c r="Q905">
        <v>4</v>
      </c>
      <c r="R905">
        <v>6623</v>
      </c>
      <c r="S905">
        <v>6</v>
      </c>
      <c r="T905">
        <v>3</v>
      </c>
      <c r="U905">
        <v>6</v>
      </c>
      <c r="V905">
        <v>0</v>
      </c>
      <c r="W905">
        <v>1</v>
      </c>
      <c r="X905">
        <v>0</v>
      </c>
      <c r="Y905">
        <f>IF(HR_data[[#This Row],[Attrition]]= "Yes",1,0)</f>
        <v>0</v>
      </c>
    </row>
    <row r="906" spans="1:25">
      <c r="A906">
        <v>905</v>
      </c>
      <c r="B906" t="s">
        <v>33</v>
      </c>
      <c r="C906" t="s">
        <v>25</v>
      </c>
      <c r="D906" t="s">
        <v>35</v>
      </c>
      <c r="E906" t="s">
        <v>36</v>
      </c>
      <c r="F906" t="s">
        <v>28</v>
      </c>
      <c r="G906">
        <v>1</v>
      </c>
      <c r="H906" t="s">
        <v>37</v>
      </c>
      <c r="I906" t="s">
        <v>55</v>
      </c>
      <c r="J906" t="s">
        <v>31</v>
      </c>
      <c r="K906" t="s">
        <v>33</v>
      </c>
      <c r="L906">
        <v>48</v>
      </c>
      <c r="M906">
        <v>1</v>
      </c>
      <c r="N906" t="s">
        <v>47</v>
      </c>
      <c r="O906">
        <v>4</v>
      </c>
      <c r="P906">
        <v>5</v>
      </c>
      <c r="Q906">
        <v>4</v>
      </c>
      <c r="R906">
        <v>18265</v>
      </c>
      <c r="S906">
        <v>25</v>
      </c>
      <c r="T906">
        <v>4</v>
      </c>
      <c r="U906">
        <v>1</v>
      </c>
      <c r="V906">
        <v>0</v>
      </c>
      <c r="W906">
        <v>0</v>
      </c>
      <c r="X906">
        <v>0</v>
      </c>
      <c r="Y906">
        <f>IF(HR_data[[#This Row],[Attrition]]= "Yes",1,0)</f>
        <v>0</v>
      </c>
    </row>
    <row r="907" spans="1:25">
      <c r="A907">
        <v>906</v>
      </c>
      <c r="B907" t="s">
        <v>33</v>
      </c>
      <c r="C907" t="s">
        <v>25</v>
      </c>
      <c r="D907" t="s">
        <v>43</v>
      </c>
      <c r="E907" t="s">
        <v>36</v>
      </c>
      <c r="F907" t="s">
        <v>28</v>
      </c>
      <c r="G907">
        <v>1</v>
      </c>
      <c r="H907" t="s">
        <v>29</v>
      </c>
      <c r="I907" t="s">
        <v>55</v>
      </c>
      <c r="J907" t="s">
        <v>48</v>
      </c>
      <c r="K907" t="s">
        <v>33</v>
      </c>
      <c r="L907">
        <v>29</v>
      </c>
      <c r="M907">
        <v>1</v>
      </c>
      <c r="N907" t="s">
        <v>47</v>
      </c>
      <c r="O907">
        <v>4</v>
      </c>
      <c r="P907">
        <v>4</v>
      </c>
      <c r="Q907">
        <v>4</v>
      </c>
      <c r="R907">
        <v>16124</v>
      </c>
      <c r="S907">
        <v>9</v>
      </c>
      <c r="T907">
        <v>2</v>
      </c>
      <c r="U907">
        <v>7</v>
      </c>
      <c r="V907">
        <v>7</v>
      </c>
      <c r="W907">
        <v>1</v>
      </c>
      <c r="X907">
        <v>7</v>
      </c>
      <c r="Y907">
        <f>IF(HR_data[[#This Row],[Attrition]]= "Yes",1,0)</f>
        <v>0</v>
      </c>
    </row>
    <row r="908" spans="1:25">
      <c r="A908">
        <v>907</v>
      </c>
      <c r="B908" t="s">
        <v>33</v>
      </c>
      <c r="C908" t="s">
        <v>25</v>
      </c>
      <c r="D908" t="s">
        <v>43</v>
      </c>
      <c r="E908" t="s">
        <v>36</v>
      </c>
      <c r="F908" t="s">
        <v>57</v>
      </c>
      <c r="G908">
        <v>1</v>
      </c>
      <c r="H908" t="s">
        <v>29</v>
      </c>
      <c r="I908" t="s">
        <v>38</v>
      </c>
      <c r="J908" t="s">
        <v>39</v>
      </c>
      <c r="K908" t="s">
        <v>33</v>
      </c>
      <c r="L908">
        <v>34</v>
      </c>
      <c r="M908">
        <v>20</v>
      </c>
      <c r="N908" t="s">
        <v>47</v>
      </c>
      <c r="O908">
        <v>3</v>
      </c>
      <c r="P908">
        <v>1</v>
      </c>
      <c r="Q908">
        <v>3</v>
      </c>
      <c r="R908">
        <v>2585</v>
      </c>
      <c r="S908">
        <v>2</v>
      </c>
      <c r="T908">
        <v>2</v>
      </c>
      <c r="U908">
        <v>1</v>
      </c>
      <c r="V908">
        <v>0</v>
      </c>
      <c r="W908">
        <v>0</v>
      </c>
      <c r="X908">
        <v>0</v>
      </c>
      <c r="Y908">
        <f>IF(HR_data[[#This Row],[Attrition]]= "Yes",1,0)</f>
        <v>0</v>
      </c>
    </row>
    <row r="909" spans="1:25">
      <c r="A909">
        <v>908</v>
      </c>
      <c r="B909" t="s">
        <v>33</v>
      </c>
      <c r="C909" t="s">
        <v>25</v>
      </c>
      <c r="D909" t="s">
        <v>26</v>
      </c>
      <c r="E909" t="s">
        <v>27</v>
      </c>
      <c r="F909" t="s">
        <v>56</v>
      </c>
      <c r="G909">
        <v>1</v>
      </c>
      <c r="H909" t="s">
        <v>37</v>
      </c>
      <c r="I909" t="s">
        <v>53</v>
      </c>
      <c r="J909" t="s">
        <v>39</v>
      </c>
      <c r="K909" t="s">
        <v>33</v>
      </c>
      <c r="L909">
        <v>44</v>
      </c>
      <c r="M909">
        <v>5</v>
      </c>
      <c r="N909" t="s">
        <v>47</v>
      </c>
      <c r="O909">
        <v>2</v>
      </c>
      <c r="P909">
        <v>5</v>
      </c>
      <c r="Q909">
        <v>2</v>
      </c>
      <c r="R909">
        <v>18213</v>
      </c>
      <c r="S909">
        <v>26</v>
      </c>
      <c r="T909">
        <v>3</v>
      </c>
      <c r="U909">
        <v>22</v>
      </c>
      <c r="V909">
        <v>9</v>
      </c>
      <c r="W909">
        <v>3</v>
      </c>
      <c r="X909">
        <v>10</v>
      </c>
      <c r="Y909">
        <f>IF(HR_data[[#This Row],[Attrition]]= "Yes",1,0)</f>
        <v>0</v>
      </c>
    </row>
    <row r="910" spans="1:25">
      <c r="A910">
        <v>909</v>
      </c>
      <c r="B910" t="s">
        <v>33</v>
      </c>
      <c r="C910" t="s">
        <v>25</v>
      </c>
      <c r="D910" t="s">
        <v>43</v>
      </c>
      <c r="E910" t="s">
        <v>27</v>
      </c>
      <c r="F910" t="s">
        <v>56</v>
      </c>
      <c r="G910">
        <v>1</v>
      </c>
      <c r="H910" t="s">
        <v>37</v>
      </c>
      <c r="I910" t="s">
        <v>30</v>
      </c>
      <c r="J910" t="s">
        <v>48</v>
      </c>
      <c r="K910" t="s">
        <v>24</v>
      </c>
      <c r="L910">
        <v>33</v>
      </c>
      <c r="M910">
        <v>10</v>
      </c>
      <c r="N910" t="s">
        <v>58</v>
      </c>
      <c r="O910">
        <v>4</v>
      </c>
      <c r="P910">
        <v>3</v>
      </c>
      <c r="Q910">
        <v>3</v>
      </c>
      <c r="R910">
        <v>8380</v>
      </c>
      <c r="S910">
        <v>10</v>
      </c>
      <c r="T910">
        <v>3</v>
      </c>
      <c r="U910">
        <v>9</v>
      </c>
      <c r="V910">
        <v>8</v>
      </c>
      <c r="W910">
        <v>0</v>
      </c>
      <c r="X910">
        <v>8</v>
      </c>
      <c r="Y910">
        <f>IF(HR_data[[#This Row],[Attrition]]= "Yes",1,0)</f>
        <v>0</v>
      </c>
    </row>
    <row r="911" spans="1:25">
      <c r="A911">
        <v>910</v>
      </c>
      <c r="B911" t="s">
        <v>33</v>
      </c>
      <c r="C911" t="s">
        <v>25</v>
      </c>
      <c r="D911" t="s">
        <v>52</v>
      </c>
      <c r="E911" t="s">
        <v>36</v>
      </c>
      <c r="F911" t="s">
        <v>28</v>
      </c>
      <c r="G911">
        <v>1</v>
      </c>
      <c r="H911" t="s">
        <v>29</v>
      </c>
      <c r="I911" t="s">
        <v>38</v>
      </c>
      <c r="J911" t="s">
        <v>31</v>
      </c>
      <c r="K911" t="s">
        <v>24</v>
      </c>
      <c r="L911">
        <v>19</v>
      </c>
      <c r="M911">
        <v>25</v>
      </c>
      <c r="N911" t="s">
        <v>47</v>
      </c>
      <c r="O911">
        <v>2</v>
      </c>
      <c r="P911">
        <v>1</v>
      </c>
      <c r="Q911">
        <v>4</v>
      </c>
      <c r="R911">
        <v>2994</v>
      </c>
      <c r="S911">
        <v>1</v>
      </c>
      <c r="T911">
        <v>3</v>
      </c>
      <c r="U911">
        <v>1</v>
      </c>
      <c r="V911">
        <v>0</v>
      </c>
      <c r="W911">
        <v>0</v>
      </c>
      <c r="X911">
        <v>1</v>
      </c>
      <c r="Y911">
        <f>IF(HR_data[[#This Row],[Attrition]]= "Yes",1,0)</f>
        <v>0</v>
      </c>
    </row>
    <row r="912" spans="1:25">
      <c r="A912">
        <v>911</v>
      </c>
      <c r="B912" t="s">
        <v>33</v>
      </c>
      <c r="C912" t="s">
        <v>25</v>
      </c>
      <c r="D912" t="s">
        <v>52</v>
      </c>
      <c r="E912" t="s">
        <v>36</v>
      </c>
      <c r="F912" t="s">
        <v>28</v>
      </c>
      <c r="G912">
        <v>1</v>
      </c>
      <c r="H912" t="s">
        <v>37</v>
      </c>
      <c r="I912" t="s">
        <v>38</v>
      </c>
      <c r="J912" t="s">
        <v>39</v>
      </c>
      <c r="K912" t="s">
        <v>33</v>
      </c>
      <c r="L912">
        <v>23</v>
      </c>
      <c r="M912">
        <v>1</v>
      </c>
      <c r="N912" t="s">
        <v>32</v>
      </c>
      <c r="O912">
        <v>4</v>
      </c>
      <c r="P912">
        <v>1</v>
      </c>
      <c r="Q912">
        <v>3</v>
      </c>
      <c r="R912">
        <v>1223</v>
      </c>
      <c r="S912">
        <v>1</v>
      </c>
      <c r="T912">
        <v>3</v>
      </c>
      <c r="U912">
        <v>1</v>
      </c>
      <c r="V912">
        <v>0</v>
      </c>
      <c r="W912">
        <v>0</v>
      </c>
      <c r="X912">
        <v>1</v>
      </c>
      <c r="Y912">
        <f>IF(HR_data[[#This Row],[Attrition]]= "Yes",1,0)</f>
        <v>0</v>
      </c>
    </row>
    <row r="913" spans="1:25">
      <c r="A913">
        <v>912</v>
      </c>
      <c r="B913" t="s">
        <v>24</v>
      </c>
      <c r="C913" t="s">
        <v>34</v>
      </c>
      <c r="D913" t="s">
        <v>43</v>
      </c>
      <c r="E913" t="s">
        <v>27</v>
      </c>
      <c r="F913" t="s">
        <v>28</v>
      </c>
      <c r="G913">
        <v>1</v>
      </c>
      <c r="H913" t="s">
        <v>37</v>
      </c>
      <c r="I913" t="s">
        <v>54</v>
      </c>
      <c r="J913" t="s">
        <v>31</v>
      </c>
      <c r="K913" t="s">
        <v>24</v>
      </c>
      <c r="L913">
        <v>25</v>
      </c>
      <c r="M913">
        <v>24</v>
      </c>
      <c r="N913" t="s">
        <v>40</v>
      </c>
      <c r="O913">
        <v>3</v>
      </c>
      <c r="P913">
        <v>1</v>
      </c>
      <c r="Q913">
        <v>4</v>
      </c>
      <c r="R913">
        <v>1118</v>
      </c>
      <c r="S913">
        <v>1</v>
      </c>
      <c r="T913">
        <v>3</v>
      </c>
      <c r="U913">
        <v>1</v>
      </c>
      <c r="V913">
        <v>0</v>
      </c>
      <c r="W913">
        <v>1</v>
      </c>
      <c r="X913">
        <v>0</v>
      </c>
      <c r="Y913">
        <f>IF(HR_data[[#This Row],[Attrition]]= "Yes",1,0)</f>
        <v>1</v>
      </c>
    </row>
    <row r="914" spans="1:25">
      <c r="A914">
        <v>913</v>
      </c>
      <c r="B914" t="s">
        <v>33</v>
      </c>
      <c r="C914" t="s">
        <v>25</v>
      </c>
      <c r="D914" t="s">
        <v>43</v>
      </c>
      <c r="E914" t="s">
        <v>36</v>
      </c>
      <c r="F914" t="s">
        <v>28</v>
      </c>
      <c r="G914">
        <v>1</v>
      </c>
      <c r="H914" t="s">
        <v>37</v>
      </c>
      <c r="I914" t="s">
        <v>38</v>
      </c>
      <c r="J914" t="s">
        <v>31</v>
      </c>
      <c r="K914" t="s">
        <v>24</v>
      </c>
      <c r="L914">
        <v>26</v>
      </c>
      <c r="M914">
        <v>4</v>
      </c>
      <c r="N914" t="s">
        <v>32</v>
      </c>
      <c r="O914">
        <v>3</v>
      </c>
      <c r="P914">
        <v>1</v>
      </c>
      <c r="Q914">
        <v>4</v>
      </c>
      <c r="R914">
        <v>2875</v>
      </c>
      <c r="S914">
        <v>8</v>
      </c>
      <c r="T914">
        <v>2</v>
      </c>
      <c r="U914">
        <v>8</v>
      </c>
      <c r="V914">
        <v>5</v>
      </c>
      <c r="W914">
        <v>2</v>
      </c>
      <c r="X914">
        <v>2</v>
      </c>
      <c r="Y914">
        <f>IF(HR_data[[#This Row],[Attrition]]= "Yes",1,0)</f>
        <v>0</v>
      </c>
    </row>
    <row r="915" spans="1:25">
      <c r="A915">
        <v>914</v>
      </c>
      <c r="B915" t="s">
        <v>24</v>
      </c>
      <c r="C915" t="s">
        <v>25</v>
      </c>
      <c r="D915" t="s">
        <v>35</v>
      </c>
      <c r="E915" t="s">
        <v>27</v>
      </c>
      <c r="F915" t="s">
        <v>56</v>
      </c>
      <c r="G915">
        <v>1</v>
      </c>
      <c r="H915" t="s">
        <v>29</v>
      </c>
      <c r="I915" t="s">
        <v>53</v>
      </c>
      <c r="J915" t="s">
        <v>31</v>
      </c>
      <c r="K915" t="s">
        <v>24</v>
      </c>
      <c r="L915">
        <v>45</v>
      </c>
      <c r="M915">
        <v>2</v>
      </c>
      <c r="N915" t="s">
        <v>47</v>
      </c>
      <c r="O915">
        <v>1</v>
      </c>
      <c r="P915">
        <v>5</v>
      </c>
      <c r="Q915">
        <v>2</v>
      </c>
      <c r="R915">
        <v>18824</v>
      </c>
      <c r="S915">
        <v>26</v>
      </c>
      <c r="T915">
        <v>3</v>
      </c>
      <c r="U915">
        <v>24</v>
      </c>
      <c r="V915">
        <v>10</v>
      </c>
      <c r="W915">
        <v>1</v>
      </c>
      <c r="X915">
        <v>11</v>
      </c>
      <c r="Y915">
        <f>IF(HR_data[[#This Row],[Attrition]]= "Yes",1,0)</f>
        <v>1</v>
      </c>
    </row>
    <row r="916" spans="1:25">
      <c r="A916">
        <v>915</v>
      </c>
      <c r="B916" t="s">
        <v>33</v>
      </c>
      <c r="C916" t="s">
        <v>51</v>
      </c>
      <c r="D916" t="s">
        <v>46</v>
      </c>
      <c r="E916" t="s">
        <v>36</v>
      </c>
      <c r="F916" t="s">
        <v>45</v>
      </c>
      <c r="G916">
        <v>1</v>
      </c>
      <c r="H916" t="s">
        <v>37</v>
      </c>
      <c r="I916" t="s">
        <v>50</v>
      </c>
      <c r="J916" t="s">
        <v>48</v>
      </c>
      <c r="K916" t="s">
        <v>24</v>
      </c>
      <c r="L916">
        <v>55</v>
      </c>
      <c r="M916">
        <v>8</v>
      </c>
      <c r="N916" t="s">
        <v>40</v>
      </c>
      <c r="O916">
        <v>4</v>
      </c>
      <c r="P916">
        <v>4</v>
      </c>
      <c r="Q916">
        <v>2</v>
      </c>
      <c r="R916">
        <v>13577</v>
      </c>
      <c r="S916">
        <v>34</v>
      </c>
      <c r="T916">
        <v>3</v>
      </c>
      <c r="U916">
        <v>33</v>
      </c>
      <c r="V916">
        <v>9</v>
      </c>
      <c r="W916">
        <v>15</v>
      </c>
      <c r="X916">
        <v>0</v>
      </c>
      <c r="Y916">
        <f>IF(HR_data[[#This Row],[Attrition]]= "Yes",1,0)</f>
        <v>0</v>
      </c>
    </row>
    <row r="917" spans="1:25">
      <c r="A917">
        <v>916</v>
      </c>
      <c r="B917" t="s">
        <v>24</v>
      </c>
      <c r="C917" t="s">
        <v>34</v>
      </c>
      <c r="D917" t="s">
        <v>52</v>
      </c>
      <c r="E917" t="s">
        <v>36</v>
      </c>
      <c r="F917" t="s">
        <v>28</v>
      </c>
      <c r="G917">
        <v>1</v>
      </c>
      <c r="H917" t="s">
        <v>29</v>
      </c>
      <c r="I917" t="s">
        <v>42</v>
      </c>
      <c r="J917" t="s">
        <v>31</v>
      </c>
      <c r="K917" t="s">
        <v>33</v>
      </c>
      <c r="L917">
        <v>21</v>
      </c>
      <c r="M917">
        <v>10</v>
      </c>
      <c r="N917" t="s">
        <v>32</v>
      </c>
      <c r="O917">
        <v>1</v>
      </c>
      <c r="P917">
        <v>1</v>
      </c>
      <c r="Q917">
        <v>3</v>
      </c>
      <c r="R917">
        <v>2625</v>
      </c>
      <c r="S917">
        <v>2</v>
      </c>
      <c r="T917">
        <v>1</v>
      </c>
      <c r="U917">
        <v>2</v>
      </c>
      <c r="V917">
        <v>2</v>
      </c>
      <c r="W917">
        <v>2</v>
      </c>
      <c r="X917">
        <v>2</v>
      </c>
      <c r="Y917">
        <f>IF(HR_data[[#This Row],[Attrition]]= "Yes",1,0)</f>
        <v>1</v>
      </c>
    </row>
    <row r="918" spans="1:25">
      <c r="A918">
        <v>917</v>
      </c>
      <c r="B918" t="s">
        <v>33</v>
      </c>
      <c r="C918" t="s">
        <v>25</v>
      </c>
      <c r="D918" t="s">
        <v>35</v>
      </c>
      <c r="E918" t="s">
        <v>27</v>
      </c>
      <c r="F918" t="s">
        <v>56</v>
      </c>
      <c r="G918">
        <v>1</v>
      </c>
      <c r="H918" t="s">
        <v>29</v>
      </c>
      <c r="I918" t="s">
        <v>53</v>
      </c>
      <c r="J918" t="s">
        <v>39</v>
      </c>
      <c r="K918" t="s">
        <v>33</v>
      </c>
      <c r="L918">
        <v>46</v>
      </c>
      <c r="M918">
        <v>4</v>
      </c>
      <c r="N918" t="s">
        <v>32</v>
      </c>
      <c r="O918">
        <v>4</v>
      </c>
      <c r="P918">
        <v>5</v>
      </c>
      <c r="Q918">
        <v>2</v>
      </c>
      <c r="R918">
        <v>18789</v>
      </c>
      <c r="S918">
        <v>26</v>
      </c>
      <c r="T918">
        <v>3</v>
      </c>
      <c r="U918">
        <v>11</v>
      </c>
      <c r="V918">
        <v>4</v>
      </c>
      <c r="W918">
        <v>0</v>
      </c>
      <c r="X918">
        <v>8</v>
      </c>
      <c r="Y918">
        <f>IF(HR_data[[#This Row],[Attrition]]= "Yes",1,0)</f>
        <v>0</v>
      </c>
    </row>
    <row r="919" spans="1:25">
      <c r="A919">
        <v>918</v>
      </c>
      <c r="B919" t="s">
        <v>33</v>
      </c>
      <c r="C919" t="s">
        <v>25</v>
      </c>
      <c r="D919" t="s">
        <v>43</v>
      </c>
      <c r="E919" t="s">
        <v>27</v>
      </c>
      <c r="F919" t="s">
        <v>56</v>
      </c>
      <c r="G919">
        <v>1</v>
      </c>
      <c r="H919" t="s">
        <v>29</v>
      </c>
      <c r="I919" t="s">
        <v>30</v>
      </c>
      <c r="J919" t="s">
        <v>31</v>
      </c>
      <c r="K919" t="s">
        <v>24</v>
      </c>
      <c r="L919">
        <v>34</v>
      </c>
      <c r="M919">
        <v>2</v>
      </c>
      <c r="N919" t="s">
        <v>47</v>
      </c>
      <c r="O919">
        <v>3</v>
      </c>
      <c r="P919">
        <v>2</v>
      </c>
      <c r="Q919">
        <v>1</v>
      </c>
      <c r="R919">
        <v>4538</v>
      </c>
      <c r="S919">
        <v>4</v>
      </c>
      <c r="T919">
        <v>3</v>
      </c>
      <c r="U919">
        <v>3</v>
      </c>
      <c r="V919">
        <v>2</v>
      </c>
      <c r="W919">
        <v>0</v>
      </c>
      <c r="X919">
        <v>2</v>
      </c>
      <c r="Y919">
        <f>IF(HR_data[[#This Row],[Attrition]]= "Yes",1,0)</f>
        <v>0</v>
      </c>
    </row>
    <row r="920" spans="1:25">
      <c r="A920">
        <v>919</v>
      </c>
      <c r="B920" t="s">
        <v>33</v>
      </c>
      <c r="C920" t="s">
        <v>34</v>
      </c>
      <c r="D920" t="s">
        <v>35</v>
      </c>
      <c r="E920" t="s">
        <v>27</v>
      </c>
      <c r="F920" t="s">
        <v>28</v>
      </c>
      <c r="G920">
        <v>1</v>
      </c>
      <c r="H920" t="s">
        <v>37</v>
      </c>
      <c r="I920" t="s">
        <v>53</v>
      </c>
      <c r="J920" t="s">
        <v>48</v>
      </c>
      <c r="K920" t="s">
        <v>24</v>
      </c>
      <c r="L920">
        <v>51</v>
      </c>
      <c r="M920">
        <v>9</v>
      </c>
      <c r="N920" t="s">
        <v>47</v>
      </c>
      <c r="O920">
        <v>4</v>
      </c>
      <c r="P920">
        <v>5</v>
      </c>
      <c r="Q920">
        <v>2</v>
      </c>
      <c r="R920">
        <v>19847</v>
      </c>
      <c r="S920">
        <v>31</v>
      </c>
      <c r="T920">
        <v>2</v>
      </c>
      <c r="U920">
        <v>29</v>
      </c>
      <c r="V920">
        <v>10</v>
      </c>
      <c r="W920">
        <v>11</v>
      </c>
      <c r="X920">
        <v>10</v>
      </c>
      <c r="Y920">
        <f>IF(HR_data[[#This Row],[Attrition]]= "Yes",1,0)</f>
        <v>0</v>
      </c>
    </row>
    <row r="921" spans="1:25">
      <c r="A921">
        <v>920</v>
      </c>
      <c r="B921" t="s">
        <v>33</v>
      </c>
      <c r="C921" t="s">
        <v>25</v>
      </c>
      <c r="D921" t="s">
        <v>46</v>
      </c>
      <c r="E921" t="s">
        <v>36</v>
      </c>
      <c r="F921" t="s">
        <v>45</v>
      </c>
      <c r="G921">
        <v>1</v>
      </c>
      <c r="H921" t="s">
        <v>37</v>
      </c>
      <c r="I921" t="s">
        <v>49</v>
      </c>
      <c r="J921" t="s">
        <v>31</v>
      </c>
      <c r="K921" t="s">
        <v>33</v>
      </c>
      <c r="L921">
        <v>59</v>
      </c>
      <c r="M921">
        <v>18</v>
      </c>
      <c r="N921" t="s">
        <v>44</v>
      </c>
      <c r="O921">
        <v>4</v>
      </c>
      <c r="P921">
        <v>3</v>
      </c>
      <c r="Q921">
        <v>4</v>
      </c>
      <c r="R921">
        <v>10512</v>
      </c>
      <c r="S921">
        <v>25</v>
      </c>
      <c r="T921">
        <v>2</v>
      </c>
      <c r="U921">
        <v>9</v>
      </c>
      <c r="V921">
        <v>7</v>
      </c>
      <c r="W921">
        <v>5</v>
      </c>
      <c r="X921">
        <v>4</v>
      </c>
      <c r="Y921">
        <f>IF(HR_data[[#This Row],[Attrition]]= "Yes",1,0)</f>
        <v>0</v>
      </c>
    </row>
    <row r="922" spans="1:25">
      <c r="A922">
        <v>921</v>
      </c>
      <c r="B922" t="s">
        <v>33</v>
      </c>
      <c r="C922" t="s">
        <v>34</v>
      </c>
      <c r="D922" t="s">
        <v>43</v>
      </c>
      <c r="E922" t="s">
        <v>36</v>
      </c>
      <c r="F922" t="s">
        <v>45</v>
      </c>
      <c r="G922">
        <v>1</v>
      </c>
      <c r="H922" t="s">
        <v>29</v>
      </c>
      <c r="I922" t="s">
        <v>42</v>
      </c>
      <c r="J922" t="s">
        <v>48</v>
      </c>
      <c r="K922" t="s">
        <v>33</v>
      </c>
      <c r="L922">
        <v>34</v>
      </c>
      <c r="M922">
        <v>19</v>
      </c>
      <c r="N922" t="s">
        <v>47</v>
      </c>
      <c r="O922">
        <v>3</v>
      </c>
      <c r="P922">
        <v>2</v>
      </c>
      <c r="Q922">
        <v>2</v>
      </c>
      <c r="R922">
        <v>4444</v>
      </c>
      <c r="S922">
        <v>15</v>
      </c>
      <c r="T922">
        <v>4</v>
      </c>
      <c r="U922">
        <v>11</v>
      </c>
      <c r="V922">
        <v>8</v>
      </c>
      <c r="W922">
        <v>5</v>
      </c>
      <c r="X922">
        <v>10</v>
      </c>
      <c r="Y922">
        <f>IF(HR_data[[#This Row],[Attrition]]= "Yes",1,0)</f>
        <v>0</v>
      </c>
    </row>
    <row r="923" spans="1:25">
      <c r="A923">
        <v>922</v>
      </c>
      <c r="B923" t="s">
        <v>33</v>
      </c>
      <c r="C923" t="s">
        <v>34</v>
      </c>
      <c r="D923" t="s">
        <v>43</v>
      </c>
      <c r="E923" t="s">
        <v>36</v>
      </c>
      <c r="F923" t="s">
        <v>45</v>
      </c>
      <c r="G923">
        <v>1</v>
      </c>
      <c r="H923" t="s">
        <v>37</v>
      </c>
      <c r="I923" t="s">
        <v>42</v>
      </c>
      <c r="J923" t="s">
        <v>31</v>
      </c>
      <c r="K923" t="s">
        <v>24</v>
      </c>
      <c r="L923">
        <v>28</v>
      </c>
      <c r="M923">
        <v>1</v>
      </c>
      <c r="N923" t="s">
        <v>44</v>
      </c>
      <c r="O923">
        <v>4</v>
      </c>
      <c r="P923">
        <v>1</v>
      </c>
      <c r="Q923">
        <v>3</v>
      </c>
      <c r="R923">
        <v>2154</v>
      </c>
      <c r="S923">
        <v>5</v>
      </c>
      <c r="T923">
        <v>2</v>
      </c>
      <c r="U923">
        <v>4</v>
      </c>
      <c r="V923">
        <v>2</v>
      </c>
      <c r="W923">
        <v>0</v>
      </c>
      <c r="X923">
        <v>2</v>
      </c>
      <c r="Y923">
        <f>IF(HR_data[[#This Row],[Attrition]]= "Yes",1,0)</f>
        <v>0</v>
      </c>
    </row>
    <row r="924" spans="1:25">
      <c r="A924">
        <v>923</v>
      </c>
      <c r="B924" t="s">
        <v>33</v>
      </c>
      <c r="C924" t="s">
        <v>25</v>
      </c>
      <c r="D924" t="s">
        <v>26</v>
      </c>
      <c r="E924" t="s">
        <v>36</v>
      </c>
      <c r="F924" t="s">
        <v>28</v>
      </c>
      <c r="G924">
        <v>1</v>
      </c>
      <c r="H924" t="s">
        <v>37</v>
      </c>
      <c r="I924" t="s">
        <v>53</v>
      </c>
      <c r="J924" t="s">
        <v>48</v>
      </c>
      <c r="K924" t="s">
        <v>33</v>
      </c>
      <c r="L924">
        <v>44</v>
      </c>
      <c r="M924">
        <v>4</v>
      </c>
      <c r="N924" t="s">
        <v>32</v>
      </c>
      <c r="O924">
        <v>3</v>
      </c>
      <c r="P924">
        <v>5</v>
      </c>
      <c r="Q924">
        <v>1</v>
      </c>
      <c r="R924">
        <v>19190</v>
      </c>
      <c r="S924">
        <v>26</v>
      </c>
      <c r="T924">
        <v>2</v>
      </c>
      <c r="U924">
        <v>25</v>
      </c>
      <c r="V924">
        <v>9</v>
      </c>
      <c r="W924">
        <v>14</v>
      </c>
      <c r="X924">
        <v>13</v>
      </c>
      <c r="Y924">
        <f>IF(HR_data[[#This Row],[Attrition]]= "Yes",1,0)</f>
        <v>0</v>
      </c>
    </row>
    <row r="925" spans="1:25">
      <c r="A925">
        <v>924</v>
      </c>
      <c r="B925" t="s">
        <v>33</v>
      </c>
      <c r="C925" t="s">
        <v>34</v>
      </c>
      <c r="D925" t="s">
        <v>43</v>
      </c>
      <c r="E925" t="s">
        <v>59</v>
      </c>
      <c r="F925" t="s">
        <v>28</v>
      </c>
      <c r="G925">
        <v>1</v>
      </c>
      <c r="H925" t="s">
        <v>37</v>
      </c>
      <c r="I925" t="s">
        <v>60</v>
      </c>
      <c r="J925" t="s">
        <v>39</v>
      </c>
      <c r="K925" t="s">
        <v>33</v>
      </c>
      <c r="L925">
        <v>34</v>
      </c>
      <c r="M925">
        <v>11</v>
      </c>
      <c r="N925" t="s">
        <v>47</v>
      </c>
      <c r="O925">
        <v>3</v>
      </c>
      <c r="P925">
        <v>2</v>
      </c>
      <c r="Q925">
        <v>2</v>
      </c>
      <c r="R925">
        <v>4490</v>
      </c>
      <c r="S925">
        <v>14</v>
      </c>
      <c r="T925">
        <v>4</v>
      </c>
      <c r="U925">
        <v>10</v>
      </c>
      <c r="V925">
        <v>9</v>
      </c>
      <c r="W925">
        <v>1</v>
      </c>
      <c r="X925">
        <v>8</v>
      </c>
      <c r="Y925">
        <f>IF(HR_data[[#This Row],[Attrition]]= "Yes",1,0)</f>
        <v>0</v>
      </c>
    </row>
    <row r="926" spans="1:25">
      <c r="A926">
        <v>925</v>
      </c>
      <c r="B926" t="s">
        <v>33</v>
      </c>
      <c r="C926" t="s">
        <v>25</v>
      </c>
      <c r="D926" t="s">
        <v>26</v>
      </c>
      <c r="E926" t="s">
        <v>36</v>
      </c>
      <c r="F926" t="s">
        <v>28</v>
      </c>
      <c r="G926">
        <v>1</v>
      </c>
      <c r="H926" t="s">
        <v>37</v>
      </c>
      <c r="I926" t="s">
        <v>38</v>
      </c>
      <c r="J926" t="s">
        <v>39</v>
      </c>
      <c r="K926" t="s">
        <v>24</v>
      </c>
      <c r="L926">
        <v>35</v>
      </c>
      <c r="M926">
        <v>6</v>
      </c>
      <c r="N926" t="s">
        <v>40</v>
      </c>
      <c r="O926">
        <v>3</v>
      </c>
      <c r="P926">
        <v>1</v>
      </c>
      <c r="Q926">
        <v>3</v>
      </c>
      <c r="R926">
        <v>3506</v>
      </c>
      <c r="S926">
        <v>4</v>
      </c>
      <c r="T926">
        <v>3</v>
      </c>
      <c r="U926">
        <v>3</v>
      </c>
      <c r="V926">
        <v>2</v>
      </c>
      <c r="W926">
        <v>2</v>
      </c>
      <c r="X926">
        <v>2</v>
      </c>
      <c r="Y926">
        <f>IF(HR_data[[#This Row],[Attrition]]= "Yes",1,0)</f>
        <v>0</v>
      </c>
    </row>
    <row r="927" spans="1:25">
      <c r="A927">
        <v>926</v>
      </c>
      <c r="B927" t="s">
        <v>33</v>
      </c>
      <c r="C927" t="s">
        <v>25</v>
      </c>
      <c r="D927" t="s">
        <v>26</v>
      </c>
      <c r="E927" t="s">
        <v>36</v>
      </c>
      <c r="F927" t="s">
        <v>45</v>
      </c>
      <c r="G927">
        <v>1</v>
      </c>
      <c r="H927" t="s">
        <v>29</v>
      </c>
      <c r="I927" t="s">
        <v>38</v>
      </c>
      <c r="J927" t="s">
        <v>39</v>
      </c>
      <c r="K927" t="s">
        <v>24</v>
      </c>
      <c r="L927">
        <v>42</v>
      </c>
      <c r="M927">
        <v>7</v>
      </c>
      <c r="N927" t="s">
        <v>44</v>
      </c>
      <c r="O927">
        <v>2</v>
      </c>
      <c r="P927">
        <v>2</v>
      </c>
      <c r="Q927">
        <v>2</v>
      </c>
      <c r="R927">
        <v>2372</v>
      </c>
      <c r="S927">
        <v>18</v>
      </c>
      <c r="T927">
        <v>3</v>
      </c>
      <c r="U927">
        <v>1</v>
      </c>
      <c r="V927">
        <v>0</v>
      </c>
      <c r="W927">
        <v>0</v>
      </c>
      <c r="X927">
        <v>0</v>
      </c>
      <c r="Y927">
        <f>IF(HR_data[[#This Row],[Attrition]]= "Yes",1,0)</f>
        <v>0</v>
      </c>
    </row>
    <row r="928" spans="1:25">
      <c r="A928">
        <v>927</v>
      </c>
      <c r="B928" t="s">
        <v>33</v>
      </c>
      <c r="C928" t="s">
        <v>25</v>
      </c>
      <c r="D928" t="s">
        <v>26</v>
      </c>
      <c r="E928" t="s">
        <v>27</v>
      </c>
      <c r="F928" t="s">
        <v>56</v>
      </c>
      <c r="G928">
        <v>1</v>
      </c>
      <c r="H928" t="s">
        <v>29</v>
      </c>
      <c r="I928" t="s">
        <v>30</v>
      </c>
      <c r="J928" t="s">
        <v>31</v>
      </c>
      <c r="K928" t="s">
        <v>33</v>
      </c>
      <c r="L928">
        <v>43</v>
      </c>
      <c r="M928">
        <v>4</v>
      </c>
      <c r="N928" t="s">
        <v>44</v>
      </c>
      <c r="O928">
        <v>4</v>
      </c>
      <c r="P928">
        <v>3</v>
      </c>
      <c r="Q928">
        <v>4</v>
      </c>
      <c r="R928">
        <v>10231</v>
      </c>
      <c r="S928">
        <v>23</v>
      </c>
      <c r="T928">
        <v>4</v>
      </c>
      <c r="U928">
        <v>21</v>
      </c>
      <c r="V928">
        <v>7</v>
      </c>
      <c r="W928">
        <v>15</v>
      </c>
      <c r="X928">
        <v>17</v>
      </c>
      <c r="Y928">
        <f>IF(HR_data[[#This Row],[Attrition]]= "Yes",1,0)</f>
        <v>0</v>
      </c>
    </row>
    <row r="929" spans="1:25">
      <c r="A929">
        <v>928</v>
      </c>
      <c r="B929" t="s">
        <v>33</v>
      </c>
      <c r="C929" t="s">
        <v>25</v>
      </c>
      <c r="D929" t="s">
        <v>26</v>
      </c>
      <c r="E929" t="s">
        <v>36</v>
      </c>
      <c r="F929" t="s">
        <v>28</v>
      </c>
      <c r="G929">
        <v>1</v>
      </c>
      <c r="H929" t="s">
        <v>29</v>
      </c>
      <c r="I929" t="s">
        <v>49</v>
      </c>
      <c r="J929" t="s">
        <v>31</v>
      </c>
      <c r="K929" t="s">
        <v>24</v>
      </c>
      <c r="L929">
        <v>36</v>
      </c>
      <c r="M929">
        <v>2</v>
      </c>
      <c r="N929" t="s">
        <v>44</v>
      </c>
      <c r="O929">
        <v>3</v>
      </c>
      <c r="P929">
        <v>2</v>
      </c>
      <c r="Q929">
        <v>2</v>
      </c>
      <c r="R929">
        <v>5410</v>
      </c>
      <c r="S929">
        <v>18</v>
      </c>
      <c r="T929">
        <v>3</v>
      </c>
      <c r="U929">
        <v>16</v>
      </c>
      <c r="V929">
        <v>14</v>
      </c>
      <c r="W929">
        <v>5</v>
      </c>
      <c r="X929">
        <v>12</v>
      </c>
      <c r="Y929">
        <f>IF(HR_data[[#This Row],[Attrition]]= "Yes",1,0)</f>
        <v>0</v>
      </c>
    </row>
    <row r="930" spans="1:25">
      <c r="A930">
        <v>929</v>
      </c>
      <c r="B930" t="s">
        <v>24</v>
      </c>
      <c r="C930" t="s">
        <v>25</v>
      </c>
      <c r="D930" t="s">
        <v>26</v>
      </c>
      <c r="E930" t="s">
        <v>36</v>
      </c>
      <c r="F930" t="s">
        <v>45</v>
      </c>
      <c r="G930">
        <v>1</v>
      </c>
      <c r="H930" t="s">
        <v>29</v>
      </c>
      <c r="I930" t="s">
        <v>50</v>
      </c>
      <c r="J930" t="s">
        <v>39</v>
      </c>
      <c r="K930" t="s">
        <v>33</v>
      </c>
      <c r="L930">
        <v>44</v>
      </c>
      <c r="M930">
        <v>15</v>
      </c>
      <c r="N930" t="s">
        <v>47</v>
      </c>
      <c r="O930">
        <v>1</v>
      </c>
      <c r="P930">
        <v>3</v>
      </c>
      <c r="Q930">
        <v>4</v>
      </c>
      <c r="R930">
        <v>7978</v>
      </c>
      <c r="S930">
        <v>10</v>
      </c>
      <c r="T930">
        <v>3</v>
      </c>
      <c r="U930">
        <v>10</v>
      </c>
      <c r="V930">
        <v>7</v>
      </c>
      <c r="W930">
        <v>0</v>
      </c>
      <c r="X930">
        <v>5</v>
      </c>
      <c r="Y930">
        <f>IF(HR_data[[#This Row],[Attrition]]= "Yes",1,0)</f>
        <v>1</v>
      </c>
    </row>
    <row r="931" spans="1:25">
      <c r="A931">
        <v>930</v>
      </c>
      <c r="B931" t="s">
        <v>33</v>
      </c>
      <c r="C931" t="s">
        <v>34</v>
      </c>
      <c r="D931" t="s">
        <v>43</v>
      </c>
      <c r="E931" t="s">
        <v>36</v>
      </c>
      <c r="F931" t="s">
        <v>28</v>
      </c>
      <c r="G931">
        <v>1</v>
      </c>
      <c r="H931" t="s">
        <v>37</v>
      </c>
      <c r="I931" t="s">
        <v>42</v>
      </c>
      <c r="J931" t="s">
        <v>39</v>
      </c>
      <c r="K931" t="s">
        <v>24</v>
      </c>
      <c r="L931">
        <v>28</v>
      </c>
      <c r="M931">
        <v>2</v>
      </c>
      <c r="N931" t="s">
        <v>47</v>
      </c>
      <c r="O931">
        <v>4</v>
      </c>
      <c r="P931">
        <v>1</v>
      </c>
      <c r="Q931">
        <v>4</v>
      </c>
      <c r="R931">
        <v>3867</v>
      </c>
      <c r="S931">
        <v>2</v>
      </c>
      <c r="T931">
        <v>3</v>
      </c>
      <c r="U931">
        <v>2</v>
      </c>
      <c r="V931">
        <v>2</v>
      </c>
      <c r="W931">
        <v>2</v>
      </c>
      <c r="X931">
        <v>2</v>
      </c>
      <c r="Y931">
        <f>IF(HR_data[[#This Row],[Attrition]]= "Yes",1,0)</f>
        <v>0</v>
      </c>
    </row>
    <row r="932" spans="1:25">
      <c r="A932">
        <v>931</v>
      </c>
      <c r="B932" t="s">
        <v>33</v>
      </c>
      <c r="C932" t="s">
        <v>34</v>
      </c>
      <c r="D932" t="s">
        <v>35</v>
      </c>
      <c r="E932" t="s">
        <v>36</v>
      </c>
      <c r="F932" t="s">
        <v>45</v>
      </c>
      <c r="G932">
        <v>1</v>
      </c>
      <c r="H932" t="s">
        <v>29</v>
      </c>
      <c r="I932" t="s">
        <v>42</v>
      </c>
      <c r="J932" t="s">
        <v>31</v>
      </c>
      <c r="K932" t="s">
        <v>33</v>
      </c>
      <c r="L932">
        <v>51</v>
      </c>
      <c r="M932">
        <v>6</v>
      </c>
      <c r="N932" t="s">
        <v>32</v>
      </c>
      <c r="O932">
        <v>2</v>
      </c>
      <c r="P932">
        <v>1</v>
      </c>
      <c r="Q932">
        <v>3</v>
      </c>
      <c r="R932">
        <v>2838</v>
      </c>
      <c r="S932">
        <v>8</v>
      </c>
      <c r="T932">
        <v>2</v>
      </c>
      <c r="U932">
        <v>7</v>
      </c>
      <c r="V932">
        <v>0</v>
      </c>
      <c r="W932">
        <v>7</v>
      </c>
      <c r="X932">
        <v>7</v>
      </c>
      <c r="Y932">
        <f>IF(HR_data[[#This Row],[Attrition]]= "Yes",1,0)</f>
        <v>0</v>
      </c>
    </row>
    <row r="933" spans="1:25">
      <c r="A933">
        <v>932</v>
      </c>
      <c r="B933" t="s">
        <v>33</v>
      </c>
      <c r="C933" t="s">
        <v>51</v>
      </c>
      <c r="D933" t="s">
        <v>43</v>
      </c>
      <c r="E933" t="s">
        <v>36</v>
      </c>
      <c r="F933" t="s">
        <v>45</v>
      </c>
      <c r="G933">
        <v>1</v>
      </c>
      <c r="H933" t="s">
        <v>29</v>
      </c>
      <c r="I933" t="s">
        <v>49</v>
      </c>
      <c r="J933" t="s">
        <v>31</v>
      </c>
      <c r="K933" t="s">
        <v>24</v>
      </c>
      <c r="L933">
        <v>30</v>
      </c>
      <c r="M933">
        <v>9</v>
      </c>
      <c r="N933" t="s">
        <v>32</v>
      </c>
      <c r="O933">
        <v>3</v>
      </c>
      <c r="P933">
        <v>2</v>
      </c>
      <c r="Q933">
        <v>3</v>
      </c>
      <c r="R933">
        <v>4695</v>
      </c>
      <c r="S933">
        <v>10</v>
      </c>
      <c r="T933">
        <v>3</v>
      </c>
      <c r="U933">
        <v>8</v>
      </c>
      <c r="V933">
        <v>4</v>
      </c>
      <c r="W933">
        <v>1</v>
      </c>
      <c r="X933">
        <v>7</v>
      </c>
      <c r="Y933">
        <f>IF(HR_data[[#This Row],[Attrition]]= "Yes",1,0)</f>
        <v>0</v>
      </c>
    </row>
    <row r="934" spans="1:25">
      <c r="A934">
        <v>933</v>
      </c>
      <c r="B934" t="s">
        <v>24</v>
      </c>
      <c r="C934" t="s">
        <v>25</v>
      </c>
      <c r="D934" t="s">
        <v>43</v>
      </c>
      <c r="E934" t="s">
        <v>36</v>
      </c>
      <c r="F934" t="s">
        <v>57</v>
      </c>
      <c r="G934">
        <v>1</v>
      </c>
      <c r="H934" t="s">
        <v>29</v>
      </c>
      <c r="I934" t="s">
        <v>42</v>
      </c>
      <c r="J934" t="s">
        <v>48</v>
      </c>
      <c r="K934" t="s">
        <v>24</v>
      </c>
      <c r="L934">
        <v>29</v>
      </c>
      <c r="M934">
        <v>7</v>
      </c>
      <c r="N934" t="s">
        <v>47</v>
      </c>
      <c r="O934">
        <v>2</v>
      </c>
      <c r="P934">
        <v>1</v>
      </c>
      <c r="Q934">
        <v>3</v>
      </c>
      <c r="R934">
        <v>3339</v>
      </c>
      <c r="S934">
        <v>10</v>
      </c>
      <c r="T934">
        <v>3</v>
      </c>
      <c r="U934">
        <v>7</v>
      </c>
      <c r="V934">
        <v>7</v>
      </c>
      <c r="W934">
        <v>7</v>
      </c>
      <c r="X934">
        <v>7</v>
      </c>
      <c r="Y934">
        <f>IF(HR_data[[#This Row],[Attrition]]= "Yes",1,0)</f>
        <v>1</v>
      </c>
    </row>
    <row r="935" spans="1:25">
      <c r="A935">
        <v>934</v>
      </c>
      <c r="B935" t="s">
        <v>33</v>
      </c>
      <c r="C935" t="s">
        <v>25</v>
      </c>
      <c r="D935" t="s">
        <v>43</v>
      </c>
      <c r="E935" t="s">
        <v>36</v>
      </c>
      <c r="F935" t="s">
        <v>57</v>
      </c>
      <c r="G935">
        <v>1</v>
      </c>
      <c r="H935" t="s">
        <v>37</v>
      </c>
      <c r="I935" t="s">
        <v>38</v>
      </c>
      <c r="J935" t="s">
        <v>31</v>
      </c>
      <c r="K935" t="s">
        <v>33</v>
      </c>
      <c r="L935">
        <v>28</v>
      </c>
      <c r="M935">
        <v>1</v>
      </c>
      <c r="N935" t="s">
        <v>47</v>
      </c>
      <c r="O935">
        <v>4</v>
      </c>
      <c r="P935">
        <v>1</v>
      </c>
      <c r="Q935">
        <v>1</v>
      </c>
      <c r="R935">
        <v>2080</v>
      </c>
      <c r="S935">
        <v>5</v>
      </c>
      <c r="T935">
        <v>2</v>
      </c>
      <c r="U935">
        <v>3</v>
      </c>
      <c r="V935">
        <v>2</v>
      </c>
      <c r="W935">
        <v>1</v>
      </c>
      <c r="X935">
        <v>2</v>
      </c>
      <c r="Y935">
        <f>IF(HR_data[[#This Row],[Attrition]]= "Yes",1,0)</f>
        <v>0</v>
      </c>
    </row>
    <row r="936" spans="1:25">
      <c r="A936">
        <v>935</v>
      </c>
      <c r="B936" t="s">
        <v>33</v>
      </c>
      <c r="C936" t="s">
        <v>25</v>
      </c>
      <c r="D936" t="s">
        <v>43</v>
      </c>
      <c r="E936" t="s">
        <v>36</v>
      </c>
      <c r="F936" t="s">
        <v>45</v>
      </c>
      <c r="G936">
        <v>1</v>
      </c>
      <c r="H936" t="s">
        <v>29</v>
      </c>
      <c r="I936" t="s">
        <v>38</v>
      </c>
      <c r="J936" t="s">
        <v>31</v>
      </c>
      <c r="K936" t="s">
        <v>33</v>
      </c>
      <c r="L936">
        <v>25</v>
      </c>
      <c r="M936">
        <v>1</v>
      </c>
      <c r="N936" t="s">
        <v>47</v>
      </c>
      <c r="O936">
        <v>4</v>
      </c>
      <c r="P936">
        <v>1</v>
      </c>
      <c r="Q936">
        <v>2</v>
      </c>
      <c r="R936">
        <v>2096</v>
      </c>
      <c r="S936">
        <v>2</v>
      </c>
      <c r="T936">
        <v>2</v>
      </c>
      <c r="U936">
        <v>2</v>
      </c>
      <c r="V936">
        <v>2</v>
      </c>
      <c r="W936">
        <v>2</v>
      </c>
      <c r="X936">
        <v>1</v>
      </c>
      <c r="Y936">
        <f>IF(HR_data[[#This Row],[Attrition]]= "Yes",1,0)</f>
        <v>0</v>
      </c>
    </row>
    <row r="937" spans="1:25">
      <c r="A937">
        <v>936</v>
      </c>
      <c r="B937" t="s">
        <v>33</v>
      </c>
      <c r="C937" t="s">
        <v>25</v>
      </c>
      <c r="D937" t="s">
        <v>43</v>
      </c>
      <c r="E937" t="s">
        <v>27</v>
      </c>
      <c r="F937" t="s">
        <v>45</v>
      </c>
      <c r="G937">
        <v>1</v>
      </c>
      <c r="H937" t="s">
        <v>37</v>
      </c>
      <c r="I937" t="s">
        <v>30</v>
      </c>
      <c r="J937" t="s">
        <v>39</v>
      </c>
      <c r="K937" t="s">
        <v>33</v>
      </c>
      <c r="L937">
        <v>32</v>
      </c>
      <c r="M937">
        <v>8</v>
      </c>
      <c r="N937" t="s">
        <v>47</v>
      </c>
      <c r="O937">
        <v>3</v>
      </c>
      <c r="P937">
        <v>2</v>
      </c>
      <c r="Q937">
        <v>4</v>
      </c>
      <c r="R937">
        <v>6209</v>
      </c>
      <c r="S937">
        <v>10</v>
      </c>
      <c r="T937">
        <v>4</v>
      </c>
      <c r="U937">
        <v>10</v>
      </c>
      <c r="V937">
        <v>7</v>
      </c>
      <c r="W937">
        <v>0</v>
      </c>
      <c r="X937">
        <v>8</v>
      </c>
      <c r="Y937">
        <f>IF(HR_data[[#This Row],[Attrition]]= "Yes",1,0)</f>
        <v>0</v>
      </c>
    </row>
    <row r="938" spans="1:25">
      <c r="A938">
        <v>937</v>
      </c>
      <c r="B938" t="s">
        <v>33</v>
      </c>
      <c r="C938" t="s">
        <v>34</v>
      </c>
      <c r="D938" t="s">
        <v>35</v>
      </c>
      <c r="E938" t="s">
        <v>36</v>
      </c>
      <c r="F938" t="s">
        <v>45</v>
      </c>
      <c r="G938">
        <v>1</v>
      </c>
      <c r="H938" t="s">
        <v>29</v>
      </c>
      <c r="I938" t="s">
        <v>53</v>
      </c>
      <c r="J938" t="s">
        <v>31</v>
      </c>
      <c r="K938" t="s">
        <v>33</v>
      </c>
      <c r="L938">
        <v>45</v>
      </c>
      <c r="M938">
        <v>25</v>
      </c>
      <c r="N938" t="s">
        <v>47</v>
      </c>
      <c r="O938">
        <v>2</v>
      </c>
      <c r="P938">
        <v>5</v>
      </c>
      <c r="Q938">
        <v>2</v>
      </c>
      <c r="R938">
        <v>18061</v>
      </c>
      <c r="S938">
        <v>22</v>
      </c>
      <c r="T938">
        <v>3</v>
      </c>
      <c r="U938">
        <v>0</v>
      </c>
      <c r="V938">
        <v>0</v>
      </c>
      <c r="W938">
        <v>0</v>
      </c>
      <c r="X938">
        <v>0</v>
      </c>
      <c r="Y938">
        <f>IF(HR_data[[#This Row],[Attrition]]= "Yes",1,0)</f>
        <v>0</v>
      </c>
    </row>
    <row r="939" spans="1:25">
      <c r="A939">
        <v>938</v>
      </c>
      <c r="B939" t="s">
        <v>33</v>
      </c>
      <c r="C939" t="s">
        <v>25</v>
      </c>
      <c r="D939" t="s">
        <v>26</v>
      </c>
      <c r="E939" t="s">
        <v>36</v>
      </c>
      <c r="F939" t="s">
        <v>45</v>
      </c>
      <c r="G939">
        <v>1</v>
      </c>
      <c r="H939" t="s">
        <v>29</v>
      </c>
      <c r="I939" t="s">
        <v>53</v>
      </c>
      <c r="J939" t="s">
        <v>48</v>
      </c>
      <c r="K939" t="s">
        <v>24</v>
      </c>
      <c r="L939">
        <v>39</v>
      </c>
      <c r="M939">
        <v>13</v>
      </c>
      <c r="N939" t="s">
        <v>44</v>
      </c>
      <c r="O939">
        <v>3</v>
      </c>
      <c r="P939">
        <v>4</v>
      </c>
      <c r="Q939">
        <v>2</v>
      </c>
      <c r="R939">
        <v>17123</v>
      </c>
      <c r="S939">
        <v>21</v>
      </c>
      <c r="T939">
        <v>3</v>
      </c>
      <c r="U939">
        <v>19</v>
      </c>
      <c r="V939">
        <v>9</v>
      </c>
      <c r="W939">
        <v>15</v>
      </c>
      <c r="X939">
        <v>2</v>
      </c>
      <c r="Y939">
        <f>IF(HR_data[[#This Row],[Attrition]]= "Yes",1,0)</f>
        <v>0</v>
      </c>
    </row>
    <row r="940" spans="1:25">
      <c r="A940">
        <v>939</v>
      </c>
      <c r="B940" t="s">
        <v>33</v>
      </c>
      <c r="C940" t="s">
        <v>25</v>
      </c>
      <c r="D940" t="s">
        <v>46</v>
      </c>
      <c r="E940" t="s">
        <v>36</v>
      </c>
      <c r="F940" t="s">
        <v>28</v>
      </c>
      <c r="G940">
        <v>1</v>
      </c>
      <c r="H940" t="s">
        <v>37</v>
      </c>
      <c r="I940" t="s">
        <v>38</v>
      </c>
      <c r="J940" t="s">
        <v>48</v>
      </c>
      <c r="K940" t="s">
        <v>33</v>
      </c>
      <c r="L940">
        <v>58</v>
      </c>
      <c r="M940">
        <v>23</v>
      </c>
      <c r="N940" t="s">
        <v>44</v>
      </c>
      <c r="O940">
        <v>1</v>
      </c>
      <c r="P940">
        <v>1</v>
      </c>
      <c r="Q940">
        <v>3</v>
      </c>
      <c r="R940">
        <v>2372</v>
      </c>
      <c r="S940">
        <v>2</v>
      </c>
      <c r="T940">
        <v>3</v>
      </c>
      <c r="U940">
        <v>2</v>
      </c>
      <c r="V940">
        <v>2</v>
      </c>
      <c r="W940">
        <v>2</v>
      </c>
      <c r="X940">
        <v>2</v>
      </c>
      <c r="Y940">
        <f>IF(HR_data[[#This Row],[Attrition]]= "Yes",1,0)</f>
        <v>0</v>
      </c>
    </row>
    <row r="941" spans="1:25">
      <c r="A941">
        <v>940</v>
      </c>
      <c r="B941" t="s">
        <v>24</v>
      </c>
      <c r="C941" t="s">
        <v>25</v>
      </c>
      <c r="D941" t="s">
        <v>43</v>
      </c>
      <c r="E941" t="s">
        <v>36</v>
      </c>
      <c r="F941" t="s">
        <v>28</v>
      </c>
      <c r="G941">
        <v>1</v>
      </c>
      <c r="H941" t="s">
        <v>37</v>
      </c>
      <c r="I941" t="s">
        <v>42</v>
      </c>
      <c r="J941" t="s">
        <v>39</v>
      </c>
      <c r="K941" t="s">
        <v>33</v>
      </c>
      <c r="L941">
        <v>32</v>
      </c>
      <c r="M941">
        <v>7</v>
      </c>
      <c r="N941" t="s">
        <v>32</v>
      </c>
      <c r="O941">
        <v>4</v>
      </c>
      <c r="P941">
        <v>2</v>
      </c>
      <c r="Q941">
        <v>3</v>
      </c>
      <c r="R941">
        <v>4883</v>
      </c>
      <c r="S941">
        <v>10</v>
      </c>
      <c r="T941">
        <v>3</v>
      </c>
      <c r="U941">
        <v>10</v>
      </c>
      <c r="V941">
        <v>4</v>
      </c>
      <c r="W941">
        <v>1</v>
      </c>
      <c r="X941">
        <v>1</v>
      </c>
      <c r="Y941">
        <f>IF(HR_data[[#This Row],[Attrition]]= "Yes",1,0)</f>
        <v>1</v>
      </c>
    </row>
    <row r="942" spans="1:25">
      <c r="A942">
        <v>941</v>
      </c>
      <c r="B942" t="s">
        <v>24</v>
      </c>
      <c r="C942" t="s">
        <v>25</v>
      </c>
      <c r="D942" t="s">
        <v>26</v>
      </c>
      <c r="E942" t="s">
        <v>36</v>
      </c>
      <c r="F942" t="s">
        <v>45</v>
      </c>
      <c r="G942">
        <v>1</v>
      </c>
      <c r="H942" t="s">
        <v>37</v>
      </c>
      <c r="I942" t="s">
        <v>38</v>
      </c>
      <c r="J942" t="s">
        <v>31</v>
      </c>
      <c r="K942" t="s">
        <v>33</v>
      </c>
      <c r="L942">
        <v>39</v>
      </c>
      <c r="M942">
        <v>23</v>
      </c>
      <c r="N942" t="s">
        <v>47</v>
      </c>
      <c r="O942">
        <v>3</v>
      </c>
      <c r="P942">
        <v>1</v>
      </c>
      <c r="Q942">
        <v>1</v>
      </c>
      <c r="R942">
        <v>3904</v>
      </c>
      <c r="S942">
        <v>6</v>
      </c>
      <c r="T942">
        <v>3</v>
      </c>
      <c r="U942">
        <v>5</v>
      </c>
      <c r="V942">
        <v>2</v>
      </c>
      <c r="W942">
        <v>0</v>
      </c>
      <c r="X942">
        <v>3</v>
      </c>
      <c r="Y942">
        <f>IF(HR_data[[#This Row],[Attrition]]= "Yes",1,0)</f>
        <v>1</v>
      </c>
    </row>
    <row r="943" spans="1:25">
      <c r="A943">
        <v>942</v>
      </c>
      <c r="B943" t="s">
        <v>33</v>
      </c>
      <c r="C943" t="s">
        <v>25</v>
      </c>
      <c r="D943" t="s">
        <v>43</v>
      </c>
      <c r="E943" t="s">
        <v>36</v>
      </c>
      <c r="F943" t="s">
        <v>57</v>
      </c>
      <c r="G943">
        <v>1</v>
      </c>
      <c r="H943" t="s">
        <v>29</v>
      </c>
      <c r="I943" t="s">
        <v>42</v>
      </c>
      <c r="J943" t="s">
        <v>39</v>
      </c>
      <c r="K943" t="s">
        <v>33</v>
      </c>
      <c r="L943">
        <v>30</v>
      </c>
      <c r="M943">
        <v>6</v>
      </c>
      <c r="N943" t="s">
        <v>47</v>
      </c>
      <c r="O943">
        <v>1</v>
      </c>
      <c r="P943">
        <v>2</v>
      </c>
      <c r="Q943">
        <v>4</v>
      </c>
      <c r="R943">
        <v>4627</v>
      </c>
      <c r="S943">
        <v>10</v>
      </c>
      <c r="T943">
        <v>3</v>
      </c>
      <c r="U943">
        <v>9</v>
      </c>
      <c r="V943">
        <v>2</v>
      </c>
      <c r="W943">
        <v>6</v>
      </c>
      <c r="X943">
        <v>7</v>
      </c>
      <c r="Y943">
        <f>IF(HR_data[[#This Row],[Attrition]]= "Yes",1,0)</f>
        <v>0</v>
      </c>
    </row>
    <row r="944" spans="1:25">
      <c r="A944">
        <v>943</v>
      </c>
      <c r="B944" t="s">
        <v>33</v>
      </c>
      <c r="C944" t="s">
        <v>25</v>
      </c>
      <c r="D944" t="s">
        <v>26</v>
      </c>
      <c r="E944" t="s">
        <v>36</v>
      </c>
      <c r="F944" t="s">
        <v>57</v>
      </c>
      <c r="G944">
        <v>1</v>
      </c>
      <c r="H944" t="s">
        <v>29</v>
      </c>
      <c r="I944" t="s">
        <v>50</v>
      </c>
      <c r="J944" t="s">
        <v>39</v>
      </c>
      <c r="K944" t="s">
        <v>33</v>
      </c>
      <c r="L944">
        <v>36</v>
      </c>
      <c r="M944">
        <v>10</v>
      </c>
      <c r="N944" t="s">
        <v>44</v>
      </c>
      <c r="O944">
        <v>4</v>
      </c>
      <c r="P944">
        <v>3</v>
      </c>
      <c r="Q944">
        <v>3</v>
      </c>
      <c r="R944">
        <v>7094</v>
      </c>
      <c r="S944">
        <v>10</v>
      </c>
      <c r="T944">
        <v>3</v>
      </c>
      <c r="U944">
        <v>7</v>
      </c>
      <c r="V944">
        <v>7</v>
      </c>
      <c r="W944">
        <v>1</v>
      </c>
      <c r="X944">
        <v>7</v>
      </c>
      <c r="Y944">
        <f>IF(HR_data[[#This Row],[Attrition]]= "Yes",1,0)</f>
        <v>0</v>
      </c>
    </row>
    <row r="945" spans="1:25">
      <c r="A945">
        <v>944</v>
      </c>
      <c r="B945" t="s">
        <v>33</v>
      </c>
      <c r="C945" t="s">
        <v>25</v>
      </c>
      <c r="D945" t="s">
        <v>35</v>
      </c>
      <c r="E945" t="s">
        <v>59</v>
      </c>
      <c r="F945" t="s">
        <v>28</v>
      </c>
      <c r="G945">
        <v>1</v>
      </c>
      <c r="H945" t="s">
        <v>29</v>
      </c>
      <c r="I945" t="s">
        <v>60</v>
      </c>
      <c r="J945" t="s">
        <v>31</v>
      </c>
      <c r="K945" t="s">
        <v>33</v>
      </c>
      <c r="L945">
        <v>46</v>
      </c>
      <c r="M945">
        <v>1</v>
      </c>
      <c r="N945" t="s">
        <v>32</v>
      </c>
      <c r="O945">
        <v>4</v>
      </c>
      <c r="P945">
        <v>1</v>
      </c>
      <c r="Q945">
        <v>1</v>
      </c>
      <c r="R945">
        <v>3423</v>
      </c>
      <c r="S945">
        <v>10</v>
      </c>
      <c r="T945">
        <v>4</v>
      </c>
      <c r="U945">
        <v>7</v>
      </c>
      <c r="V945">
        <v>6</v>
      </c>
      <c r="W945">
        <v>5</v>
      </c>
      <c r="X945">
        <v>7</v>
      </c>
      <c r="Y945">
        <f>IF(HR_data[[#This Row],[Attrition]]= "Yes",1,0)</f>
        <v>0</v>
      </c>
    </row>
    <row r="946" spans="1:25">
      <c r="A946">
        <v>945</v>
      </c>
      <c r="B946" t="s">
        <v>33</v>
      </c>
      <c r="C946" t="s">
        <v>51</v>
      </c>
      <c r="D946" t="s">
        <v>43</v>
      </c>
      <c r="E946" t="s">
        <v>36</v>
      </c>
      <c r="F946" t="s">
        <v>28</v>
      </c>
      <c r="G946">
        <v>1</v>
      </c>
      <c r="H946" t="s">
        <v>29</v>
      </c>
      <c r="I946" t="s">
        <v>42</v>
      </c>
      <c r="J946" t="s">
        <v>39</v>
      </c>
      <c r="K946" t="s">
        <v>33</v>
      </c>
      <c r="L946">
        <v>28</v>
      </c>
      <c r="M946">
        <v>1</v>
      </c>
      <c r="N946" t="s">
        <v>47</v>
      </c>
      <c r="O946">
        <v>3</v>
      </c>
      <c r="P946">
        <v>2</v>
      </c>
      <c r="Q946">
        <v>4</v>
      </c>
      <c r="R946">
        <v>6674</v>
      </c>
      <c r="S946">
        <v>10</v>
      </c>
      <c r="T946">
        <v>3</v>
      </c>
      <c r="U946">
        <v>9</v>
      </c>
      <c r="V946">
        <v>8</v>
      </c>
      <c r="W946">
        <v>7</v>
      </c>
      <c r="X946">
        <v>5</v>
      </c>
      <c r="Y946">
        <f>IF(HR_data[[#This Row],[Attrition]]= "Yes",1,0)</f>
        <v>0</v>
      </c>
    </row>
    <row r="947" spans="1:25">
      <c r="A947">
        <v>946</v>
      </c>
      <c r="B947" t="s">
        <v>33</v>
      </c>
      <c r="C947" t="s">
        <v>25</v>
      </c>
      <c r="D947" t="s">
        <v>35</v>
      </c>
      <c r="E947" t="s">
        <v>36</v>
      </c>
      <c r="F947" t="s">
        <v>28</v>
      </c>
      <c r="G947">
        <v>1</v>
      </c>
      <c r="H947" t="s">
        <v>29</v>
      </c>
      <c r="I947" t="s">
        <v>55</v>
      </c>
      <c r="J947" t="s">
        <v>39</v>
      </c>
      <c r="K947" t="s">
        <v>24</v>
      </c>
      <c r="L947">
        <v>50</v>
      </c>
      <c r="M947">
        <v>28</v>
      </c>
      <c r="N947" t="s">
        <v>47</v>
      </c>
      <c r="O947">
        <v>4</v>
      </c>
      <c r="P947">
        <v>4</v>
      </c>
      <c r="Q947">
        <v>1</v>
      </c>
      <c r="R947">
        <v>16880</v>
      </c>
      <c r="S947">
        <v>25</v>
      </c>
      <c r="T947">
        <v>3</v>
      </c>
      <c r="U947">
        <v>3</v>
      </c>
      <c r="V947">
        <v>2</v>
      </c>
      <c r="W947">
        <v>1</v>
      </c>
      <c r="X947">
        <v>2</v>
      </c>
      <c r="Y947">
        <f>IF(HR_data[[#This Row],[Attrition]]= "Yes",1,0)</f>
        <v>0</v>
      </c>
    </row>
    <row r="948" spans="1:25">
      <c r="A948">
        <v>947</v>
      </c>
      <c r="B948" t="s">
        <v>24</v>
      </c>
      <c r="C948" t="s">
        <v>25</v>
      </c>
      <c r="D948" t="s">
        <v>26</v>
      </c>
      <c r="E948" t="s">
        <v>27</v>
      </c>
      <c r="F948" t="s">
        <v>56</v>
      </c>
      <c r="G948">
        <v>1</v>
      </c>
      <c r="H948" t="s">
        <v>37</v>
      </c>
      <c r="I948" t="s">
        <v>30</v>
      </c>
      <c r="J948" t="s">
        <v>31</v>
      </c>
      <c r="K948" t="s">
        <v>24</v>
      </c>
      <c r="L948">
        <v>40</v>
      </c>
      <c r="M948">
        <v>25</v>
      </c>
      <c r="N948" t="s">
        <v>44</v>
      </c>
      <c r="O948">
        <v>4</v>
      </c>
      <c r="P948">
        <v>3</v>
      </c>
      <c r="Q948">
        <v>2</v>
      </c>
      <c r="R948">
        <v>9094</v>
      </c>
      <c r="S948">
        <v>9</v>
      </c>
      <c r="T948">
        <v>3</v>
      </c>
      <c r="U948">
        <v>5</v>
      </c>
      <c r="V948">
        <v>4</v>
      </c>
      <c r="W948">
        <v>1</v>
      </c>
      <c r="X948">
        <v>0</v>
      </c>
      <c r="Y948">
        <f>IF(HR_data[[#This Row],[Attrition]]= "Yes",1,0)</f>
        <v>1</v>
      </c>
    </row>
    <row r="949" spans="1:25">
      <c r="A949">
        <v>948</v>
      </c>
      <c r="B949" t="s">
        <v>24</v>
      </c>
      <c r="C949" t="s">
        <v>25</v>
      </c>
      <c r="D949" t="s">
        <v>35</v>
      </c>
      <c r="E949" t="s">
        <v>27</v>
      </c>
      <c r="F949" t="s">
        <v>28</v>
      </c>
      <c r="G949">
        <v>1</v>
      </c>
      <c r="H949" t="s">
        <v>37</v>
      </c>
      <c r="I949" t="s">
        <v>30</v>
      </c>
      <c r="J949" t="s">
        <v>31</v>
      </c>
      <c r="K949" t="s">
        <v>24</v>
      </c>
      <c r="L949">
        <v>52</v>
      </c>
      <c r="M949">
        <v>5</v>
      </c>
      <c r="N949" t="s">
        <v>47</v>
      </c>
      <c r="O949">
        <v>2</v>
      </c>
      <c r="P949">
        <v>3</v>
      </c>
      <c r="Q949">
        <v>2</v>
      </c>
      <c r="R949">
        <v>8446</v>
      </c>
      <c r="S949">
        <v>10</v>
      </c>
      <c r="T949">
        <v>2</v>
      </c>
      <c r="U949">
        <v>8</v>
      </c>
      <c r="V949">
        <v>7</v>
      </c>
      <c r="W949">
        <v>7</v>
      </c>
      <c r="X949">
        <v>7</v>
      </c>
      <c r="Y949">
        <f>IF(HR_data[[#This Row],[Attrition]]= "Yes",1,0)</f>
        <v>1</v>
      </c>
    </row>
    <row r="950" spans="1:25">
      <c r="A950">
        <v>949</v>
      </c>
      <c r="B950" t="s">
        <v>33</v>
      </c>
      <c r="C950" t="s">
        <v>25</v>
      </c>
      <c r="D950" t="s">
        <v>43</v>
      </c>
      <c r="E950" t="s">
        <v>36</v>
      </c>
      <c r="F950" t="s">
        <v>45</v>
      </c>
      <c r="G950">
        <v>1</v>
      </c>
      <c r="H950" t="s">
        <v>29</v>
      </c>
      <c r="I950" t="s">
        <v>53</v>
      </c>
      <c r="J950" t="s">
        <v>39</v>
      </c>
      <c r="K950" t="s">
        <v>24</v>
      </c>
      <c r="L950">
        <v>30</v>
      </c>
      <c r="M950">
        <v>17</v>
      </c>
      <c r="N950" t="s">
        <v>44</v>
      </c>
      <c r="O950">
        <v>2</v>
      </c>
      <c r="P950">
        <v>3</v>
      </c>
      <c r="Q950">
        <v>1</v>
      </c>
      <c r="R950">
        <v>11916</v>
      </c>
      <c r="S950">
        <v>9</v>
      </c>
      <c r="T950">
        <v>3</v>
      </c>
      <c r="U950">
        <v>9</v>
      </c>
      <c r="V950">
        <v>1</v>
      </c>
      <c r="W950">
        <v>0</v>
      </c>
      <c r="X950">
        <v>8</v>
      </c>
      <c r="Y950">
        <f>IF(HR_data[[#This Row],[Attrition]]= "Yes",1,0)</f>
        <v>0</v>
      </c>
    </row>
    <row r="951" spans="1:25">
      <c r="A951">
        <v>950</v>
      </c>
      <c r="B951" t="s">
        <v>33</v>
      </c>
      <c r="C951" t="s">
        <v>25</v>
      </c>
      <c r="D951" t="s">
        <v>26</v>
      </c>
      <c r="E951" t="s">
        <v>36</v>
      </c>
      <c r="F951" t="s">
        <v>28</v>
      </c>
      <c r="G951">
        <v>1</v>
      </c>
      <c r="H951" t="s">
        <v>37</v>
      </c>
      <c r="I951" t="s">
        <v>49</v>
      </c>
      <c r="J951" t="s">
        <v>31</v>
      </c>
      <c r="K951" t="s">
        <v>33</v>
      </c>
      <c r="L951">
        <v>39</v>
      </c>
      <c r="M951">
        <v>18</v>
      </c>
      <c r="N951" t="s">
        <v>32</v>
      </c>
      <c r="O951">
        <v>1</v>
      </c>
      <c r="P951">
        <v>2</v>
      </c>
      <c r="Q951">
        <v>3</v>
      </c>
      <c r="R951">
        <v>4534</v>
      </c>
      <c r="S951">
        <v>9</v>
      </c>
      <c r="T951">
        <v>3</v>
      </c>
      <c r="U951">
        <v>8</v>
      </c>
      <c r="V951">
        <v>7</v>
      </c>
      <c r="W951">
        <v>1</v>
      </c>
      <c r="X951">
        <v>7</v>
      </c>
      <c r="Y951">
        <f>IF(HR_data[[#This Row],[Attrition]]= "Yes",1,0)</f>
        <v>0</v>
      </c>
    </row>
    <row r="952" spans="1:25">
      <c r="A952">
        <v>951</v>
      </c>
      <c r="B952" t="s">
        <v>33</v>
      </c>
      <c r="C952" t="s">
        <v>51</v>
      </c>
      <c r="D952" t="s">
        <v>43</v>
      </c>
      <c r="E952" t="s">
        <v>27</v>
      </c>
      <c r="F952" t="s">
        <v>28</v>
      </c>
      <c r="G952">
        <v>1</v>
      </c>
      <c r="H952" t="s">
        <v>29</v>
      </c>
      <c r="I952" t="s">
        <v>30</v>
      </c>
      <c r="J952" t="s">
        <v>48</v>
      </c>
      <c r="K952" t="s">
        <v>24</v>
      </c>
      <c r="L952">
        <v>31</v>
      </c>
      <c r="M952">
        <v>2</v>
      </c>
      <c r="N952" t="s">
        <v>44</v>
      </c>
      <c r="O952">
        <v>4</v>
      </c>
      <c r="P952">
        <v>3</v>
      </c>
      <c r="Q952">
        <v>3</v>
      </c>
      <c r="R952">
        <v>9852</v>
      </c>
      <c r="S952">
        <v>10</v>
      </c>
      <c r="T952">
        <v>2</v>
      </c>
      <c r="U952">
        <v>10</v>
      </c>
      <c r="V952">
        <v>8</v>
      </c>
      <c r="W952">
        <v>9</v>
      </c>
      <c r="X952">
        <v>6</v>
      </c>
      <c r="Y952">
        <f>IF(HR_data[[#This Row],[Attrition]]= "Yes",1,0)</f>
        <v>0</v>
      </c>
    </row>
    <row r="953" spans="1:25">
      <c r="A953">
        <v>952</v>
      </c>
      <c r="B953" t="s">
        <v>33</v>
      </c>
      <c r="C953" t="s">
        <v>51</v>
      </c>
      <c r="D953" t="s">
        <v>26</v>
      </c>
      <c r="E953" t="s">
        <v>27</v>
      </c>
      <c r="F953" t="s">
        <v>45</v>
      </c>
      <c r="G953">
        <v>1</v>
      </c>
      <c r="H953" t="s">
        <v>37</v>
      </c>
      <c r="I953" t="s">
        <v>30</v>
      </c>
      <c r="J953" t="s">
        <v>31</v>
      </c>
      <c r="K953" t="s">
        <v>33</v>
      </c>
      <c r="L953">
        <v>41</v>
      </c>
      <c r="M953">
        <v>10</v>
      </c>
      <c r="N953" t="s">
        <v>32</v>
      </c>
      <c r="O953">
        <v>3</v>
      </c>
      <c r="P953">
        <v>2</v>
      </c>
      <c r="Q953">
        <v>2</v>
      </c>
      <c r="R953">
        <v>6151</v>
      </c>
      <c r="S953">
        <v>19</v>
      </c>
      <c r="T953">
        <v>3</v>
      </c>
      <c r="U953">
        <v>19</v>
      </c>
      <c r="V953">
        <v>2</v>
      </c>
      <c r="W953">
        <v>11</v>
      </c>
      <c r="X953">
        <v>9</v>
      </c>
      <c r="Y953">
        <f>IF(HR_data[[#This Row],[Attrition]]= "Yes",1,0)</f>
        <v>0</v>
      </c>
    </row>
    <row r="954" spans="1:25">
      <c r="A954">
        <v>953</v>
      </c>
      <c r="B954" t="s">
        <v>24</v>
      </c>
      <c r="C954" t="s">
        <v>34</v>
      </c>
      <c r="D954" t="s">
        <v>43</v>
      </c>
      <c r="E954" t="s">
        <v>27</v>
      </c>
      <c r="F954" t="s">
        <v>28</v>
      </c>
      <c r="G954">
        <v>1</v>
      </c>
      <c r="H954" t="s">
        <v>29</v>
      </c>
      <c r="I954" t="s">
        <v>54</v>
      </c>
      <c r="J954" t="s">
        <v>31</v>
      </c>
      <c r="K954" t="s">
        <v>24</v>
      </c>
      <c r="L954">
        <v>31</v>
      </c>
      <c r="M954">
        <v>1</v>
      </c>
      <c r="N954" t="s">
        <v>47</v>
      </c>
      <c r="O954">
        <v>4</v>
      </c>
      <c r="P954">
        <v>1</v>
      </c>
      <c r="Q954">
        <v>2</v>
      </c>
      <c r="R954">
        <v>2302</v>
      </c>
      <c r="S954">
        <v>3</v>
      </c>
      <c r="T954">
        <v>4</v>
      </c>
      <c r="U954">
        <v>3</v>
      </c>
      <c r="V954">
        <v>2</v>
      </c>
      <c r="W954">
        <v>2</v>
      </c>
      <c r="X954">
        <v>2</v>
      </c>
      <c r="Y954">
        <f>IF(HR_data[[#This Row],[Attrition]]= "Yes",1,0)</f>
        <v>1</v>
      </c>
    </row>
    <row r="955" spans="1:25">
      <c r="A955">
        <v>954</v>
      </c>
      <c r="B955" t="s">
        <v>24</v>
      </c>
      <c r="C955" t="s">
        <v>25</v>
      </c>
      <c r="D955" t="s">
        <v>26</v>
      </c>
      <c r="E955" t="s">
        <v>36</v>
      </c>
      <c r="F955" t="s">
        <v>28</v>
      </c>
      <c r="G955">
        <v>1</v>
      </c>
      <c r="H955" t="s">
        <v>37</v>
      </c>
      <c r="I955" t="s">
        <v>42</v>
      </c>
      <c r="J955" t="s">
        <v>39</v>
      </c>
      <c r="K955" t="s">
        <v>33</v>
      </c>
      <c r="L955">
        <v>44</v>
      </c>
      <c r="M955">
        <v>3</v>
      </c>
      <c r="N955" t="s">
        <v>47</v>
      </c>
      <c r="O955">
        <v>1</v>
      </c>
      <c r="P955">
        <v>1</v>
      </c>
      <c r="Q955">
        <v>1</v>
      </c>
      <c r="R955">
        <v>2362</v>
      </c>
      <c r="S955">
        <v>10</v>
      </c>
      <c r="T955">
        <v>4</v>
      </c>
      <c r="U955">
        <v>3</v>
      </c>
      <c r="V955">
        <v>2</v>
      </c>
      <c r="W955">
        <v>1</v>
      </c>
      <c r="X955">
        <v>2</v>
      </c>
      <c r="Y955">
        <f>IF(HR_data[[#This Row],[Attrition]]= "Yes",1,0)</f>
        <v>1</v>
      </c>
    </row>
    <row r="956" spans="1:25">
      <c r="A956">
        <v>955</v>
      </c>
      <c r="B956" t="s">
        <v>33</v>
      </c>
      <c r="C956" t="s">
        <v>51</v>
      </c>
      <c r="D956" t="s">
        <v>26</v>
      </c>
      <c r="E956" t="s">
        <v>36</v>
      </c>
      <c r="F956" t="s">
        <v>28</v>
      </c>
      <c r="G956">
        <v>1</v>
      </c>
      <c r="H956" t="s">
        <v>37</v>
      </c>
      <c r="I956" t="s">
        <v>53</v>
      </c>
      <c r="J956" t="s">
        <v>39</v>
      </c>
      <c r="K956" t="s">
        <v>24</v>
      </c>
      <c r="L956">
        <v>42</v>
      </c>
      <c r="M956">
        <v>2</v>
      </c>
      <c r="N956" t="s">
        <v>40</v>
      </c>
      <c r="O956">
        <v>3</v>
      </c>
      <c r="P956">
        <v>4</v>
      </c>
      <c r="Q956">
        <v>3</v>
      </c>
      <c r="R956">
        <v>17861</v>
      </c>
      <c r="S956">
        <v>21</v>
      </c>
      <c r="T956">
        <v>2</v>
      </c>
      <c r="U956">
        <v>20</v>
      </c>
      <c r="V956">
        <v>8</v>
      </c>
      <c r="W956">
        <v>2</v>
      </c>
      <c r="X956">
        <v>10</v>
      </c>
      <c r="Y956">
        <f>IF(HR_data[[#This Row],[Attrition]]= "Yes",1,0)</f>
        <v>0</v>
      </c>
    </row>
    <row r="957" spans="1:25">
      <c r="A957">
        <v>956</v>
      </c>
      <c r="B957" t="s">
        <v>33</v>
      </c>
      <c r="C957" t="s">
        <v>25</v>
      </c>
      <c r="D957" t="s">
        <v>46</v>
      </c>
      <c r="E957" t="s">
        <v>36</v>
      </c>
      <c r="F957" t="s">
        <v>45</v>
      </c>
      <c r="G957">
        <v>1</v>
      </c>
      <c r="H957" t="s">
        <v>29</v>
      </c>
      <c r="I957" t="s">
        <v>53</v>
      </c>
      <c r="J957" t="s">
        <v>39</v>
      </c>
      <c r="K957" t="s">
        <v>33</v>
      </c>
      <c r="L957">
        <v>55</v>
      </c>
      <c r="M957">
        <v>2</v>
      </c>
      <c r="N957" t="s">
        <v>32</v>
      </c>
      <c r="O957">
        <v>4</v>
      </c>
      <c r="P957">
        <v>5</v>
      </c>
      <c r="Q957">
        <v>3</v>
      </c>
      <c r="R957">
        <v>19187</v>
      </c>
      <c r="S957">
        <v>23</v>
      </c>
      <c r="T957">
        <v>3</v>
      </c>
      <c r="U957">
        <v>19</v>
      </c>
      <c r="V957">
        <v>9</v>
      </c>
      <c r="W957">
        <v>9</v>
      </c>
      <c r="X957">
        <v>11</v>
      </c>
      <c r="Y957">
        <f>IF(HR_data[[#This Row],[Attrition]]= "Yes",1,0)</f>
        <v>0</v>
      </c>
    </row>
    <row r="958" spans="1:25">
      <c r="A958">
        <v>957</v>
      </c>
      <c r="B958" t="s">
        <v>33</v>
      </c>
      <c r="C958" t="s">
        <v>25</v>
      </c>
      <c r="D958" t="s">
        <v>46</v>
      </c>
      <c r="E958" t="s">
        <v>59</v>
      </c>
      <c r="F958" t="s">
        <v>28</v>
      </c>
      <c r="G958">
        <v>1</v>
      </c>
      <c r="H958" t="s">
        <v>37</v>
      </c>
      <c r="I958" t="s">
        <v>53</v>
      </c>
      <c r="J958" t="s">
        <v>31</v>
      </c>
      <c r="K958" t="s">
        <v>33</v>
      </c>
      <c r="L958">
        <v>56</v>
      </c>
      <c r="M958">
        <v>8</v>
      </c>
      <c r="N958" t="s">
        <v>44</v>
      </c>
      <c r="O958">
        <v>4</v>
      </c>
      <c r="P958">
        <v>5</v>
      </c>
      <c r="Q958">
        <v>2</v>
      </c>
      <c r="R958">
        <v>19717</v>
      </c>
      <c r="S958">
        <v>36</v>
      </c>
      <c r="T958">
        <v>3</v>
      </c>
      <c r="U958">
        <v>7</v>
      </c>
      <c r="V958">
        <v>3</v>
      </c>
      <c r="W958">
        <v>7</v>
      </c>
      <c r="X958">
        <v>7</v>
      </c>
      <c r="Y958">
        <f>IF(HR_data[[#This Row],[Attrition]]= "Yes",1,0)</f>
        <v>0</v>
      </c>
    </row>
    <row r="959" spans="1:25">
      <c r="A959">
        <v>958</v>
      </c>
      <c r="B959" t="s">
        <v>33</v>
      </c>
      <c r="C959" t="s">
        <v>51</v>
      </c>
      <c r="D959" t="s">
        <v>26</v>
      </c>
      <c r="E959" t="s">
        <v>36</v>
      </c>
      <c r="F959" t="s">
        <v>28</v>
      </c>
      <c r="G959">
        <v>1</v>
      </c>
      <c r="H959" t="s">
        <v>37</v>
      </c>
      <c r="I959" t="s">
        <v>38</v>
      </c>
      <c r="J959" t="s">
        <v>48</v>
      </c>
      <c r="K959" t="s">
        <v>33</v>
      </c>
      <c r="L959">
        <v>40</v>
      </c>
      <c r="M959">
        <v>16</v>
      </c>
      <c r="N959" t="s">
        <v>32</v>
      </c>
      <c r="O959">
        <v>3</v>
      </c>
      <c r="P959">
        <v>1</v>
      </c>
      <c r="Q959">
        <v>3</v>
      </c>
      <c r="R959">
        <v>3544</v>
      </c>
      <c r="S959">
        <v>6</v>
      </c>
      <c r="T959">
        <v>3</v>
      </c>
      <c r="U959">
        <v>4</v>
      </c>
      <c r="V959">
        <v>2</v>
      </c>
      <c r="W959">
        <v>0</v>
      </c>
      <c r="X959">
        <v>0</v>
      </c>
      <c r="Y959">
        <f>IF(HR_data[[#This Row],[Attrition]]= "Yes",1,0)</f>
        <v>0</v>
      </c>
    </row>
    <row r="960" spans="1:25">
      <c r="A960">
        <v>959</v>
      </c>
      <c r="B960" t="s">
        <v>33</v>
      </c>
      <c r="C960" t="s">
        <v>25</v>
      </c>
      <c r="D960" t="s">
        <v>43</v>
      </c>
      <c r="E960" t="s">
        <v>36</v>
      </c>
      <c r="F960" t="s">
        <v>28</v>
      </c>
      <c r="G960">
        <v>1</v>
      </c>
      <c r="H960" t="s">
        <v>37</v>
      </c>
      <c r="I960" t="s">
        <v>50</v>
      </c>
      <c r="J960" t="s">
        <v>48</v>
      </c>
      <c r="K960" t="s">
        <v>33</v>
      </c>
      <c r="L960">
        <v>34</v>
      </c>
      <c r="M960">
        <v>9</v>
      </c>
      <c r="N960" t="s">
        <v>47</v>
      </c>
      <c r="O960">
        <v>4</v>
      </c>
      <c r="P960">
        <v>3</v>
      </c>
      <c r="Q960">
        <v>4</v>
      </c>
      <c r="R960">
        <v>8500</v>
      </c>
      <c r="S960">
        <v>10</v>
      </c>
      <c r="T960">
        <v>2</v>
      </c>
      <c r="U960">
        <v>9</v>
      </c>
      <c r="V960">
        <v>7</v>
      </c>
      <c r="W960">
        <v>1</v>
      </c>
      <c r="X960">
        <v>6</v>
      </c>
      <c r="Y960">
        <f>IF(HR_data[[#This Row],[Attrition]]= "Yes",1,0)</f>
        <v>0</v>
      </c>
    </row>
    <row r="961" spans="1:25">
      <c r="A961">
        <v>960</v>
      </c>
      <c r="B961" t="s">
        <v>33</v>
      </c>
      <c r="C961" t="s">
        <v>25</v>
      </c>
      <c r="D961" t="s">
        <v>26</v>
      </c>
      <c r="E961" t="s">
        <v>36</v>
      </c>
      <c r="F961" t="s">
        <v>28</v>
      </c>
      <c r="G961">
        <v>1</v>
      </c>
      <c r="H961" t="s">
        <v>37</v>
      </c>
      <c r="I961" t="s">
        <v>38</v>
      </c>
      <c r="J961" t="s">
        <v>31</v>
      </c>
      <c r="K961" t="s">
        <v>33</v>
      </c>
      <c r="L961">
        <v>40</v>
      </c>
      <c r="M961">
        <v>2</v>
      </c>
      <c r="N961" t="s">
        <v>47</v>
      </c>
      <c r="O961">
        <v>3</v>
      </c>
      <c r="P961">
        <v>2</v>
      </c>
      <c r="Q961">
        <v>4</v>
      </c>
      <c r="R961">
        <v>4661</v>
      </c>
      <c r="S961">
        <v>9</v>
      </c>
      <c r="T961">
        <v>3</v>
      </c>
      <c r="U961">
        <v>9</v>
      </c>
      <c r="V961">
        <v>8</v>
      </c>
      <c r="W961">
        <v>8</v>
      </c>
      <c r="X961">
        <v>8</v>
      </c>
      <c r="Y961">
        <f>IF(HR_data[[#This Row],[Attrition]]= "Yes",1,0)</f>
        <v>0</v>
      </c>
    </row>
    <row r="962" spans="1:25">
      <c r="A962">
        <v>961</v>
      </c>
      <c r="B962" t="s">
        <v>33</v>
      </c>
      <c r="C962" t="s">
        <v>34</v>
      </c>
      <c r="D962" t="s">
        <v>26</v>
      </c>
      <c r="E962" t="s">
        <v>27</v>
      </c>
      <c r="F962" t="s">
        <v>56</v>
      </c>
      <c r="G962">
        <v>1</v>
      </c>
      <c r="H962" t="s">
        <v>29</v>
      </c>
      <c r="I962" t="s">
        <v>30</v>
      </c>
      <c r="J962" t="s">
        <v>48</v>
      </c>
      <c r="K962" t="s">
        <v>33</v>
      </c>
      <c r="L962">
        <v>41</v>
      </c>
      <c r="M962">
        <v>1</v>
      </c>
      <c r="N962" t="s">
        <v>47</v>
      </c>
      <c r="O962">
        <v>3</v>
      </c>
      <c r="P962">
        <v>2</v>
      </c>
      <c r="Q962">
        <v>1</v>
      </c>
      <c r="R962">
        <v>4103</v>
      </c>
      <c r="S962">
        <v>10</v>
      </c>
      <c r="T962">
        <v>3</v>
      </c>
      <c r="U962">
        <v>9</v>
      </c>
      <c r="V962">
        <v>3</v>
      </c>
      <c r="W962">
        <v>1</v>
      </c>
      <c r="X962">
        <v>7</v>
      </c>
      <c r="Y962">
        <f>IF(HR_data[[#This Row],[Attrition]]= "Yes",1,0)</f>
        <v>0</v>
      </c>
    </row>
    <row r="963" spans="1:25">
      <c r="A963">
        <v>962</v>
      </c>
      <c r="B963" t="s">
        <v>33</v>
      </c>
      <c r="C963" t="s">
        <v>34</v>
      </c>
      <c r="D963" t="s">
        <v>26</v>
      </c>
      <c r="E963" t="s">
        <v>36</v>
      </c>
      <c r="F963" t="s">
        <v>28</v>
      </c>
      <c r="G963">
        <v>1</v>
      </c>
      <c r="H963" t="s">
        <v>37</v>
      </c>
      <c r="I963" t="s">
        <v>38</v>
      </c>
      <c r="J963" t="s">
        <v>31</v>
      </c>
      <c r="K963" t="s">
        <v>24</v>
      </c>
      <c r="L963">
        <v>35</v>
      </c>
      <c r="M963">
        <v>4</v>
      </c>
      <c r="N963" t="s">
        <v>44</v>
      </c>
      <c r="O963">
        <v>3</v>
      </c>
      <c r="P963">
        <v>2</v>
      </c>
      <c r="Q963">
        <v>3</v>
      </c>
      <c r="R963">
        <v>4249</v>
      </c>
      <c r="S963">
        <v>9</v>
      </c>
      <c r="T963">
        <v>3</v>
      </c>
      <c r="U963">
        <v>9</v>
      </c>
      <c r="V963">
        <v>6</v>
      </c>
      <c r="W963">
        <v>1</v>
      </c>
      <c r="X963">
        <v>1</v>
      </c>
      <c r="Y963">
        <f>IF(HR_data[[#This Row],[Attrition]]= "Yes",1,0)</f>
        <v>0</v>
      </c>
    </row>
    <row r="964" spans="1:25">
      <c r="A964">
        <v>963</v>
      </c>
      <c r="B964" t="s">
        <v>33</v>
      </c>
      <c r="C964" t="s">
        <v>25</v>
      </c>
      <c r="D964" t="s">
        <v>35</v>
      </c>
      <c r="E964" t="s">
        <v>59</v>
      </c>
      <c r="F964" t="s">
        <v>28</v>
      </c>
      <c r="G964">
        <v>1</v>
      </c>
      <c r="H964" t="s">
        <v>37</v>
      </c>
      <c r="I964" t="s">
        <v>53</v>
      </c>
      <c r="J964" t="s">
        <v>48</v>
      </c>
      <c r="K964" t="s">
        <v>24</v>
      </c>
      <c r="L964">
        <v>51</v>
      </c>
      <c r="M964">
        <v>5</v>
      </c>
      <c r="N964" t="s">
        <v>47</v>
      </c>
      <c r="O964">
        <v>3</v>
      </c>
      <c r="P964">
        <v>4</v>
      </c>
      <c r="Q964">
        <v>2</v>
      </c>
      <c r="R964">
        <v>14026</v>
      </c>
      <c r="S964">
        <v>33</v>
      </c>
      <c r="T964">
        <v>3</v>
      </c>
      <c r="U964">
        <v>33</v>
      </c>
      <c r="V964">
        <v>9</v>
      </c>
      <c r="W964">
        <v>0</v>
      </c>
      <c r="X964">
        <v>10</v>
      </c>
      <c r="Y964">
        <f>IF(HR_data[[#This Row],[Attrition]]= "Yes",1,0)</f>
        <v>0</v>
      </c>
    </row>
    <row r="965" spans="1:25">
      <c r="A965">
        <v>964</v>
      </c>
      <c r="B965" t="s">
        <v>33</v>
      </c>
      <c r="C965" t="s">
        <v>25</v>
      </c>
      <c r="D965" t="s">
        <v>26</v>
      </c>
      <c r="E965" t="s">
        <v>27</v>
      </c>
      <c r="F965" t="s">
        <v>28</v>
      </c>
      <c r="G965">
        <v>1</v>
      </c>
      <c r="H965" t="s">
        <v>29</v>
      </c>
      <c r="I965" t="s">
        <v>30</v>
      </c>
      <c r="J965" t="s">
        <v>48</v>
      </c>
      <c r="K965" t="s">
        <v>33</v>
      </c>
      <c r="L965">
        <v>38</v>
      </c>
      <c r="M965">
        <v>2</v>
      </c>
      <c r="N965" t="s">
        <v>32</v>
      </c>
      <c r="O965">
        <v>2</v>
      </c>
      <c r="P965">
        <v>2</v>
      </c>
      <c r="Q965">
        <v>1</v>
      </c>
      <c r="R965">
        <v>6893</v>
      </c>
      <c r="S965">
        <v>11</v>
      </c>
      <c r="T965">
        <v>3</v>
      </c>
      <c r="U965">
        <v>7</v>
      </c>
      <c r="V965">
        <v>7</v>
      </c>
      <c r="W965">
        <v>1</v>
      </c>
      <c r="X965">
        <v>7</v>
      </c>
      <c r="Y965">
        <f>IF(HR_data[[#This Row],[Attrition]]= "Yes",1,0)</f>
        <v>0</v>
      </c>
    </row>
    <row r="966" spans="1:25">
      <c r="A966">
        <v>965</v>
      </c>
      <c r="B966" t="s">
        <v>33</v>
      </c>
      <c r="C966" t="s">
        <v>25</v>
      </c>
      <c r="D966" t="s">
        <v>43</v>
      </c>
      <c r="E966" t="s">
        <v>27</v>
      </c>
      <c r="F966" t="s">
        <v>45</v>
      </c>
      <c r="G966">
        <v>1</v>
      </c>
      <c r="H966" t="s">
        <v>29</v>
      </c>
      <c r="I966" t="s">
        <v>30</v>
      </c>
      <c r="J966" t="s">
        <v>31</v>
      </c>
      <c r="K966" t="s">
        <v>33</v>
      </c>
      <c r="L966">
        <v>34</v>
      </c>
      <c r="M966">
        <v>15</v>
      </c>
      <c r="N966" t="s">
        <v>32</v>
      </c>
      <c r="O966">
        <v>3</v>
      </c>
      <c r="P966">
        <v>2</v>
      </c>
      <c r="Q966">
        <v>1</v>
      </c>
      <c r="R966">
        <v>6125</v>
      </c>
      <c r="S966">
        <v>10</v>
      </c>
      <c r="T966">
        <v>4</v>
      </c>
      <c r="U966">
        <v>10</v>
      </c>
      <c r="V966">
        <v>8</v>
      </c>
      <c r="W966">
        <v>9</v>
      </c>
      <c r="X966">
        <v>6</v>
      </c>
      <c r="Y966">
        <f>IF(HR_data[[#This Row],[Attrition]]= "Yes",1,0)</f>
        <v>0</v>
      </c>
    </row>
    <row r="967" spans="1:25">
      <c r="A967">
        <v>966</v>
      </c>
      <c r="B967" t="s">
        <v>33</v>
      </c>
      <c r="C967" t="s">
        <v>25</v>
      </c>
      <c r="D967" t="s">
        <v>43</v>
      </c>
      <c r="E967" t="s">
        <v>36</v>
      </c>
      <c r="F967" t="s">
        <v>45</v>
      </c>
      <c r="G967">
        <v>1</v>
      </c>
      <c r="H967" t="s">
        <v>37</v>
      </c>
      <c r="I967" t="s">
        <v>42</v>
      </c>
      <c r="J967" t="s">
        <v>39</v>
      </c>
      <c r="K967" t="s">
        <v>33</v>
      </c>
      <c r="L967">
        <v>25</v>
      </c>
      <c r="M967">
        <v>19</v>
      </c>
      <c r="N967" t="s">
        <v>40</v>
      </c>
      <c r="O967">
        <v>4</v>
      </c>
      <c r="P967">
        <v>1</v>
      </c>
      <c r="Q967">
        <v>4</v>
      </c>
      <c r="R967">
        <v>3669</v>
      </c>
      <c r="S967">
        <v>7</v>
      </c>
      <c r="T967">
        <v>2</v>
      </c>
      <c r="U967">
        <v>3</v>
      </c>
      <c r="V967">
        <v>2</v>
      </c>
      <c r="W967">
        <v>1</v>
      </c>
      <c r="X967">
        <v>2</v>
      </c>
      <c r="Y967">
        <f>IF(HR_data[[#This Row],[Attrition]]= "Yes",1,0)</f>
        <v>0</v>
      </c>
    </row>
    <row r="968" spans="1:25">
      <c r="A968">
        <v>967</v>
      </c>
      <c r="B968" t="s">
        <v>24</v>
      </c>
      <c r="C968" t="s">
        <v>25</v>
      </c>
      <c r="D968" t="s">
        <v>46</v>
      </c>
      <c r="E968" t="s">
        <v>36</v>
      </c>
      <c r="F968" t="s">
        <v>45</v>
      </c>
      <c r="G968">
        <v>1</v>
      </c>
      <c r="H968" t="s">
        <v>29</v>
      </c>
      <c r="I968" t="s">
        <v>49</v>
      </c>
      <c r="J968" t="s">
        <v>39</v>
      </c>
      <c r="K968" t="s">
        <v>24</v>
      </c>
      <c r="L968">
        <v>58</v>
      </c>
      <c r="M968">
        <v>7</v>
      </c>
      <c r="N968" t="s">
        <v>44</v>
      </c>
      <c r="O968">
        <v>3</v>
      </c>
      <c r="P968">
        <v>3</v>
      </c>
      <c r="Q968">
        <v>1</v>
      </c>
      <c r="R968">
        <v>10008</v>
      </c>
      <c r="S968">
        <v>31</v>
      </c>
      <c r="T968">
        <v>2</v>
      </c>
      <c r="U968">
        <v>10</v>
      </c>
      <c r="V968">
        <v>9</v>
      </c>
      <c r="W968">
        <v>5</v>
      </c>
      <c r="X968">
        <v>9</v>
      </c>
      <c r="Y968">
        <f>IF(HR_data[[#This Row],[Attrition]]= "Yes",1,0)</f>
        <v>1</v>
      </c>
    </row>
    <row r="969" spans="1:25">
      <c r="A969">
        <v>968</v>
      </c>
      <c r="B969" t="s">
        <v>33</v>
      </c>
      <c r="C969" t="s">
        <v>25</v>
      </c>
      <c r="D969" t="s">
        <v>26</v>
      </c>
      <c r="E969" t="s">
        <v>36</v>
      </c>
      <c r="F969" t="s">
        <v>28</v>
      </c>
      <c r="G969">
        <v>1</v>
      </c>
      <c r="H969" t="s">
        <v>37</v>
      </c>
      <c r="I969" t="s">
        <v>42</v>
      </c>
      <c r="J969" t="s">
        <v>39</v>
      </c>
      <c r="K969" t="s">
        <v>33</v>
      </c>
      <c r="L969">
        <v>40</v>
      </c>
      <c r="M969">
        <v>1</v>
      </c>
      <c r="N969" t="s">
        <v>44</v>
      </c>
      <c r="O969">
        <v>2</v>
      </c>
      <c r="P969">
        <v>1</v>
      </c>
      <c r="Q969">
        <v>2</v>
      </c>
      <c r="R969">
        <v>2387</v>
      </c>
      <c r="S969">
        <v>7</v>
      </c>
      <c r="T969">
        <v>3</v>
      </c>
      <c r="U969">
        <v>4</v>
      </c>
      <c r="V969">
        <v>2</v>
      </c>
      <c r="W969">
        <v>0</v>
      </c>
      <c r="X969">
        <v>3</v>
      </c>
      <c r="Y969">
        <f>IF(HR_data[[#This Row],[Attrition]]= "Yes",1,0)</f>
        <v>0</v>
      </c>
    </row>
    <row r="970" spans="1:25">
      <c r="A970">
        <v>969</v>
      </c>
      <c r="B970" t="s">
        <v>33</v>
      </c>
      <c r="C970" t="s">
        <v>34</v>
      </c>
      <c r="D970" t="s">
        <v>26</v>
      </c>
      <c r="E970" t="s">
        <v>27</v>
      </c>
      <c r="F970" t="s">
        <v>56</v>
      </c>
      <c r="G970">
        <v>1</v>
      </c>
      <c r="H970" t="s">
        <v>29</v>
      </c>
      <c r="I970" t="s">
        <v>30</v>
      </c>
      <c r="J970" t="s">
        <v>39</v>
      </c>
      <c r="K970" t="s">
        <v>33</v>
      </c>
      <c r="L970">
        <v>36</v>
      </c>
      <c r="M970">
        <v>7</v>
      </c>
      <c r="N970" t="s">
        <v>47</v>
      </c>
      <c r="O970">
        <v>1</v>
      </c>
      <c r="P970">
        <v>2</v>
      </c>
      <c r="Q970">
        <v>1</v>
      </c>
      <c r="R970">
        <v>4639</v>
      </c>
      <c r="S970">
        <v>17</v>
      </c>
      <c r="T970">
        <v>2</v>
      </c>
      <c r="U970">
        <v>15</v>
      </c>
      <c r="V970">
        <v>7</v>
      </c>
      <c r="W970">
        <v>6</v>
      </c>
      <c r="X970">
        <v>13</v>
      </c>
      <c r="Y970">
        <f>IF(HR_data[[#This Row],[Attrition]]= "Yes",1,0)</f>
        <v>0</v>
      </c>
    </row>
    <row r="971" spans="1:25">
      <c r="A971">
        <v>970</v>
      </c>
      <c r="B971" t="s">
        <v>33</v>
      </c>
      <c r="C971" t="s">
        <v>25</v>
      </c>
      <c r="D971" t="s">
        <v>35</v>
      </c>
      <c r="E971" t="s">
        <v>36</v>
      </c>
      <c r="F971" t="s">
        <v>28</v>
      </c>
      <c r="G971">
        <v>1</v>
      </c>
      <c r="H971" t="s">
        <v>37</v>
      </c>
      <c r="I971" t="s">
        <v>49</v>
      </c>
      <c r="J971" t="s">
        <v>31</v>
      </c>
      <c r="K971" t="s">
        <v>33</v>
      </c>
      <c r="L971">
        <v>48</v>
      </c>
      <c r="M971">
        <v>4</v>
      </c>
      <c r="N971" t="s">
        <v>47</v>
      </c>
      <c r="O971">
        <v>4</v>
      </c>
      <c r="P971">
        <v>3</v>
      </c>
      <c r="Q971">
        <v>4</v>
      </c>
      <c r="R971">
        <v>7898</v>
      </c>
      <c r="S971">
        <v>11</v>
      </c>
      <c r="T971">
        <v>3</v>
      </c>
      <c r="U971">
        <v>10</v>
      </c>
      <c r="V971">
        <v>9</v>
      </c>
      <c r="W971">
        <v>0</v>
      </c>
      <c r="X971">
        <v>8</v>
      </c>
      <c r="Y971">
        <f>IF(HR_data[[#This Row],[Attrition]]= "Yes",1,0)</f>
        <v>0</v>
      </c>
    </row>
    <row r="972" spans="1:25">
      <c r="A972">
        <v>971</v>
      </c>
      <c r="B972" t="s">
        <v>33</v>
      </c>
      <c r="C972" t="s">
        <v>25</v>
      </c>
      <c r="D972" t="s">
        <v>43</v>
      </c>
      <c r="E972" t="s">
        <v>27</v>
      </c>
      <c r="F972" t="s">
        <v>45</v>
      </c>
      <c r="G972">
        <v>1</v>
      </c>
      <c r="H972" t="s">
        <v>29</v>
      </c>
      <c r="I972" t="s">
        <v>54</v>
      </c>
      <c r="J972" t="s">
        <v>39</v>
      </c>
      <c r="K972" t="s">
        <v>33</v>
      </c>
      <c r="L972">
        <v>27</v>
      </c>
      <c r="M972">
        <v>11</v>
      </c>
      <c r="N972" t="s">
        <v>47</v>
      </c>
      <c r="O972">
        <v>3</v>
      </c>
      <c r="P972">
        <v>1</v>
      </c>
      <c r="Q972">
        <v>4</v>
      </c>
      <c r="R972">
        <v>2534</v>
      </c>
      <c r="S972">
        <v>5</v>
      </c>
      <c r="T972">
        <v>3</v>
      </c>
      <c r="U972">
        <v>1</v>
      </c>
      <c r="V972">
        <v>0</v>
      </c>
      <c r="W972">
        <v>0</v>
      </c>
      <c r="X972">
        <v>0</v>
      </c>
      <c r="Y972">
        <f>IF(HR_data[[#This Row],[Attrition]]= "Yes",1,0)</f>
        <v>0</v>
      </c>
    </row>
    <row r="973" spans="1:25">
      <c r="A973">
        <v>972</v>
      </c>
      <c r="B973" t="s">
        <v>33</v>
      </c>
      <c r="C973" t="s">
        <v>25</v>
      </c>
      <c r="D973" t="s">
        <v>35</v>
      </c>
      <c r="E973" t="s">
        <v>36</v>
      </c>
      <c r="F973" t="s">
        <v>57</v>
      </c>
      <c r="G973">
        <v>1</v>
      </c>
      <c r="H973" t="s">
        <v>29</v>
      </c>
      <c r="I973" t="s">
        <v>49</v>
      </c>
      <c r="J973" t="s">
        <v>31</v>
      </c>
      <c r="K973" t="s">
        <v>33</v>
      </c>
      <c r="L973">
        <v>51</v>
      </c>
      <c r="M973">
        <v>11</v>
      </c>
      <c r="N973" t="s">
        <v>32</v>
      </c>
      <c r="O973">
        <v>4</v>
      </c>
      <c r="P973">
        <v>4</v>
      </c>
      <c r="Q973">
        <v>2</v>
      </c>
      <c r="R973">
        <v>13142</v>
      </c>
      <c r="S973">
        <v>29</v>
      </c>
      <c r="T973">
        <v>2</v>
      </c>
      <c r="U973">
        <v>5</v>
      </c>
      <c r="V973">
        <v>2</v>
      </c>
      <c r="W973">
        <v>0</v>
      </c>
      <c r="X973">
        <v>3</v>
      </c>
      <c r="Y973">
        <f>IF(HR_data[[#This Row],[Attrition]]= "Yes",1,0)</f>
        <v>0</v>
      </c>
    </row>
    <row r="974" spans="1:25">
      <c r="A974">
        <v>973</v>
      </c>
      <c r="B974" t="s">
        <v>33</v>
      </c>
      <c r="C974" t="s">
        <v>51</v>
      </c>
      <c r="D974" t="s">
        <v>52</v>
      </c>
      <c r="E974" t="s">
        <v>36</v>
      </c>
      <c r="F974" t="s">
        <v>28</v>
      </c>
      <c r="G974">
        <v>1</v>
      </c>
      <c r="H974" t="s">
        <v>29</v>
      </c>
      <c r="I974" t="s">
        <v>42</v>
      </c>
      <c r="J974" t="s">
        <v>31</v>
      </c>
      <c r="K974" t="s">
        <v>33</v>
      </c>
      <c r="L974">
        <v>18</v>
      </c>
      <c r="M974">
        <v>1</v>
      </c>
      <c r="N974" t="s">
        <v>47</v>
      </c>
      <c r="O974">
        <v>4</v>
      </c>
      <c r="P974">
        <v>1</v>
      </c>
      <c r="Q974">
        <v>4</v>
      </c>
      <c r="R974">
        <v>1611</v>
      </c>
      <c r="S974">
        <v>0</v>
      </c>
      <c r="T974">
        <v>4</v>
      </c>
      <c r="U974">
        <v>0</v>
      </c>
      <c r="V974">
        <v>0</v>
      </c>
      <c r="W974">
        <v>0</v>
      </c>
      <c r="X974">
        <v>0</v>
      </c>
      <c r="Y974">
        <f>IF(HR_data[[#This Row],[Attrition]]= "Yes",1,0)</f>
        <v>0</v>
      </c>
    </row>
    <row r="975" spans="1:25">
      <c r="A975">
        <v>974</v>
      </c>
      <c r="B975" t="s">
        <v>33</v>
      </c>
      <c r="C975" t="s">
        <v>25</v>
      </c>
      <c r="D975" t="s">
        <v>26</v>
      </c>
      <c r="E975" t="s">
        <v>36</v>
      </c>
      <c r="F975" t="s">
        <v>45</v>
      </c>
      <c r="G975">
        <v>1</v>
      </c>
      <c r="H975" t="s">
        <v>29</v>
      </c>
      <c r="I975" t="s">
        <v>42</v>
      </c>
      <c r="J975" t="s">
        <v>39</v>
      </c>
      <c r="K975" t="s">
        <v>33</v>
      </c>
      <c r="L975">
        <v>35</v>
      </c>
      <c r="M975">
        <v>1</v>
      </c>
      <c r="N975" t="s">
        <v>47</v>
      </c>
      <c r="O975">
        <v>4</v>
      </c>
      <c r="P975">
        <v>2</v>
      </c>
      <c r="Q975">
        <v>4</v>
      </c>
      <c r="R975">
        <v>5363</v>
      </c>
      <c r="S975">
        <v>10</v>
      </c>
      <c r="T975">
        <v>3</v>
      </c>
      <c r="U975">
        <v>9</v>
      </c>
      <c r="V975">
        <v>7</v>
      </c>
      <c r="W975">
        <v>0</v>
      </c>
      <c r="X975">
        <v>0</v>
      </c>
      <c r="Y975">
        <f>IF(HR_data[[#This Row],[Attrition]]= "Yes",1,0)</f>
        <v>0</v>
      </c>
    </row>
    <row r="976" spans="1:25">
      <c r="A976">
        <v>975</v>
      </c>
      <c r="B976" t="s">
        <v>33</v>
      </c>
      <c r="C976" t="s">
        <v>34</v>
      </c>
      <c r="D976" t="s">
        <v>43</v>
      </c>
      <c r="E976" t="s">
        <v>27</v>
      </c>
      <c r="F976" t="s">
        <v>28</v>
      </c>
      <c r="G976">
        <v>1</v>
      </c>
      <c r="H976" t="s">
        <v>37</v>
      </c>
      <c r="I976" t="s">
        <v>30</v>
      </c>
      <c r="J976" t="s">
        <v>31</v>
      </c>
      <c r="K976" t="s">
        <v>33</v>
      </c>
      <c r="L976">
        <v>27</v>
      </c>
      <c r="M976">
        <v>2</v>
      </c>
      <c r="N976" t="s">
        <v>40</v>
      </c>
      <c r="O976">
        <v>4</v>
      </c>
      <c r="P976">
        <v>2</v>
      </c>
      <c r="Q976">
        <v>4</v>
      </c>
      <c r="R976">
        <v>5071</v>
      </c>
      <c r="S976">
        <v>8</v>
      </c>
      <c r="T976">
        <v>3</v>
      </c>
      <c r="U976">
        <v>6</v>
      </c>
      <c r="V976">
        <v>2</v>
      </c>
      <c r="W976">
        <v>0</v>
      </c>
      <c r="X976">
        <v>0</v>
      </c>
      <c r="Y976">
        <f>IF(HR_data[[#This Row],[Attrition]]= "Yes",1,0)</f>
        <v>0</v>
      </c>
    </row>
    <row r="977" spans="1:25">
      <c r="A977">
        <v>976</v>
      </c>
      <c r="B977" t="s">
        <v>24</v>
      </c>
      <c r="C977" t="s">
        <v>25</v>
      </c>
      <c r="D977" t="s">
        <v>46</v>
      </c>
      <c r="E977" t="s">
        <v>27</v>
      </c>
      <c r="F977" t="s">
        <v>56</v>
      </c>
      <c r="G977">
        <v>1</v>
      </c>
      <c r="H977" t="s">
        <v>37</v>
      </c>
      <c r="I977" t="s">
        <v>30</v>
      </c>
      <c r="J977" t="s">
        <v>31</v>
      </c>
      <c r="K977" t="s">
        <v>24</v>
      </c>
      <c r="L977">
        <v>55</v>
      </c>
      <c r="M977">
        <v>13</v>
      </c>
      <c r="N977" t="s">
        <v>44</v>
      </c>
      <c r="O977">
        <v>1</v>
      </c>
      <c r="P977">
        <v>4</v>
      </c>
      <c r="Q977">
        <v>3</v>
      </c>
      <c r="R977">
        <v>13695</v>
      </c>
      <c r="S977">
        <v>24</v>
      </c>
      <c r="T977">
        <v>2</v>
      </c>
      <c r="U977">
        <v>19</v>
      </c>
      <c r="V977">
        <v>7</v>
      </c>
      <c r="W977">
        <v>3</v>
      </c>
      <c r="X977">
        <v>8</v>
      </c>
      <c r="Y977">
        <f>IF(HR_data[[#This Row],[Attrition]]= "Yes",1,0)</f>
        <v>1</v>
      </c>
    </row>
    <row r="978" spans="1:25">
      <c r="A978">
        <v>977</v>
      </c>
      <c r="B978" t="s">
        <v>33</v>
      </c>
      <c r="C978" t="s">
        <v>25</v>
      </c>
      <c r="D978" t="s">
        <v>46</v>
      </c>
      <c r="E978" t="s">
        <v>36</v>
      </c>
      <c r="F978" t="s">
        <v>28</v>
      </c>
      <c r="G978">
        <v>1</v>
      </c>
      <c r="H978" t="s">
        <v>37</v>
      </c>
      <c r="I978" t="s">
        <v>49</v>
      </c>
      <c r="J978" t="s">
        <v>39</v>
      </c>
      <c r="K978" t="s">
        <v>24</v>
      </c>
      <c r="L978">
        <v>56</v>
      </c>
      <c r="M978">
        <v>23</v>
      </c>
      <c r="N978" t="s">
        <v>47</v>
      </c>
      <c r="O978">
        <v>4</v>
      </c>
      <c r="P978">
        <v>4</v>
      </c>
      <c r="Q978">
        <v>2</v>
      </c>
      <c r="R978">
        <v>13402</v>
      </c>
      <c r="S978">
        <v>33</v>
      </c>
      <c r="T978">
        <v>3</v>
      </c>
      <c r="U978">
        <v>19</v>
      </c>
      <c r="V978">
        <v>16</v>
      </c>
      <c r="W978">
        <v>15</v>
      </c>
      <c r="X978">
        <v>9</v>
      </c>
      <c r="Y978">
        <f>IF(HR_data[[#This Row],[Attrition]]= "Yes",1,0)</f>
        <v>0</v>
      </c>
    </row>
    <row r="979" spans="1:25">
      <c r="A979">
        <v>978</v>
      </c>
      <c r="B979" t="s">
        <v>33</v>
      </c>
      <c r="C979" t="s">
        <v>51</v>
      </c>
      <c r="D979" t="s">
        <v>43</v>
      </c>
      <c r="E979" t="s">
        <v>36</v>
      </c>
      <c r="F979" t="s">
        <v>57</v>
      </c>
      <c r="G979">
        <v>1</v>
      </c>
      <c r="H979" t="s">
        <v>29</v>
      </c>
      <c r="I979" t="s">
        <v>38</v>
      </c>
      <c r="J979" t="s">
        <v>48</v>
      </c>
      <c r="K979" t="s">
        <v>33</v>
      </c>
      <c r="L979">
        <v>34</v>
      </c>
      <c r="M979">
        <v>26</v>
      </c>
      <c r="N979" t="s">
        <v>40</v>
      </c>
      <c r="O979">
        <v>1</v>
      </c>
      <c r="P979">
        <v>1</v>
      </c>
      <c r="Q979">
        <v>3</v>
      </c>
      <c r="R979">
        <v>2029</v>
      </c>
      <c r="S979">
        <v>5</v>
      </c>
      <c r="T979">
        <v>3</v>
      </c>
      <c r="U979">
        <v>5</v>
      </c>
      <c r="V979">
        <v>4</v>
      </c>
      <c r="W979">
        <v>0</v>
      </c>
      <c r="X979">
        <v>0</v>
      </c>
      <c r="Y979">
        <f>IF(HR_data[[#This Row],[Attrition]]= "Yes",1,0)</f>
        <v>0</v>
      </c>
    </row>
    <row r="980" spans="1:25">
      <c r="A980">
        <v>979</v>
      </c>
      <c r="B980" t="s">
        <v>33</v>
      </c>
      <c r="C980" t="s">
        <v>25</v>
      </c>
      <c r="D980" t="s">
        <v>26</v>
      </c>
      <c r="E980" t="s">
        <v>36</v>
      </c>
      <c r="F980" t="s">
        <v>45</v>
      </c>
      <c r="G980">
        <v>1</v>
      </c>
      <c r="H980" t="s">
        <v>29</v>
      </c>
      <c r="I980" t="s">
        <v>50</v>
      </c>
      <c r="J980" t="s">
        <v>48</v>
      </c>
      <c r="K980" t="s">
        <v>33</v>
      </c>
      <c r="L980">
        <v>40</v>
      </c>
      <c r="M980">
        <v>2</v>
      </c>
      <c r="N980" t="s">
        <v>40</v>
      </c>
      <c r="O980">
        <v>2</v>
      </c>
      <c r="P980">
        <v>2</v>
      </c>
      <c r="Q980">
        <v>3</v>
      </c>
      <c r="R980">
        <v>6377</v>
      </c>
      <c r="S980">
        <v>15</v>
      </c>
      <c r="T980">
        <v>3</v>
      </c>
      <c r="U980">
        <v>12</v>
      </c>
      <c r="V980">
        <v>11</v>
      </c>
      <c r="W980">
        <v>11</v>
      </c>
      <c r="X980">
        <v>8</v>
      </c>
      <c r="Y980">
        <f>IF(HR_data[[#This Row],[Attrition]]= "Yes",1,0)</f>
        <v>0</v>
      </c>
    </row>
    <row r="981" spans="1:25">
      <c r="A981">
        <v>980</v>
      </c>
      <c r="B981" t="s">
        <v>33</v>
      </c>
      <c r="C981" t="s">
        <v>25</v>
      </c>
      <c r="D981" t="s">
        <v>43</v>
      </c>
      <c r="E981" t="s">
        <v>36</v>
      </c>
      <c r="F981" t="s">
        <v>45</v>
      </c>
      <c r="G981">
        <v>1</v>
      </c>
      <c r="H981" t="s">
        <v>37</v>
      </c>
      <c r="I981" t="s">
        <v>42</v>
      </c>
      <c r="J981" t="s">
        <v>39</v>
      </c>
      <c r="K981" t="s">
        <v>33</v>
      </c>
      <c r="L981">
        <v>34</v>
      </c>
      <c r="M981">
        <v>29</v>
      </c>
      <c r="N981" t="s">
        <v>47</v>
      </c>
      <c r="O981">
        <v>2</v>
      </c>
      <c r="P981">
        <v>2</v>
      </c>
      <c r="Q981">
        <v>3</v>
      </c>
      <c r="R981">
        <v>5429</v>
      </c>
      <c r="S981">
        <v>10</v>
      </c>
      <c r="T981">
        <v>3</v>
      </c>
      <c r="U981">
        <v>8</v>
      </c>
      <c r="V981">
        <v>7</v>
      </c>
      <c r="W981">
        <v>7</v>
      </c>
      <c r="X981">
        <v>7</v>
      </c>
      <c r="Y981">
        <f>IF(HR_data[[#This Row],[Attrition]]= "Yes",1,0)</f>
        <v>0</v>
      </c>
    </row>
    <row r="982" spans="1:25">
      <c r="A982">
        <v>981</v>
      </c>
      <c r="B982" t="s">
        <v>24</v>
      </c>
      <c r="C982" t="s">
        <v>34</v>
      </c>
      <c r="D982" t="s">
        <v>43</v>
      </c>
      <c r="E982" t="s">
        <v>27</v>
      </c>
      <c r="F982" t="s">
        <v>28</v>
      </c>
      <c r="G982">
        <v>1</v>
      </c>
      <c r="H982" t="s">
        <v>29</v>
      </c>
      <c r="I982" t="s">
        <v>54</v>
      </c>
      <c r="J982" t="s">
        <v>31</v>
      </c>
      <c r="K982" t="s">
        <v>33</v>
      </c>
      <c r="L982">
        <v>31</v>
      </c>
      <c r="M982">
        <v>2</v>
      </c>
      <c r="N982" t="s">
        <v>47</v>
      </c>
      <c r="O982">
        <v>3</v>
      </c>
      <c r="P982">
        <v>1</v>
      </c>
      <c r="Q982">
        <v>4</v>
      </c>
      <c r="R982">
        <v>2785</v>
      </c>
      <c r="S982">
        <v>3</v>
      </c>
      <c r="T982">
        <v>4</v>
      </c>
      <c r="U982">
        <v>1</v>
      </c>
      <c r="V982">
        <v>0</v>
      </c>
      <c r="W982">
        <v>0</v>
      </c>
      <c r="X982">
        <v>0</v>
      </c>
      <c r="Y982">
        <f>IF(HR_data[[#This Row],[Attrition]]= "Yes",1,0)</f>
        <v>1</v>
      </c>
    </row>
    <row r="983" spans="1:25">
      <c r="A983">
        <v>982</v>
      </c>
      <c r="B983" t="s">
        <v>24</v>
      </c>
      <c r="C983" t="s">
        <v>34</v>
      </c>
      <c r="D983" t="s">
        <v>26</v>
      </c>
      <c r="E983" t="s">
        <v>27</v>
      </c>
      <c r="F983" t="s">
        <v>56</v>
      </c>
      <c r="G983">
        <v>1</v>
      </c>
      <c r="H983" t="s">
        <v>29</v>
      </c>
      <c r="I983" t="s">
        <v>30</v>
      </c>
      <c r="J983" t="s">
        <v>39</v>
      </c>
      <c r="K983" t="s">
        <v>24</v>
      </c>
      <c r="L983">
        <v>35</v>
      </c>
      <c r="M983">
        <v>18</v>
      </c>
      <c r="N983" t="s">
        <v>44</v>
      </c>
      <c r="O983">
        <v>4</v>
      </c>
      <c r="P983">
        <v>2</v>
      </c>
      <c r="Q983">
        <v>3</v>
      </c>
      <c r="R983">
        <v>4614</v>
      </c>
      <c r="S983">
        <v>5</v>
      </c>
      <c r="T983">
        <v>2</v>
      </c>
      <c r="U983">
        <v>4</v>
      </c>
      <c r="V983">
        <v>2</v>
      </c>
      <c r="W983">
        <v>3</v>
      </c>
      <c r="X983">
        <v>2</v>
      </c>
      <c r="Y983">
        <f>IF(HR_data[[#This Row],[Attrition]]= "Yes",1,0)</f>
        <v>1</v>
      </c>
    </row>
    <row r="984" spans="1:25">
      <c r="A984">
        <v>983</v>
      </c>
      <c r="B984" t="s">
        <v>33</v>
      </c>
      <c r="C984" t="s">
        <v>34</v>
      </c>
      <c r="D984" t="s">
        <v>26</v>
      </c>
      <c r="E984" t="s">
        <v>36</v>
      </c>
      <c r="F984" t="s">
        <v>28</v>
      </c>
      <c r="G984">
        <v>1</v>
      </c>
      <c r="H984" t="s">
        <v>37</v>
      </c>
      <c r="I984" t="s">
        <v>38</v>
      </c>
      <c r="J984" t="s">
        <v>48</v>
      </c>
      <c r="K984" t="s">
        <v>33</v>
      </c>
      <c r="L984">
        <v>38</v>
      </c>
      <c r="M984">
        <v>7</v>
      </c>
      <c r="N984" t="s">
        <v>47</v>
      </c>
      <c r="O984">
        <v>4</v>
      </c>
      <c r="P984">
        <v>1</v>
      </c>
      <c r="Q984">
        <v>3</v>
      </c>
      <c r="R984">
        <v>2610</v>
      </c>
      <c r="S984">
        <v>4</v>
      </c>
      <c r="T984">
        <v>3</v>
      </c>
      <c r="U984">
        <v>4</v>
      </c>
      <c r="V984">
        <v>2</v>
      </c>
      <c r="W984">
        <v>0</v>
      </c>
      <c r="X984">
        <v>3</v>
      </c>
      <c r="Y984">
        <f>IF(HR_data[[#This Row],[Attrition]]= "Yes",1,0)</f>
        <v>0</v>
      </c>
    </row>
    <row r="985" spans="1:25">
      <c r="A985">
        <v>984</v>
      </c>
      <c r="B985" t="s">
        <v>33</v>
      </c>
      <c r="C985" t="s">
        <v>25</v>
      </c>
      <c r="D985" t="s">
        <v>43</v>
      </c>
      <c r="E985" t="s">
        <v>36</v>
      </c>
      <c r="F985" t="s">
        <v>57</v>
      </c>
      <c r="G985">
        <v>1</v>
      </c>
      <c r="H985" t="s">
        <v>29</v>
      </c>
      <c r="I985" t="s">
        <v>50</v>
      </c>
      <c r="J985" t="s">
        <v>31</v>
      </c>
      <c r="K985" t="s">
        <v>33</v>
      </c>
      <c r="L985">
        <v>34</v>
      </c>
      <c r="M985">
        <v>2</v>
      </c>
      <c r="N985" t="s">
        <v>44</v>
      </c>
      <c r="O985">
        <v>3</v>
      </c>
      <c r="P985">
        <v>2</v>
      </c>
      <c r="Q985">
        <v>4</v>
      </c>
      <c r="R985">
        <v>6687</v>
      </c>
      <c r="S985">
        <v>14</v>
      </c>
      <c r="T985">
        <v>4</v>
      </c>
      <c r="U985">
        <v>14</v>
      </c>
      <c r="V985">
        <v>11</v>
      </c>
      <c r="W985">
        <v>4</v>
      </c>
      <c r="X985">
        <v>11</v>
      </c>
      <c r="Y985">
        <f>IF(HR_data[[#This Row],[Attrition]]= "Yes",1,0)</f>
        <v>0</v>
      </c>
    </row>
    <row r="986" spans="1:25">
      <c r="A986">
        <v>985</v>
      </c>
      <c r="B986" t="s">
        <v>33</v>
      </c>
      <c r="C986" t="s">
        <v>25</v>
      </c>
      <c r="D986" t="s">
        <v>43</v>
      </c>
      <c r="E986" t="s">
        <v>27</v>
      </c>
      <c r="F986" t="s">
        <v>28</v>
      </c>
      <c r="G986">
        <v>1</v>
      </c>
      <c r="H986" t="s">
        <v>37</v>
      </c>
      <c r="I986" t="s">
        <v>30</v>
      </c>
      <c r="J986" t="s">
        <v>39</v>
      </c>
      <c r="K986" t="s">
        <v>33</v>
      </c>
      <c r="L986">
        <v>28</v>
      </c>
      <c r="M986">
        <v>26</v>
      </c>
      <c r="N986" t="s">
        <v>47</v>
      </c>
      <c r="O986">
        <v>3</v>
      </c>
      <c r="P986">
        <v>2</v>
      </c>
      <c r="Q986">
        <v>1</v>
      </c>
      <c r="R986">
        <v>4724</v>
      </c>
      <c r="S986">
        <v>5</v>
      </c>
      <c r="T986">
        <v>3</v>
      </c>
      <c r="U986">
        <v>5</v>
      </c>
      <c r="V986">
        <v>3</v>
      </c>
      <c r="W986">
        <v>0</v>
      </c>
      <c r="X986">
        <v>4</v>
      </c>
      <c r="Y986">
        <f>IF(HR_data[[#This Row],[Attrition]]= "Yes",1,0)</f>
        <v>0</v>
      </c>
    </row>
    <row r="987" spans="1:25">
      <c r="A987">
        <v>986</v>
      </c>
      <c r="B987" t="s">
        <v>24</v>
      </c>
      <c r="C987" t="s">
        <v>25</v>
      </c>
      <c r="D987" t="s">
        <v>43</v>
      </c>
      <c r="E987" t="s">
        <v>36</v>
      </c>
      <c r="F987" t="s">
        <v>45</v>
      </c>
      <c r="G987">
        <v>1</v>
      </c>
      <c r="H987" t="s">
        <v>37</v>
      </c>
      <c r="I987" t="s">
        <v>49</v>
      </c>
      <c r="J987" t="s">
        <v>39</v>
      </c>
      <c r="K987" t="s">
        <v>24</v>
      </c>
      <c r="L987">
        <v>31</v>
      </c>
      <c r="M987">
        <v>22</v>
      </c>
      <c r="N987" t="s">
        <v>44</v>
      </c>
      <c r="O987">
        <v>4</v>
      </c>
      <c r="P987">
        <v>2</v>
      </c>
      <c r="Q987">
        <v>3</v>
      </c>
      <c r="R987">
        <v>6179</v>
      </c>
      <c r="S987">
        <v>10</v>
      </c>
      <c r="T987">
        <v>2</v>
      </c>
      <c r="U987">
        <v>10</v>
      </c>
      <c r="V987">
        <v>2</v>
      </c>
      <c r="W987">
        <v>6</v>
      </c>
      <c r="X987">
        <v>7</v>
      </c>
      <c r="Y987">
        <f>IF(HR_data[[#This Row],[Attrition]]= "Yes",1,0)</f>
        <v>1</v>
      </c>
    </row>
    <row r="988" spans="1:25">
      <c r="A988">
        <v>987</v>
      </c>
      <c r="B988" t="s">
        <v>33</v>
      </c>
      <c r="C988" t="s">
        <v>25</v>
      </c>
      <c r="D988" t="s">
        <v>26</v>
      </c>
      <c r="E988" t="s">
        <v>27</v>
      </c>
      <c r="F988" t="s">
        <v>28</v>
      </c>
      <c r="G988">
        <v>1</v>
      </c>
      <c r="H988" t="s">
        <v>37</v>
      </c>
      <c r="I988" t="s">
        <v>30</v>
      </c>
      <c r="J988" t="s">
        <v>39</v>
      </c>
      <c r="K988" t="s">
        <v>24</v>
      </c>
      <c r="L988">
        <v>39</v>
      </c>
      <c r="M988">
        <v>21</v>
      </c>
      <c r="N988" t="s">
        <v>44</v>
      </c>
      <c r="O988">
        <v>1</v>
      </c>
      <c r="P988">
        <v>2</v>
      </c>
      <c r="Q988">
        <v>4</v>
      </c>
      <c r="R988">
        <v>6120</v>
      </c>
      <c r="S988">
        <v>8</v>
      </c>
      <c r="T988">
        <v>4</v>
      </c>
      <c r="U988">
        <v>5</v>
      </c>
      <c r="V988">
        <v>4</v>
      </c>
      <c r="W988">
        <v>1</v>
      </c>
      <c r="X988">
        <v>4</v>
      </c>
      <c r="Y988">
        <f>IF(HR_data[[#This Row],[Attrition]]= "Yes",1,0)</f>
        <v>0</v>
      </c>
    </row>
    <row r="989" spans="1:25">
      <c r="A989">
        <v>988</v>
      </c>
      <c r="B989" t="s">
        <v>33</v>
      </c>
      <c r="C989" t="s">
        <v>34</v>
      </c>
      <c r="D989" t="s">
        <v>35</v>
      </c>
      <c r="E989" t="s">
        <v>27</v>
      </c>
      <c r="F989" t="s">
        <v>56</v>
      </c>
      <c r="G989">
        <v>1</v>
      </c>
      <c r="H989" t="s">
        <v>37</v>
      </c>
      <c r="I989" t="s">
        <v>30</v>
      </c>
      <c r="J989" t="s">
        <v>39</v>
      </c>
      <c r="K989" t="s">
        <v>33</v>
      </c>
      <c r="L989">
        <v>51</v>
      </c>
      <c r="M989">
        <v>2</v>
      </c>
      <c r="N989" t="s">
        <v>47</v>
      </c>
      <c r="O989">
        <v>2</v>
      </c>
      <c r="P989">
        <v>3</v>
      </c>
      <c r="Q989">
        <v>2</v>
      </c>
      <c r="R989">
        <v>10596</v>
      </c>
      <c r="S989">
        <v>14</v>
      </c>
      <c r="T989">
        <v>3</v>
      </c>
      <c r="U989">
        <v>4</v>
      </c>
      <c r="V989">
        <v>2</v>
      </c>
      <c r="W989">
        <v>3</v>
      </c>
      <c r="X989">
        <v>2</v>
      </c>
      <c r="Y989">
        <f>IF(HR_data[[#This Row],[Attrition]]= "Yes",1,0)</f>
        <v>0</v>
      </c>
    </row>
    <row r="990" spans="1:25">
      <c r="A990">
        <v>989</v>
      </c>
      <c r="B990" t="s">
        <v>33</v>
      </c>
      <c r="C990" t="s">
        <v>34</v>
      </c>
      <c r="D990" t="s">
        <v>26</v>
      </c>
      <c r="E990" t="s">
        <v>36</v>
      </c>
      <c r="F990" t="s">
        <v>28</v>
      </c>
      <c r="G990">
        <v>1</v>
      </c>
      <c r="H990" t="s">
        <v>29</v>
      </c>
      <c r="I990" t="s">
        <v>38</v>
      </c>
      <c r="J990" t="s">
        <v>48</v>
      </c>
      <c r="K990" t="s">
        <v>24</v>
      </c>
      <c r="L990">
        <v>41</v>
      </c>
      <c r="M990">
        <v>22</v>
      </c>
      <c r="N990" t="s">
        <v>47</v>
      </c>
      <c r="O990">
        <v>4</v>
      </c>
      <c r="P990">
        <v>2</v>
      </c>
      <c r="Q990">
        <v>4</v>
      </c>
      <c r="R990">
        <v>5467</v>
      </c>
      <c r="S990">
        <v>12</v>
      </c>
      <c r="T990">
        <v>2</v>
      </c>
      <c r="U990">
        <v>6</v>
      </c>
      <c r="V990">
        <v>2</v>
      </c>
      <c r="W990">
        <v>3</v>
      </c>
      <c r="X990">
        <v>3</v>
      </c>
      <c r="Y990">
        <f>IF(HR_data[[#This Row],[Attrition]]= "Yes",1,0)</f>
        <v>0</v>
      </c>
    </row>
    <row r="991" spans="1:25">
      <c r="A991">
        <v>990</v>
      </c>
      <c r="B991" t="s">
        <v>33</v>
      </c>
      <c r="C991" t="s">
        <v>25</v>
      </c>
      <c r="D991" t="s">
        <v>26</v>
      </c>
      <c r="E991" t="s">
        <v>36</v>
      </c>
      <c r="F991" t="s">
        <v>28</v>
      </c>
      <c r="G991">
        <v>1</v>
      </c>
      <c r="H991" t="s">
        <v>37</v>
      </c>
      <c r="I991" t="s">
        <v>38</v>
      </c>
      <c r="J991" t="s">
        <v>39</v>
      </c>
      <c r="K991" t="s">
        <v>24</v>
      </c>
      <c r="L991">
        <v>37</v>
      </c>
      <c r="M991">
        <v>4</v>
      </c>
      <c r="N991" t="s">
        <v>40</v>
      </c>
      <c r="O991">
        <v>3</v>
      </c>
      <c r="P991">
        <v>1</v>
      </c>
      <c r="Q991">
        <v>3</v>
      </c>
      <c r="R991">
        <v>2996</v>
      </c>
      <c r="S991">
        <v>8</v>
      </c>
      <c r="T991">
        <v>3</v>
      </c>
      <c r="U991">
        <v>6</v>
      </c>
      <c r="V991">
        <v>4</v>
      </c>
      <c r="W991">
        <v>1</v>
      </c>
      <c r="X991">
        <v>3</v>
      </c>
      <c r="Y991">
        <f>IF(HR_data[[#This Row],[Attrition]]= "Yes",1,0)</f>
        <v>0</v>
      </c>
    </row>
    <row r="992" spans="1:25">
      <c r="A992">
        <v>991</v>
      </c>
      <c r="B992" t="s">
        <v>33</v>
      </c>
      <c r="C992" t="s">
        <v>34</v>
      </c>
      <c r="D992" t="s">
        <v>43</v>
      </c>
      <c r="E992" t="s">
        <v>27</v>
      </c>
      <c r="F992" t="s">
        <v>28</v>
      </c>
      <c r="G992">
        <v>1</v>
      </c>
      <c r="H992" t="s">
        <v>37</v>
      </c>
      <c r="I992" t="s">
        <v>30</v>
      </c>
      <c r="J992" t="s">
        <v>39</v>
      </c>
      <c r="K992" t="s">
        <v>33</v>
      </c>
      <c r="L992">
        <v>33</v>
      </c>
      <c r="M992">
        <v>5</v>
      </c>
      <c r="N992" t="s">
        <v>40</v>
      </c>
      <c r="O992">
        <v>2</v>
      </c>
      <c r="P992">
        <v>2</v>
      </c>
      <c r="Q992">
        <v>4</v>
      </c>
      <c r="R992">
        <v>9998</v>
      </c>
      <c r="S992">
        <v>8</v>
      </c>
      <c r="T992">
        <v>4</v>
      </c>
      <c r="U992">
        <v>5</v>
      </c>
      <c r="V992">
        <v>4</v>
      </c>
      <c r="W992">
        <v>1</v>
      </c>
      <c r="X992">
        <v>2</v>
      </c>
      <c r="Y992">
        <f>IF(HR_data[[#This Row],[Attrition]]= "Yes",1,0)</f>
        <v>0</v>
      </c>
    </row>
    <row r="993" spans="1:25">
      <c r="A993">
        <v>992</v>
      </c>
      <c r="B993" t="s">
        <v>33</v>
      </c>
      <c r="C993" t="s">
        <v>25</v>
      </c>
      <c r="D993" t="s">
        <v>43</v>
      </c>
      <c r="E993" t="s">
        <v>27</v>
      </c>
      <c r="F993" t="s">
        <v>56</v>
      </c>
      <c r="G993">
        <v>1</v>
      </c>
      <c r="H993" t="s">
        <v>37</v>
      </c>
      <c r="I993" t="s">
        <v>30</v>
      </c>
      <c r="J993" t="s">
        <v>39</v>
      </c>
      <c r="K993" t="s">
        <v>24</v>
      </c>
      <c r="L993">
        <v>32</v>
      </c>
      <c r="M993">
        <v>2</v>
      </c>
      <c r="N993" t="s">
        <v>40</v>
      </c>
      <c r="O993">
        <v>3</v>
      </c>
      <c r="P993">
        <v>2</v>
      </c>
      <c r="Q993">
        <v>2</v>
      </c>
      <c r="R993">
        <v>4078</v>
      </c>
      <c r="S993">
        <v>4</v>
      </c>
      <c r="T993">
        <v>2</v>
      </c>
      <c r="U993">
        <v>3</v>
      </c>
      <c r="V993">
        <v>2</v>
      </c>
      <c r="W993">
        <v>1</v>
      </c>
      <c r="X993">
        <v>2</v>
      </c>
      <c r="Y993">
        <f>IF(HR_data[[#This Row],[Attrition]]= "Yes",1,0)</f>
        <v>0</v>
      </c>
    </row>
    <row r="994" spans="1:25">
      <c r="A994">
        <v>993</v>
      </c>
      <c r="B994" t="s">
        <v>33</v>
      </c>
      <c r="C994" t="s">
        <v>51</v>
      </c>
      <c r="D994" t="s">
        <v>26</v>
      </c>
      <c r="E994" t="s">
        <v>36</v>
      </c>
      <c r="F994" t="s">
        <v>28</v>
      </c>
      <c r="G994">
        <v>1</v>
      </c>
      <c r="H994" t="s">
        <v>37</v>
      </c>
      <c r="I994" t="s">
        <v>50</v>
      </c>
      <c r="J994" t="s">
        <v>39</v>
      </c>
      <c r="K994" t="s">
        <v>33</v>
      </c>
      <c r="L994">
        <v>39</v>
      </c>
      <c r="M994">
        <v>25</v>
      </c>
      <c r="N994" t="s">
        <v>32</v>
      </c>
      <c r="O994">
        <v>3</v>
      </c>
      <c r="P994">
        <v>3</v>
      </c>
      <c r="Q994">
        <v>3</v>
      </c>
      <c r="R994">
        <v>10920</v>
      </c>
      <c r="S994">
        <v>13</v>
      </c>
      <c r="T994">
        <v>3</v>
      </c>
      <c r="U994">
        <v>6</v>
      </c>
      <c r="V994">
        <v>4</v>
      </c>
      <c r="W994">
        <v>0</v>
      </c>
      <c r="X994">
        <v>5</v>
      </c>
      <c r="Y994">
        <f>IF(HR_data[[#This Row],[Attrition]]= "Yes",1,0)</f>
        <v>0</v>
      </c>
    </row>
    <row r="995" spans="1:25">
      <c r="A995">
        <v>994</v>
      </c>
      <c r="B995" t="s">
        <v>33</v>
      </c>
      <c r="C995" t="s">
        <v>25</v>
      </c>
      <c r="D995" t="s">
        <v>43</v>
      </c>
      <c r="E995" t="s">
        <v>27</v>
      </c>
      <c r="F995" t="s">
        <v>28</v>
      </c>
      <c r="G995">
        <v>1</v>
      </c>
      <c r="H995" t="s">
        <v>37</v>
      </c>
      <c r="I995" t="s">
        <v>30</v>
      </c>
      <c r="J995" t="s">
        <v>39</v>
      </c>
      <c r="K995" t="s">
        <v>33</v>
      </c>
      <c r="L995">
        <v>25</v>
      </c>
      <c r="M995">
        <v>18</v>
      </c>
      <c r="N995" t="s">
        <v>40</v>
      </c>
      <c r="O995">
        <v>1</v>
      </c>
      <c r="P995">
        <v>2</v>
      </c>
      <c r="Q995">
        <v>3</v>
      </c>
      <c r="R995">
        <v>6232</v>
      </c>
      <c r="S995">
        <v>6</v>
      </c>
      <c r="T995">
        <v>2</v>
      </c>
      <c r="U995">
        <v>3</v>
      </c>
      <c r="V995">
        <v>2</v>
      </c>
      <c r="W995">
        <v>1</v>
      </c>
      <c r="X995">
        <v>2</v>
      </c>
      <c r="Y995">
        <f>IF(HR_data[[#This Row],[Attrition]]= "Yes",1,0)</f>
        <v>0</v>
      </c>
    </row>
    <row r="996" spans="1:25">
      <c r="A996">
        <v>995</v>
      </c>
      <c r="B996" t="s">
        <v>33</v>
      </c>
      <c r="C996" t="s">
        <v>34</v>
      </c>
      <c r="D996" t="s">
        <v>35</v>
      </c>
      <c r="E996" t="s">
        <v>36</v>
      </c>
      <c r="F996" t="s">
        <v>45</v>
      </c>
      <c r="G996">
        <v>1</v>
      </c>
      <c r="H996" t="s">
        <v>29</v>
      </c>
      <c r="I996" t="s">
        <v>49</v>
      </c>
      <c r="J996" t="s">
        <v>39</v>
      </c>
      <c r="K996" t="s">
        <v>24</v>
      </c>
      <c r="L996">
        <v>52</v>
      </c>
      <c r="M996">
        <v>28</v>
      </c>
      <c r="N996" t="s">
        <v>32</v>
      </c>
      <c r="O996">
        <v>4</v>
      </c>
      <c r="P996">
        <v>4</v>
      </c>
      <c r="Q996">
        <v>3</v>
      </c>
      <c r="R996">
        <v>13247</v>
      </c>
      <c r="S996">
        <v>24</v>
      </c>
      <c r="T996">
        <v>2</v>
      </c>
      <c r="U996">
        <v>5</v>
      </c>
      <c r="V996">
        <v>3</v>
      </c>
      <c r="W996">
        <v>0</v>
      </c>
      <c r="X996">
        <v>2</v>
      </c>
      <c r="Y996">
        <f>IF(HR_data[[#This Row],[Attrition]]= "Yes",1,0)</f>
        <v>0</v>
      </c>
    </row>
    <row r="997" spans="1:25">
      <c r="A997">
        <v>996</v>
      </c>
      <c r="B997" t="s">
        <v>33</v>
      </c>
      <c r="C997" t="s">
        <v>25</v>
      </c>
      <c r="D997" t="s">
        <v>26</v>
      </c>
      <c r="E997" t="s">
        <v>36</v>
      </c>
      <c r="F997" t="s">
        <v>45</v>
      </c>
      <c r="G997">
        <v>1</v>
      </c>
      <c r="H997" t="s">
        <v>29</v>
      </c>
      <c r="I997" t="s">
        <v>38</v>
      </c>
      <c r="J997" t="s">
        <v>31</v>
      </c>
      <c r="K997" t="s">
        <v>24</v>
      </c>
      <c r="L997">
        <v>43</v>
      </c>
      <c r="M997">
        <v>6</v>
      </c>
      <c r="N997" t="s">
        <v>47</v>
      </c>
      <c r="O997">
        <v>1</v>
      </c>
      <c r="P997">
        <v>2</v>
      </c>
      <c r="Q997">
        <v>3</v>
      </c>
      <c r="R997">
        <v>4081</v>
      </c>
      <c r="S997">
        <v>20</v>
      </c>
      <c r="T997">
        <v>1</v>
      </c>
      <c r="U997">
        <v>20</v>
      </c>
      <c r="V997">
        <v>7</v>
      </c>
      <c r="W997">
        <v>1</v>
      </c>
      <c r="X997">
        <v>8</v>
      </c>
      <c r="Y997">
        <f>IF(HR_data[[#This Row],[Attrition]]= "Yes",1,0)</f>
        <v>0</v>
      </c>
    </row>
    <row r="998" spans="1:25">
      <c r="A998">
        <v>997</v>
      </c>
      <c r="B998" t="s">
        <v>33</v>
      </c>
      <c r="C998" t="s">
        <v>25</v>
      </c>
      <c r="D998" t="s">
        <v>43</v>
      </c>
      <c r="E998" t="s">
        <v>27</v>
      </c>
      <c r="F998" t="s">
        <v>56</v>
      </c>
      <c r="G998">
        <v>1</v>
      </c>
      <c r="H998" t="s">
        <v>29</v>
      </c>
      <c r="I998" t="s">
        <v>30</v>
      </c>
      <c r="J998" t="s">
        <v>39</v>
      </c>
      <c r="K998" t="s">
        <v>24</v>
      </c>
      <c r="L998">
        <v>27</v>
      </c>
      <c r="M998">
        <v>10</v>
      </c>
      <c r="N998" t="s">
        <v>47</v>
      </c>
      <c r="O998">
        <v>4</v>
      </c>
      <c r="P998">
        <v>2</v>
      </c>
      <c r="Q998">
        <v>4</v>
      </c>
      <c r="R998">
        <v>5769</v>
      </c>
      <c r="S998">
        <v>6</v>
      </c>
      <c r="T998">
        <v>3</v>
      </c>
      <c r="U998">
        <v>6</v>
      </c>
      <c r="V998">
        <v>2</v>
      </c>
      <c r="W998">
        <v>4</v>
      </c>
      <c r="X998">
        <v>4</v>
      </c>
      <c r="Y998">
        <f>IF(HR_data[[#This Row],[Attrition]]= "Yes",1,0)</f>
        <v>0</v>
      </c>
    </row>
    <row r="999" spans="1:25">
      <c r="A999">
        <v>998</v>
      </c>
      <c r="B999" t="s">
        <v>24</v>
      </c>
      <c r="C999" t="s">
        <v>25</v>
      </c>
      <c r="D999" t="s">
        <v>43</v>
      </c>
      <c r="E999" t="s">
        <v>36</v>
      </c>
      <c r="F999" t="s">
        <v>28</v>
      </c>
      <c r="G999">
        <v>1</v>
      </c>
      <c r="H999" t="s">
        <v>29</v>
      </c>
      <c r="I999" t="s">
        <v>38</v>
      </c>
      <c r="J999" t="s">
        <v>31</v>
      </c>
      <c r="K999" t="s">
        <v>24</v>
      </c>
      <c r="L999">
        <v>27</v>
      </c>
      <c r="M999">
        <v>17</v>
      </c>
      <c r="N999" t="s">
        <v>44</v>
      </c>
      <c r="O999">
        <v>4</v>
      </c>
      <c r="P999">
        <v>1</v>
      </c>
      <c r="Q999">
        <v>3</v>
      </c>
      <c r="R999">
        <v>2394</v>
      </c>
      <c r="S999">
        <v>8</v>
      </c>
      <c r="T999">
        <v>3</v>
      </c>
      <c r="U999">
        <v>8</v>
      </c>
      <c r="V999">
        <v>2</v>
      </c>
      <c r="W999">
        <v>7</v>
      </c>
      <c r="X999">
        <v>7</v>
      </c>
      <c r="Y999">
        <f>IF(HR_data[[#This Row],[Attrition]]= "Yes",1,0)</f>
        <v>1</v>
      </c>
    </row>
    <row r="1000" spans="1:25">
      <c r="A1000">
        <v>999</v>
      </c>
      <c r="B1000" t="s">
        <v>33</v>
      </c>
      <c r="C1000" t="s">
        <v>25</v>
      </c>
      <c r="D1000" t="s">
        <v>43</v>
      </c>
      <c r="E1000" t="s">
        <v>36</v>
      </c>
      <c r="F1000" t="s">
        <v>45</v>
      </c>
      <c r="G1000">
        <v>1</v>
      </c>
      <c r="H1000" t="s">
        <v>37</v>
      </c>
      <c r="I1000" t="s">
        <v>38</v>
      </c>
      <c r="J1000" t="s">
        <v>31</v>
      </c>
      <c r="K1000" t="s">
        <v>33</v>
      </c>
      <c r="L1000">
        <v>26</v>
      </c>
      <c r="M1000">
        <v>2</v>
      </c>
      <c r="N1000" t="s">
        <v>40</v>
      </c>
      <c r="O1000">
        <v>1</v>
      </c>
      <c r="P1000">
        <v>1</v>
      </c>
      <c r="Q1000">
        <v>4</v>
      </c>
      <c r="R1000">
        <v>3904</v>
      </c>
      <c r="S1000">
        <v>5</v>
      </c>
      <c r="T1000">
        <v>3</v>
      </c>
      <c r="U1000">
        <v>4</v>
      </c>
      <c r="V1000">
        <v>3</v>
      </c>
      <c r="W1000">
        <v>1</v>
      </c>
      <c r="X1000">
        <v>1</v>
      </c>
      <c r="Y1000">
        <f>IF(HR_data[[#This Row],[Attrition]]= "Yes",1,0)</f>
        <v>0</v>
      </c>
    </row>
    <row r="1001" spans="1:25">
      <c r="A1001">
        <v>1000</v>
      </c>
      <c r="B1001" t="s">
        <v>33</v>
      </c>
      <c r="C1001" t="s">
        <v>25</v>
      </c>
      <c r="D1001" t="s">
        <v>26</v>
      </c>
      <c r="E1001" t="s">
        <v>59</v>
      </c>
      <c r="F1001" t="s">
        <v>60</v>
      </c>
      <c r="G1001">
        <v>1</v>
      </c>
      <c r="H1001" t="s">
        <v>29</v>
      </c>
      <c r="I1001" t="s">
        <v>53</v>
      </c>
      <c r="J1001" t="s">
        <v>39</v>
      </c>
      <c r="K1001" t="s">
        <v>33</v>
      </c>
      <c r="L1001">
        <v>42</v>
      </c>
      <c r="M1001">
        <v>10</v>
      </c>
      <c r="N1001" t="s">
        <v>47</v>
      </c>
      <c r="O1001">
        <v>3</v>
      </c>
      <c r="P1001">
        <v>4</v>
      </c>
      <c r="Q1001">
        <v>1</v>
      </c>
      <c r="R1001">
        <v>16799</v>
      </c>
      <c r="S1001">
        <v>21</v>
      </c>
      <c r="T1001">
        <v>3</v>
      </c>
      <c r="U1001">
        <v>20</v>
      </c>
      <c r="V1001">
        <v>7</v>
      </c>
      <c r="W1001">
        <v>0</v>
      </c>
      <c r="X1001">
        <v>9</v>
      </c>
      <c r="Y1001">
        <f>IF(HR_data[[#This Row],[Attrition]]= "Yes",1,0)</f>
        <v>0</v>
      </c>
    </row>
    <row r="1002" spans="1:25">
      <c r="A1002">
        <v>1001</v>
      </c>
      <c r="B1002" t="s">
        <v>33</v>
      </c>
      <c r="C1002" t="s">
        <v>51</v>
      </c>
      <c r="D1002" t="s">
        <v>43</v>
      </c>
      <c r="E1002" t="s">
        <v>36</v>
      </c>
      <c r="F1002" t="s">
        <v>45</v>
      </c>
      <c r="G1002">
        <v>1</v>
      </c>
      <c r="H1002" t="s">
        <v>29</v>
      </c>
      <c r="I1002" t="s">
        <v>50</v>
      </c>
      <c r="J1002" t="s">
        <v>48</v>
      </c>
      <c r="K1002" t="s">
        <v>33</v>
      </c>
      <c r="L1002">
        <v>32</v>
      </c>
      <c r="M1002">
        <v>15</v>
      </c>
      <c r="N1002" t="s">
        <v>44</v>
      </c>
      <c r="O1002">
        <v>3</v>
      </c>
      <c r="P1002">
        <v>2</v>
      </c>
      <c r="Q1002">
        <v>4</v>
      </c>
      <c r="R1002">
        <v>6667</v>
      </c>
      <c r="S1002">
        <v>9</v>
      </c>
      <c r="T1002">
        <v>3</v>
      </c>
      <c r="U1002">
        <v>5</v>
      </c>
      <c r="V1002">
        <v>1</v>
      </c>
      <c r="W1002">
        <v>1</v>
      </c>
      <c r="X1002">
        <v>2</v>
      </c>
      <c r="Y1002">
        <f>IF(HR_data[[#This Row],[Attrition]]= "Yes",1,0)</f>
        <v>0</v>
      </c>
    </row>
    <row r="1003" spans="1:25">
      <c r="A1003">
        <v>1002</v>
      </c>
      <c r="B1003" t="s">
        <v>33</v>
      </c>
      <c r="C1003" t="s">
        <v>51</v>
      </c>
      <c r="D1003" t="s">
        <v>26</v>
      </c>
      <c r="E1003" t="s">
        <v>36</v>
      </c>
      <c r="F1003" t="s">
        <v>45</v>
      </c>
      <c r="G1003">
        <v>1</v>
      </c>
      <c r="H1003" t="s">
        <v>29</v>
      </c>
      <c r="I1003" t="s">
        <v>49</v>
      </c>
      <c r="J1003" t="s">
        <v>39</v>
      </c>
      <c r="K1003" t="s">
        <v>33</v>
      </c>
      <c r="L1003">
        <v>36</v>
      </c>
      <c r="M1003">
        <v>1</v>
      </c>
      <c r="N1003" t="s">
        <v>44</v>
      </c>
      <c r="O1003">
        <v>4</v>
      </c>
      <c r="P1003">
        <v>2</v>
      </c>
      <c r="Q1003">
        <v>3</v>
      </c>
      <c r="R1003">
        <v>4374</v>
      </c>
      <c r="S1003">
        <v>4</v>
      </c>
      <c r="T1003">
        <v>3</v>
      </c>
      <c r="U1003">
        <v>3</v>
      </c>
      <c r="V1003">
        <v>2</v>
      </c>
      <c r="W1003">
        <v>1</v>
      </c>
      <c r="X1003">
        <v>2</v>
      </c>
      <c r="Y1003">
        <f>IF(HR_data[[#This Row],[Attrition]]= "Yes",1,0)</f>
        <v>0</v>
      </c>
    </row>
    <row r="1004" spans="1:25">
      <c r="A1004">
        <v>1003</v>
      </c>
      <c r="B1004" t="s">
        <v>33</v>
      </c>
      <c r="C1004" t="s">
        <v>51</v>
      </c>
      <c r="D1004" t="s">
        <v>26</v>
      </c>
      <c r="E1004" t="s">
        <v>36</v>
      </c>
      <c r="F1004" t="s">
        <v>28</v>
      </c>
      <c r="G1004">
        <v>1</v>
      </c>
      <c r="H1004" t="s">
        <v>29</v>
      </c>
      <c r="I1004" t="s">
        <v>50</v>
      </c>
      <c r="J1004" t="s">
        <v>39</v>
      </c>
      <c r="K1004" t="s">
        <v>33</v>
      </c>
      <c r="L1004">
        <v>35</v>
      </c>
      <c r="M1004">
        <v>8</v>
      </c>
      <c r="N1004" t="s">
        <v>44</v>
      </c>
      <c r="O1004">
        <v>3</v>
      </c>
      <c r="P1004">
        <v>2</v>
      </c>
      <c r="Q1004">
        <v>3</v>
      </c>
      <c r="R1004">
        <v>4148</v>
      </c>
      <c r="S1004">
        <v>15</v>
      </c>
      <c r="T1004">
        <v>3</v>
      </c>
      <c r="U1004">
        <v>14</v>
      </c>
      <c r="V1004">
        <v>11</v>
      </c>
      <c r="W1004">
        <v>2</v>
      </c>
      <c r="X1004">
        <v>9</v>
      </c>
      <c r="Y1004">
        <f>IF(HR_data[[#This Row],[Attrition]]= "Yes",1,0)</f>
        <v>0</v>
      </c>
    </row>
    <row r="1005" spans="1:25">
      <c r="A1005">
        <v>1004</v>
      </c>
      <c r="B1005" t="s">
        <v>33</v>
      </c>
      <c r="C1005" t="s">
        <v>51</v>
      </c>
      <c r="D1005" t="s">
        <v>35</v>
      </c>
      <c r="E1005" t="s">
        <v>36</v>
      </c>
      <c r="F1005" t="s">
        <v>45</v>
      </c>
      <c r="G1005">
        <v>1</v>
      </c>
      <c r="H1005" t="s">
        <v>29</v>
      </c>
      <c r="I1005" t="s">
        <v>55</v>
      </c>
      <c r="J1005" t="s">
        <v>39</v>
      </c>
      <c r="K1005" t="s">
        <v>33</v>
      </c>
      <c r="L1005">
        <v>47</v>
      </c>
      <c r="M1005">
        <v>1</v>
      </c>
      <c r="N1005" t="s">
        <v>40</v>
      </c>
      <c r="O1005">
        <v>3</v>
      </c>
      <c r="P1005">
        <v>3</v>
      </c>
      <c r="Q1005">
        <v>2</v>
      </c>
      <c r="R1005">
        <v>11957</v>
      </c>
      <c r="S1005">
        <v>14</v>
      </c>
      <c r="T1005">
        <v>1</v>
      </c>
      <c r="U1005">
        <v>13</v>
      </c>
      <c r="V1005">
        <v>8</v>
      </c>
      <c r="W1005">
        <v>5</v>
      </c>
      <c r="X1005">
        <v>12</v>
      </c>
      <c r="Y1005">
        <f>IF(HR_data[[#This Row],[Attrition]]= "Yes",1,0)</f>
        <v>0</v>
      </c>
    </row>
    <row r="1006" spans="1:25">
      <c r="A1006">
        <v>1005</v>
      </c>
      <c r="B1006" t="s">
        <v>33</v>
      </c>
      <c r="C1006" t="s">
        <v>51</v>
      </c>
      <c r="D1006" t="s">
        <v>52</v>
      </c>
      <c r="E1006" t="s">
        <v>36</v>
      </c>
      <c r="F1006" t="s">
        <v>45</v>
      </c>
      <c r="G1006">
        <v>1</v>
      </c>
      <c r="H1006" t="s">
        <v>29</v>
      </c>
      <c r="I1006" t="s">
        <v>38</v>
      </c>
      <c r="J1006" t="s">
        <v>31</v>
      </c>
      <c r="K1006" t="s">
        <v>33</v>
      </c>
      <c r="L1006">
        <v>18</v>
      </c>
      <c r="M1006">
        <v>14</v>
      </c>
      <c r="N1006" t="s">
        <v>47</v>
      </c>
      <c r="O1006">
        <v>2</v>
      </c>
      <c r="P1006">
        <v>1</v>
      </c>
      <c r="Q1006">
        <v>3</v>
      </c>
      <c r="R1006">
        <v>1514</v>
      </c>
      <c r="S1006">
        <v>0</v>
      </c>
      <c r="T1006">
        <v>1</v>
      </c>
      <c r="U1006">
        <v>0</v>
      </c>
      <c r="V1006">
        <v>0</v>
      </c>
      <c r="W1006">
        <v>0</v>
      </c>
      <c r="X1006">
        <v>0</v>
      </c>
      <c r="Y1006">
        <f>IF(HR_data[[#This Row],[Attrition]]= "Yes",1,0)</f>
        <v>0</v>
      </c>
    </row>
    <row r="1007" spans="1:25">
      <c r="A1007">
        <v>1006</v>
      </c>
      <c r="B1007" t="s">
        <v>33</v>
      </c>
      <c r="C1007" t="s">
        <v>51</v>
      </c>
      <c r="D1007" t="s">
        <v>26</v>
      </c>
      <c r="E1007" t="s">
        <v>27</v>
      </c>
      <c r="F1007" t="s">
        <v>28</v>
      </c>
      <c r="G1007">
        <v>1</v>
      </c>
      <c r="H1007" t="s">
        <v>29</v>
      </c>
      <c r="I1007" t="s">
        <v>30</v>
      </c>
      <c r="J1007" t="s">
        <v>39</v>
      </c>
      <c r="K1007" t="s">
        <v>33</v>
      </c>
      <c r="L1007">
        <v>39</v>
      </c>
      <c r="M1007">
        <v>21</v>
      </c>
      <c r="N1007" t="s">
        <v>44</v>
      </c>
      <c r="O1007">
        <v>1</v>
      </c>
      <c r="P1007">
        <v>2</v>
      </c>
      <c r="Q1007">
        <v>3</v>
      </c>
      <c r="R1007">
        <v>5736</v>
      </c>
      <c r="S1007">
        <v>10</v>
      </c>
      <c r="T1007">
        <v>3</v>
      </c>
      <c r="U1007">
        <v>3</v>
      </c>
      <c r="V1007">
        <v>2</v>
      </c>
      <c r="W1007">
        <v>1</v>
      </c>
      <c r="X1007">
        <v>2</v>
      </c>
      <c r="Y1007">
        <f>IF(HR_data[[#This Row],[Attrition]]= "Yes",1,0)</f>
        <v>0</v>
      </c>
    </row>
    <row r="1008" spans="1:25">
      <c r="A1008">
        <v>1007</v>
      </c>
      <c r="B1008" t="s">
        <v>33</v>
      </c>
      <c r="C1008" t="s">
        <v>51</v>
      </c>
      <c r="D1008" t="s">
        <v>52</v>
      </c>
      <c r="E1008" t="s">
        <v>27</v>
      </c>
      <c r="F1008" t="s">
        <v>28</v>
      </c>
      <c r="G1008">
        <v>1</v>
      </c>
      <c r="H1008" t="s">
        <v>29</v>
      </c>
      <c r="I1008" t="s">
        <v>54</v>
      </c>
      <c r="J1008" t="s">
        <v>39</v>
      </c>
      <c r="K1008" t="s">
        <v>33</v>
      </c>
      <c r="L1008">
        <v>24</v>
      </c>
      <c r="M1008">
        <v>13</v>
      </c>
      <c r="N1008" t="s">
        <v>32</v>
      </c>
      <c r="O1008">
        <v>4</v>
      </c>
      <c r="P1008">
        <v>1</v>
      </c>
      <c r="Q1008">
        <v>2</v>
      </c>
      <c r="R1008">
        <v>2033</v>
      </c>
      <c r="S1008">
        <v>1</v>
      </c>
      <c r="T1008">
        <v>3</v>
      </c>
      <c r="U1008">
        <v>1</v>
      </c>
      <c r="V1008">
        <v>0</v>
      </c>
      <c r="W1008">
        <v>0</v>
      </c>
      <c r="X1008">
        <v>0</v>
      </c>
      <c r="Y1008">
        <f>IF(HR_data[[#This Row],[Attrition]]= "Yes",1,0)</f>
        <v>0</v>
      </c>
    </row>
    <row r="1009" spans="1:25">
      <c r="A1009">
        <v>1008</v>
      </c>
      <c r="B1009" t="s">
        <v>33</v>
      </c>
      <c r="C1009" t="s">
        <v>51</v>
      </c>
      <c r="D1009" t="s">
        <v>43</v>
      </c>
      <c r="E1009" t="s">
        <v>27</v>
      </c>
      <c r="F1009" t="s">
        <v>56</v>
      </c>
      <c r="G1009">
        <v>1</v>
      </c>
      <c r="H1009" t="s">
        <v>29</v>
      </c>
      <c r="I1009" t="s">
        <v>30</v>
      </c>
      <c r="J1009" t="s">
        <v>31</v>
      </c>
      <c r="K1009" t="s">
        <v>33</v>
      </c>
      <c r="L1009">
        <v>33</v>
      </c>
      <c r="M1009">
        <v>2</v>
      </c>
      <c r="N1009" t="s">
        <v>47</v>
      </c>
      <c r="O1009">
        <v>4</v>
      </c>
      <c r="P1009">
        <v>2</v>
      </c>
      <c r="Q1009">
        <v>2</v>
      </c>
      <c r="R1009">
        <v>5147</v>
      </c>
      <c r="S1009">
        <v>13</v>
      </c>
      <c r="T1009">
        <v>2</v>
      </c>
      <c r="U1009">
        <v>11</v>
      </c>
      <c r="V1009">
        <v>7</v>
      </c>
      <c r="W1009">
        <v>1</v>
      </c>
      <c r="X1009">
        <v>7</v>
      </c>
      <c r="Y1009">
        <f>IF(HR_data[[#This Row],[Attrition]]= "Yes",1,0)</f>
        <v>0</v>
      </c>
    </row>
    <row r="1010" spans="1:25">
      <c r="A1010">
        <v>1009</v>
      </c>
      <c r="B1010" t="s">
        <v>33</v>
      </c>
      <c r="C1010" t="s">
        <v>34</v>
      </c>
      <c r="D1010" t="s">
        <v>35</v>
      </c>
      <c r="E1010" t="s">
        <v>36</v>
      </c>
      <c r="F1010" t="s">
        <v>45</v>
      </c>
      <c r="G1010">
        <v>1</v>
      </c>
      <c r="H1010" t="s">
        <v>29</v>
      </c>
      <c r="I1010" t="s">
        <v>53</v>
      </c>
      <c r="J1010" t="s">
        <v>48</v>
      </c>
      <c r="K1010" t="s">
        <v>33</v>
      </c>
      <c r="L1010">
        <v>48</v>
      </c>
      <c r="M1010">
        <v>22</v>
      </c>
      <c r="N1010" t="s">
        <v>47</v>
      </c>
      <c r="O1010">
        <v>4</v>
      </c>
      <c r="P1010">
        <v>4</v>
      </c>
      <c r="Q1010">
        <v>4</v>
      </c>
      <c r="R1010">
        <v>17174</v>
      </c>
      <c r="S1010">
        <v>24</v>
      </c>
      <c r="T1010">
        <v>3</v>
      </c>
      <c r="U1010">
        <v>22</v>
      </c>
      <c r="V1010">
        <v>17</v>
      </c>
      <c r="W1010">
        <v>4</v>
      </c>
      <c r="X1010">
        <v>7</v>
      </c>
      <c r="Y1010">
        <f>IF(HR_data[[#This Row],[Attrition]]= "Yes",1,0)</f>
        <v>0</v>
      </c>
    </row>
    <row r="1011" spans="1:25">
      <c r="A1011">
        <v>1010</v>
      </c>
      <c r="B1011" t="s">
        <v>33</v>
      </c>
      <c r="C1011" t="s">
        <v>34</v>
      </c>
      <c r="D1011" t="s">
        <v>26</v>
      </c>
      <c r="E1011" t="s">
        <v>36</v>
      </c>
      <c r="F1011" t="s">
        <v>28</v>
      </c>
      <c r="G1011">
        <v>1</v>
      </c>
      <c r="H1011" t="s">
        <v>29</v>
      </c>
      <c r="I1011" t="s">
        <v>49</v>
      </c>
      <c r="J1011" t="s">
        <v>48</v>
      </c>
      <c r="K1011" t="s">
        <v>33</v>
      </c>
      <c r="L1011">
        <v>36</v>
      </c>
      <c r="M1011">
        <v>4</v>
      </c>
      <c r="N1011" t="s">
        <v>32</v>
      </c>
      <c r="O1011">
        <v>4</v>
      </c>
      <c r="P1011">
        <v>2</v>
      </c>
      <c r="Q1011">
        <v>2</v>
      </c>
      <c r="R1011">
        <v>5131</v>
      </c>
      <c r="S1011">
        <v>18</v>
      </c>
      <c r="T1011">
        <v>3</v>
      </c>
      <c r="U1011">
        <v>4</v>
      </c>
      <c r="V1011">
        <v>2</v>
      </c>
      <c r="W1011">
        <v>0</v>
      </c>
      <c r="X1011">
        <v>2</v>
      </c>
      <c r="Y1011">
        <f>IF(HR_data[[#This Row],[Attrition]]= "Yes",1,0)</f>
        <v>0</v>
      </c>
    </row>
    <row r="1012" spans="1:25">
      <c r="A1012">
        <v>1011</v>
      </c>
      <c r="B1012" t="s">
        <v>33</v>
      </c>
      <c r="C1012" t="s">
        <v>34</v>
      </c>
      <c r="D1012" t="s">
        <v>26</v>
      </c>
      <c r="E1012" t="s">
        <v>36</v>
      </c>
      <c r="F1012" t="s">
        <v>45</v>
      </c>
      <c r="G1012">
        <v>1</v>
      </c>
      <c r="H1012" t="s">
        <v>29</v>
      </c>
      <c r="I1012" t="s">
        <v>42</v>
      </c>
      <c r="J1012" t="s">
        <v>39</v>
      </c>
      <c r="K1012" t="s">
        <v>33</v>
      </c>
      <c r="L1012">
        <v>38</v>
      </c>
      <c r="M1012">
        <v>2</v>
      </c>
      <c r="N1012" t="s">
        <v>32</v>
      </c>
      <c r="O1012">
        <v>3</v>
      </c>
      <c r="P1012">
        <v>1</v>
      </c>
      <c r="Q1012">
        <v>2</v>
      </c>
      <c r="R1012">
        <v>2468</v>
      </c>
      <c r="S1012">
        <v>9</v>
      </c>
      <c r="T1012">
        <v>2</v>
      </c>
      <c r="U1012">
        <v>6</v>
      </c>
      <c r="V1012">
        <v>1</v>
      </c>
      <c r="W1012">
        <v>0</v>
      </c>
      <c r="X1012">
        <v>5</v>
      </c>
      <c r="Y1012">
        <f>IF(HR_data[[#This Row],[Attrition]]= "Yes",1,0)</f>
        <v>0</v>
      </c>
    </row>
    <row r="1013" spans="1:25">
      <c r="A1013">
        <v>1012</v>
      </c>
      <c r="B1013" t="s">
        <v>33</v>
      </c>
      <c r="C1013" t="s">
        <v>34</v>
      </c>
      <c r="D1013" t="s">
        <v>43</v>
      </c>
      <c r="E1013" t="s">
        <v>36</v>
      </c>
      <c r="F1013" t="s">
        <v>28</v>
      </c>
      <c r="G1013">
        <v>1</v>
      </c>
      <c r="H1013" t="s">
        <v>29</v>
      </c>
      <c r="I1013" t="s">
        <v>38</v>
      </c>
      <c r="J1013" t="s">
        <v>39</v>
      </c>
      <c r="K1013" t="s">
        <v>33</v>
      </c>
      <c r="L1013">
        <v>27</v>
      </c>
      <c r="M1013">
        <v>15</v>
      </c>
      <c r="N1013" t="s">
        <v>47</v>
      </c>
      <c r="O1013">
        <v>4</v>
      </c>
      <c r="P1013">
        <v>1</v>
      </c>
      <c r="Q1013">
        <v>1</v>
      </c>
      <c r="R1013">
        <v>4774</v>
      </c>
      <c r="S1013">
        <v>8</v>
      </c>
      <c r="T1013">
        <v>2</v>
      </c>
      <c r="U1013">
        <v>7</v>
      </c>
      <c r="V1013">
        <v>6</v>
      </c>
      <c r="W1013">
        <v>7</v>
      </c>
      <c r="X1013">
        <v>3</v>
      </c>
      <c r="Y1013">
        <f>IF(HR_data[[#This Row],[Attrition]]= "Yes",1,0)</f>
        <v>0</v>
      </c>
    </row>
    <row r="1014" spans="1:25">
      <c r="A1014">
        <v>1013</v>
      </c>
      <c r="B1014" t="s">
        <v>33</v>
      </c>
      <c r="C1014" t="s">
        <v>34</v>
      </c>
      <c r="D1014" t="s">
        <v>26</v>
      </c>
      <c r="E1014" t="s">
        <v>36</v>
      </c>
      <c r="F1014" t="s">
        <v>57</v>
      </c>
      <c r="G1014">
        <v>1</v>
      </c>
      <c r="H1014" t="s">
        <v>29</v>
      </c>
      <c r="I1014" t="s">
        <v>42</v>
      </c>
      <c r="J1014" t="s">
        <v>39</v>
      </c>
      <c r="K1014" t="s">
        <v>33</v>
      </c>
      <c r="L1014">
        <v>40</v>
      </c>
      <c r="M1014">
        <v>11</v>
      </c>
      <c r="N1014" t="s">
        <v>47</v>
      </c>
      <c r="O1014">
        <v>4</v>
      </c>
      <c r="P1014">
        <v>2</v>
      </c>
      <c r="Q1014">
        <v>3</v>
      </c>
      <c r="R1014">
        <v>6323</v>
      </c>
      <c r="S1014">
        <v>10</v>
      </c>
      <c r="T1014">
        <v>4</v>
      </c>
      <c r="U1014">
        <v>10</v>
      </c>
      <c r="V1014">
        <v>9</v>
      </c>
      <c r="W1014">
        <v>9</v>
      </c>
      <c r="X1014">
        <v>4</v>
      </c>
      <c r="Y1014">
        <f>IF(HR_data[[#This Row],[Attrition]]= "Yes",1,0)</f>
        <v>0</v>
      </c>
    </row>
    <row r="1015" spans="1:25">
      <c r="A1015">
        <v>1014</v>
      </c>
      <c r="B1015" t="s">
        <v>33</v>
      </c>
      <c r="C1015" t="s">
        <v>34</v>
      </c>
      <c r="D1015" t="s">
        <v>43</v>
      </c>
      <c r="E1015" t="s">
        <v>36</v>
      </c>
      <c r="F1015" t="s">
        <v>28</v>
      </c>
      <c r="G1015">
        <v>1</v>
      </c>
      <c r="H1015" t="s">
        <v>29</v>
      </c>
      <c r="I1015" t="s">
        <v>42</v>
      </c>
      <c r="J1015" t="s">
        <v>39</v>
      </c>
      <c r="K1015" t="s">
        <v>33</v>
      </c>
      <c r="L1015">
        <v>29</v>
      </c>
      <c r="M1015">
        <v>2</v>
      </c>
      <c r="N1015" t="s">
        <v>40</v>
      </c>
      <c r="O1015">
        <v>4</v>
      </c>
      <c r="P1015">
        <v>1</v>
      </c>
      <c r="Q1015">
        <v>2</v>
      </c>
      <c r="R1015">
        <v>3180</v>
      </c>
      <c r="S1015">
        <v>4</v>
      </c>
      <c r="T1015">
        <v>3</v>
      </c>
      <c r="U1015">
        <v>3</v>
      </c>
      <c r="V1015">
        <v>2</v>
      </c>
      <c r="W1015">
        <v>0</v>
      </c>
      <c r="X1015">
        <v>2</v>
      </c>
      <c r="Y1015">
        <f>IF(HR_data[[#This Row],[Attrition]]= "Yes",1,0)</f>
        <v>0</v>
      </c>
    </row>
    <row r="1016" spans="1:25">
      <c r="A1016">
        <v>1015</v>
      </c>
      <c r="B1016" t="s">
        <v>33</v>
      </c>
      <c r="C1016" t="s">
        <v>34</v>
      </c>
      <c r="D1016" t="s">
        <v>26</v>
      </c>
      <c r="E1016" t="s">
        <v>36</v>
      </c>
      <c r="F1016" t="s">
        <v>45</v>
      </c>
      <c r="G1016">
        <v>1</v>
      </c>
      <c r="H1016" t="s">
        <v>29</v>
      </c>
      <c r="I1016" t="s">
        <v>49</v>
      </c>
      <c r="J1016" t="s">
        <v>31</v>
      </c>
      <c r="K1016" t="s">
        <v>33</v>
      </c>
      <c r="L1016">
        <v>39</v>
      </c>
      <c r="M1016">
        <v>4</v>
      </c>
      <c r="N1016" t="s">
        <v>47</v>
      </c>
      <c r="O1016">
        <v>1</v>
      </c>
      <c r="P1016">
        <v>2</v>
      </c>
      <c r="Q1016">
        <v>3</v>
      </c>
      <c r="R1016">
        <v>5042</v>
      </c>
      <c r="S1016">
        <v>10</v>
      </c>
      <c r="T1016">
        <v>1</v>
      </c>
      <c r="U1016">
        <v>9</v>
      </c>
      <c r="V1016">
        <v>2</v>
      </c>
      <c r="W1016">
        <v>3</v>
      </c>
      <c r="X1016">
        <v>8</v>
      </c>
      <c r="Y1016">
        <f>IF(HR_data[[#This Row],[Attrition]]= "Yes",1,0)</f>
        <v>0</v>
      </c>
    </row>
    <row r="1017" spans="1:25">
      <c r="A1017">
        <v>1016</v>
      </c>
      <c r="B1017" t="s">
        <v>33</v>
      </c>
      <c r="C1017" t="s">
        <v>34</v>
      </c>
      <c r="D1017" t="s">
        <v>26</v>
      </c>
      <c r="E1017" t="s">
        <v>36</v>
      </c>
      <c r="F1017" t="s">
        <v>45</v>
      </c>
      <c r="G1017">
        <v>1</v>
      </c>
      <c r="H1017" t="s">
        <v>29</v>
      </c>
      <c r="I1017" t="s">
        <v>42</v>
      </c>
      <c r="J1017" t="s">
        <v>31</v>
      </c>
      <c r="K1017" t="s">
        <v>33</v>
      </c>
      <c r="L1017">
        <v>42</v>
      </c>
      <c r="M1017">
        <v>9</v>
      </c>
      <c r="N1017" t="s">
        <v>32</v>
      </c>
      <c r="O1017">
        <v>1</v>
      </c>
      <c r="P1017">
        <v>1</v>
      </c>
      <c r="Q1017">
        <v>4</v>
      </c>
      <c r="R1017">
        <v>3673</v>
      </c>
      <c r="S1017">
        <v>12</v>
      </c>
      <c r="T1017">
        <v>3</v>
      </c>
      <c r="U1017">
        <v>12</v>
      </c>
      <c r="V1017">
        <v>9</v>
      </c>
      <c r="W1017">
        <v>5</v>
      </c>
      <c r="X1017">
        <v>8</v>
      </c>
      <c r="Y1017">
        <f>IF(HR_data[[#This Row],[Attrition]]= "Yes",1,0)</f>
        <v>0</v>
      </c>
    </row>
    <row r="1018" spans="1:25">
      <c r="A1018">
        <v>1017</v>
      </c>
      <c r="B1018" t="s">
        <v>33</v>
      </c>
      <c r="C1018" t="s">
        <v>34</v>
      </c>
      <c r="D1018" t="s">
        <v>43</v>
      </c>
      <c r="E1018" t="s">
        <v>36</v>
      </c>
      <c r="F1018" t="s">
        <v>57</v>
      </c>
      <c r="G1018">
        <v>1</v>
      </c>
      <c r="H1018" t="s">
        <v>29</v>
      </c>
      <c r="I1018" t="s">
        <v>38</v>
      </c>
      <c r="J1018" t="s">
        <v>31</v>
      </c>
      <c r="K1018" t="s">
        <v>33</v>
      </c>
      <c r="L1018">
        <v>30</v>
      </c>
      <c r="M1018">
        <v>2</v>
      </c>
      <c r="N1018" t="s">
        <v>44</v>
      </c>
      <c r="O1018">
        <v>4</v>
      </c>
      <c r="P1018">
        <v>1</v>
      </c>
      <c r="Q1018">
        <v>1</v>
      </c>
      <c r="R1018">
        <v>4968</v>
      </c>
      <c r="S1018">
        <v>10</v>
      </c>
      <c r="T1018">
        <v>3</v>
      </c>
      <c r="U1018">
        <v>9</v>
      </c>
      <c r="V1018">
        <v>7</v>
      </c>
      <c r="W1018">
        <v>0</v>
      </c>
      <c r="X1018">
        <v>7</v>
      </c>
      <c r="Y1018">
        <f>IF(HR_data[[#This Row],[Attrition]]= "Yes",1,0)</f>
        <v>0</v>
      </c>
    </row>
    <row r="1019" spans="1:25">
      <c r="A1019">
        <v>1018</v>
      </c>
      <c r="B1019" t="s">
        <v>33</v>
      </c>
      <c r="C1019" t="s">
        <v>34</v>
      </c>
      <c r="D1019" t="s">
        <v>26</v>
      </c>
      <c r="E1019" t="s">
        <v>27</v>
      </c>
      <c r="F1019" t="s">
        <v>56</v>
      </c>
      <c r="G1019">
        <v>1</v>
      </c>
      <c r="H1019" t="s">
        <v>29</v>
      </c>
      <c r="I1019" t="s">
        <v>30</v>
      </c>
      <c r="J1019" t="s">
        <v>39</v>
      </c>
      <c r="K1019" t="s">
        <v>33</v>
      </c>
      <c r="L1019">
        <v>44</v>
      </c>
      <c r="M1019">
        <v>1</v>
      </c>
      <c r="N1019" t="s">
        <v>58</v>
      </c>
      <c r="O1019">
        <v>1</v>
      </c>
      <c r="P1019">
        <v>2</v>
      </c>
      <c r="Q1019">
        <v>3</v>
      </c>
      <c r="R1019">
        <v>4768</v>
      </c>
      <c r="S1019">
        <v>11</v>
      </c>
      <c r="T1019">
        <v>2</v>
      </c>
      <c r="U1019">
        <v>1</v>
      </c>
      <c r="V1019">
        <v>0</v>
      </c>
      <c r="W1019">
        <v>0</v>
      </c>
      <c r="X1019">
        <v>0</v>
      </c>
      <c r="Y1019">
        <f>IF(HR_data[[#This Row],[Attrition]]= "Yes",1,0)</f>
        <v>0</v>
      </c>
    </row>
    <row r="1020" spans="1:25">
      <c r="A1020">
        <v>1019</v>
      </c>
      <c r="B1020" t="s">
        <v>33</v>
      </c>
      <c r="C1020" t="s">
        <v>34</v>
      </c>
      <c r="D1020" t="s">
        <v>43</v>
      </c>
      <c r="E1020" t="s">
        <v>27</v>
      </c>
      <c r="F1020" t="s">
        <v>56</v>
      </c>
      <c r="G1020">
        <v>1</v>
      </c>
      <c r="H1020" t="s">
        <v>29</v>
      </c>
      <c r="I1020" t="s">
        <v>30</v>
      </c>
      <c r="J1020" t="s">
        <v>39</v>
      </c>
      <c r="K1020" t="s">
        <v>33</v>
      </c>
      <c r="L1020">
        <v>31</v>
      </c>
      <c r="M1020">
        <v>7</v>
      </c>
      <c r="N1020" t="s">
        <v>44</v>
      </c>
      <c r="O1020">
        <v>1</v>
      </c>
      <c r="P1020">
        <v>3</v>
      </c>
      <c r="Q1020">
        <v>1</v>
      </c>
      <c r="R1020">
        <v>9637</v>
      </c>
      <c r="S1020">
        <v>9</v>
      </c>
      <c r="T1020">
        <v>3</v>
      </c>
      <c r="U1020">
        <v>3</v>
      </c>
      <c r="V1020">
        <v>2</v>
      </c>
      <c r="W1020">
        <v>2</v>
      </c>
      <c r="X1020">
        <v>2</v>
      </c>
      <c r="Y1020">
        <f>IF(HR_data[[#This Row],[Attrition]]= "Yes",1,0)</f>
        <v>0</v>
      </c>
    </row>
    <row r="1021" spans="1:25">
      <c r="A1021">
        <v>1020</v>
      </c>
      <c r="B1021" t="s">
        <v>33</v>
      </c>
      <c r="C1021" t="s">
        <v>25</v>
      </c>
      <c r="D1021" t="s">
        <v>43</v>
      </c>
      <c r="E1021" t="s">
        <v>59</v>
      </c>
      <c r="F1021" t="s">
        <v>60</v>
      </c>
      <c r="G1021">
        <v>1</v>
      </c>
      <c r="H1021" t="s">
        <v>29</v>
      </c>
      <c r="I1021" t="s">
        <v>60</v>
      </c>
      <c r="J1021" t="s">
        <v>39</v>
      </c>
      <c r="K1021" t="s">
        <v>33</v>
      </c>
      <c r="L1021">
        <v>25</v>
      </c>
      <c r="M1021">
        <v>2</v>
      </c>
      <c r="N1021" t="s">
        <v>47</v>
      </c>
      <c r="O1021">
        <v>3</v>
      </c>
      <c r="P1021">
        <v>1</v>
      </c>
      <c r="Q1021">
        <v>2</v>
      </c>
      <c r="R1021">
        <v>2187</v>
      </c>
      <c r="S1021">
        <v>6</v>
      </c>
      <c r="T1021">
        <v>3</v>
      </c>
      <c r="U1021">
        <v>2</v>
      </c>
      <c r="V1021">
        <v>0</v>
      </c>
      <c r="W1021">
        <v>1</v>
      </c>
      <c r="X1021">
        <v>2</v>
      </c>
      <c r="Y1021">
        <f>IF(HR_data[[#This Row],[Attrition]]= "Yes",1,0)</f>
        <v>0</v>
      </c>
    </row>
    <row r="1022" spans="1:25">
      <c r="A1022">
        <v>1021</v>
      </c>
      <c r="B1022" t="s">
        <v>33</v>
      </c>
      <c r="C1022" t="s">
        <v>25</v>
      </c>
      <c r="D1022" t="s">
        <v>35</v>
      </c>
      <c r="E1022" t="s">
        <v>59</v>
      </c>
      <c r="F1022" t="s">
        <v>28</v>
      </c>
      <c r="G1022">
        <v>1</v>
      </c>
      <c r="H1022" t="s">
        <v>29</v>
      </c>
      <c r="I1022" t="s">
        <v>53</v>
      </c>
      <c r="J1022" t="s">
        <v>39</v>
      </c>
      <c r="K1022" t="s">
        <v>33</v>
      </c>
      <c r="L1022">
        <v>47</v>
      </c>
      <c r="M1022">
        <v>26</v>
      </c>
      <c r="N1022" t="s">
        <v>44</v>
      </c>
      <c r="O1022">
        <v>4</v>
      </c>
      <c r="P1022">
        <v>5</v>
      </c>
      <c r="Q1022">
        <v>3</v>
      </c>
      <c r="R1022">
        <v>19658</v>
      </c>
      <c r="S1022">
        <v>27</v>
      </c>
      <c r="T1022">
        <v>3</v>
      </c>
      <c r="U1022">
        <v>5</v>
      </c>
      <c r="V1022">
        <v>2</v>
      </c>
      <c r="W1022">
        <v>1</v>
      </c>
      <c r="X1022">
        <v>0</v>
      </c>
      <c r="Y1022">
        <f>IF(HR_data[[#This Row],[Attrition]]= "Yes",1,0)</f>
        <v>0</v>
      </c>
    </row>
    <row r="1023" spans="1:25">
      <c r="A1023">
        <v>1022</v>
      </c>
      <c r="B1023" t="s">
        <v>33</v>
      </c>
      <c r="C1023" t="s">
        <v>25</v>
      </c>
      <c r="D1023" t="s">
        <v>43</v>
      </c>
      <c r="E1023" t="s">
        <v>59</v>
      </c>
      <c r="F1023" t="s">
        <v>45</v>
      </c>
      <c r="G1023">
        <v>1</v>
      </c>
      <c r="H1023" t="s">
        <v>29</v>
      </c>
      <c r="I1023" t="s">
        <v>60</v>
      </c>
      <c r="J1023" t="s">
        <v>31</v>
      </c>
      <c r="K1023" t="s">
        <v>33</v>
      </c>
      <c r="L1023">
        <v>31</v>
      </c>
      <c r="M1023">
        <v>8</v>
      </c>
      <c r="N1023" t="s">
        <v>32</v>
      </c>
      <c r="O1023">
        <v>4</v>
      </c>
      <c r="P1023">
        <v>1</v>
      </c>
      <c r="Q1023">
        <v>2</v>
      </c>
      <c r="R1023">
        <v>2109</v>
      </c>
      <c r="S1023">
        <v>8</v>
      </c>
      <c r="T1023">
        <v>3</v>
      </c>
      <c r="U1023">
        <v>3</v>
      </c>
      <c r="V1023">
        <v>2</v>
      </c>
      <c r="W1023">
        <v>0</v>
      </c>
      <c r="X1023">
        <v>2</v>
      </c>
      <c r="Y1023">
        <f>IF(HR_data[[#This Row],[Attrition]]= "Yes",1,0)</f>
        <v>0</v>
      </c>
    </row>
    <row r="1024" spans="1:25">
      <c r="A1024">
        <v>1023</v>
      </c>
      <c r="B1024" t="s">
        <v>33</v>
      </c>
      <c r="C1024" t="s">
        <v>25</v>
      </c>
      <c r="D1024" t="s">
        <v>43</v>
      </c>
      <c r="E1024" t="s">
        <v>36</v>
      </c>
      <c r="F1024" t="s">
        <v>45</v>
      </c>
      <c r="G1024">
        <v>1</v>
      </c>
      <c r="H1024" t="s">
        <v>29</v>
      </c>
      <c r="I1024" t="s">
        <v>42</v>
      </c>
      <c r="J1024" t="s">
        <v>48</v>
      </c>
      <c r="K1024" t="s">
        <v>33</v>
      </c>
      <c r="L1024">
        <v>31</v>
      </c>
      <c r="M1024">
        <v>4</v>
      </c>
      <c r="N1024" t="s">
        <v>47</v>
      </c>
      <c r="O1024">
        <v>1</v>
      </c>
      <c r="P1024">
        <v>1</v>
      </c>
      <c r="Q1024">
        <v>3</v>
      </c>
      <c r="R1024">
        <v>3978</v>
      </c>
      <c r="S1024">
        <v>4</v>
      </c>
      <c r="T1024">
        <v>2</v>
      </c>
      <c r="U1024">
        <v>2</v>
      </c>
      <c r="V1024">
        <v>2</v>
      </c>
      <c r="W1024">
        <v>2</v>
      </c>
      <c r="X1024">
        <v>2</v>
      </c>
      <c r="Y1024">
        <f>IF(HR_data[[#This Row],[Attrition]]= "Yes",1,0)</f>
        <v>0</v>
      </c>
    </row>
    <row r="1025" spans="1:25">
      <c r="A1025">
        <v>1024</v>
      </c>
      <c r="B1025" t="s">
        <v>33</v>
      </c>
      <c r="C1025" t="s">
        <v>25</v>
      </c>
      <c r="D1025" t="s">
        <v>26</v>
      </c>
      <c r="E1025" t="s">
        <v>36</v>
      </c>
      <c r="F1025" t="s">
        <v>28</v>
      </c>
      <c r="G1025">
        <v>1</v>
      </c>
      <c r="H1025" t="s">
        <v>29</v>
      </c>
      <c r="I1025" t="s">
        <v>50</v>
      </c>
      <c r="J1025" t="s">
        <v>48</v>
      </c>
      <c r="K1025" t="s">
        <v>33</v>
      </c>
      <c r="L1025">
        <v>40</v>
      </c>
      <c r="M1025">
        <v>12</v>
      </c>
      <c r="N1025" t="s">
        <v>47</v>
      </c>
      <c r="O1025">
        <v>2</v>
      </c>
      <c r="P1025">
        <v>2</v>
      </c>
      <c r="Q1025">
        <v>1</v>
      </c>
      <c r="R1025">
        <v>4448</v>
      </c>
      <c r="S1025">
        <v>15</v>
      </c>
      <c r="T1025">
        <v>3</v>
      </c>
      <c r="U1025">
        <v>7</v>
      </c>
      <c r="V1025">
        <v>4</v>
      </c>
      <c r="W1025">
        <v>7</v>
      </c>
      <c r="X1025">
        <v>7</v>
      </c>
      <c r="Y1025">
        <f>IF(HR_data[[#This Row],[Attrition]]= "Yes",1,0)</f>
        <v>0</v>
      </c>
    </row>
    <row r="1026" spans="1:25">
      <c r="A1026">
        <v>1025</v>
      </c>
      <c r="B1026" t="s">
        <v>33</v>
      </c>
      <c r="C1026" t="s">
        <v>25</v>
      </c>
      <c r="D1026" t="s">
        <v>26</v>
      </c>
      <c r="E1026" t="s">
        <v>36</v>
      </c>
      <c r="F1026" t="s">
        <v>28</v>
      </c>
      <c r="G1026">
        <v>1</v>
      </c>
      <c r="H1026" t="s">
        <v>29</v>
      </c>
      <c r="I1026" t="s">
        <v>50</v>
      </c>
      <c r="J1026" t="s">
        <v>48</v>
      </c>
      <c r="K1026" t="s">
        <v>33</v>
      </c>
      <c r="L1026">
        <v>40</v>
      </c>
      <c r="M1026">
        <v>1</v>
      </c>
      <c r="N1026" t="s">
        <v>47</v>
      </c>
      <c r="O1026">
        <v>3</v>
      </c>
      <c r="P1026">
        <v>2</v>
      </c>
      <c r="Q1026">
        <v>4</v>
      </c>
      <c r="R1026">
        <v>6513</v>
      </c>
      <c r="S1026">
        <v>12</v>
      </c>
      <c r="T1026">
        <v>3</v>
      </c>
      <c r="U1026">
        <v>5</v>
      </c>
      <c r="V1026">
        <v>3</v>
      </c>
      <c r="W1026">
        <v>0</v>
      </c>
      <c r="X1026">
        <v>3</v>
      </c>
      <c r="Y1026">
        <f>IF(HR_data[[#This Row],[Attrition]]= "Yes",1,0)</f>
        <v>0</v>
      </c>
    </row>
    <row r="1027" spans="1:25">
      <c r="A1027">
        <v>1026</v>
      </c>
      <c r="B1027" t="s">
        <v>33</v>
      </c>
      <c r="C1027" t="s">
        <v>25</v>
      </c>
      <c r="D1027" t="s">
        <v>43</v>
      </c>
      <c r="E1027" t="s">
        <v>36</v>
      </c>
      <c r="F1027" t="s">
        <v>57</v>
      </c>
      <c r="G1027">
        <v>1</v>
      </c>
      <c r="H1027" t="s">
        <v>29</v>
      </c>
      <c r="I1027" t="s">
        <v>38</v>
      </c>
      <c r="J1027" t="s">
        <v>48</v>
      </c>
      <c r="K1027" t="s">
        <v>33</v>
      </c>
      <c r="L1027">
        <v>29</v>
      </c>
      <c r="M1027">
        <v>4</v>
      </c>
      <c r="N1027" t="s">
        <v>47</v>
      </c>
      <c r="O1027">
        <v>4</v>
      </c>
      <c r="P1027">
        <v>1</v>
      </c>
      <c r="Q1027">
        <v>1</v>
      </c>
      <c r="R1027">
        <v>2109</v>
      </c>
      <c r="S1027">
        <v>1</v>
      </c>
      <c r="T1027">
        <v>3</v>
      </c>
      <c r="U1027">
        <v>1</v>
      </c>
      <c r="V1027">
        <v>0</v>
      </c>
      <c r="W1027">
        <v>0</v>
      </c>
      <c r="X1027">
        <v>0</v>
      </c>
      <c r="Y1027">
        <f>IF(HR_data[[#This Row],[Attrition]]= "Yes",1,0)</f>
        <v>0</v>
      </c>
    </row>
    <row r="1028" spans="1:25">
      <c r="A1028">
        <v>1027</v>
      </c>
      <c r="B1028" t="s">
        <v>33</v>
      </c>
      <c r="C1028" t="s">
        <v>25</v>
      </c>
      <c r="D1028" t="s">
        <v>43</v>
      </c>
      <c r="E1028" t="s">
        <v>36</v>
      </c>
      <c r="F1028" t="s">
        <v>28</v>
      </c>
      <c r="G1028">
        <v>1</v>
      </c>
      <c r="H1028" t="s">
        <v>29</v>
      </c>
      <c r="I1028" t="s">
        <v>38</v>
      </c>
      <c r="J1028" t="s">
        <v>48</v>
      </c>
      <c r="K1028" t="s">
        <v>33</v>
      </c>
      <c r="L1028">
        <v>34</v>
      </c>
      <c r="M1028">
        <v>3</v>
      </c>
      <c r="N1028" t="s">
        <v>47</v>
      </c>
      <c r="O1028">
        <v>4</v>
      </c>
      <c r="P1028">
        <v>2</v>
      </c>
      <c r="Q1028">
        <v>2</v>
      </c>
      <c r="R1028">
        <v>5433</v>
      </c>
      <c r="S1028">
        <v>11</v>
      </c>
      <c r="T1028">
        <v>3</v>
      </c>
      <c r="U1028">
        <v>11</v>
      </c>
      <c r="V1028">
        <v>8</v>
      </c>
      <c r="W1028">
        <v>7</v>
      </c>
      <c r="X1028">
        <v>9</v>
      </c>
      <c r="Y1028">
        <f>IF(HR_data[[#This Row],[Attrition]]= "Yes",1,0)</f>
        <v>0</v>
      </c>
    </row>
    <row r="1029" spans="1:25">
      <c r="A1029">
        <v>1028</v>
      </c>
      <c r="B1029" t="s">
        <v>33</v>
      </c>
      <c r="C1029" t="s">
        <v>25</v>
      </c>
      <c r="D1029" t="s">
        <v>35</v>
      </c>
      <c r="E1029" t="s">
        <v>36</v>
      </c>
      <c r="F1029" t="s">
        <v>41</v>
      </c>
      <c r="G1029">
        <v>1</v>
      </c>
      <c r="H1029" t="s">
        <v>29</v>
      </c>
      <c r="I1029" t="s">
        <v>49</v>
      </c>
      <c r="J1029" t="s">
        <v>48</v>
      </c>
      <c r="K1029" t="s">
        <v>33</v>
      </c>
      <c r="L1029">
        <v>45</v>
      </c>
      <c r="M1029">
        <v>2</v>
      </c>
      <c r="N1029" t="s">
        <v>32</v>
      </c>
      <c r="O1029">
        <v>4</v>
      </c>
      <c r="P1029">
        <v>2</v>
      </c>
      <c r="Q1029">
        <v>4</v>
      </c>
      <c r="R1029">
        <v>5770</v>
      </c>
      <c r="S1029">
        <v>10</v>
      </c>
      <c r="T1029">
        <v>3</v>
      </c>
      <c r="U1029">
        <v>10</v>
      </c>
      <c r="V1029">
        <v>7</v>
      </c>
      <c r="W1029">
        <v>3</v>
      </c>
      <c r="X1029">
        <v>9</v>
      </c>
      <c r="Y1029">
        <f>IF(HR_data[[#This Row],[Attrition]]= "Yes",1,0)</f>
        <v>0</v>
      </c>
    </row>
    <row r="1030" spans="1:25">
      <c r="A1030">
        <v>1029</v>
      </c>
      <c r="B1030" t="s">
        <v>33</v>
      </c>
      <c r="C1030" t="s">
        <v>25</v>
      </c>
      <c r="D1030" t="s">
        <v>35</v>
      </c>
      <c r="E1030" t="s">
        <v>36</v>
      </c>
      <c r="F1030" t="s">
        <v>28</v>
      </c>
      <c r="G1030">
        <v>1</v>
      </c>
      <c r="H1030" t="s">
        <v>29</v>
      </c>
      <c r="I1030" t="s">
        <v>55</v>
      </c>
      <c r="J1030" t="s">
        <v>48</v>
      </c>
      <c r="K1030" t="s">
        <v>33</v>
      </c>
      <c r="L1030">
        <v>50</v>
      </c>
      <c r="M1030">
        <v>17</v>
      </c>
      <c r="N1030" t="s">
        <v>58</v>
      </c>
      <c r="O1030">
        <v>4</v>
      </c>
      <c r="P1030">
        <v>3</v>
      </c>
      <c r="Q1030">
        <v>1</v>
      </c>
      <c r="R1030">
        <v>13269</v>
      </c>
      <c r="S1030">
        <v>19</v>
      </c>
      <c r="T1030">
        <v>3</v>
      </c>
      <c r="U1030">
        <v>14</v>
      </c>
      <c r="V1030">
        <v>11</v>
      </c>
      <c r="W1030">
        <v>1</v>
      </c>
      <c r="X1030">
        <v>11</v>
      </c>
      <c r="Y1030">
        <f>IF(HR_data[[#This Row],[Attrition]]= "Yes",1,0)</f>
        <v>0</v>
      </c>
    </row>
    <row r="1031" spans="1:25">
      <c r="A1031">
        <v>1030</v>
      </c>
      <c r="B1031" t="s">
        <v>33</v>
      </c>
      <c r="C1031" t="s">
        <v>25</v>
      </c>
      <c r="D1031" t="s">
        <v>43</v>
      </c>
      <c r="E1031" t="s">
        <v>36</v>
      </c>
      <c r="F1031" t="s">
        <v>45</v>
      </c>
      <c r="G1031">
        <v>1</v>
      </c>
      <c r="H1031" t="s">
        <v>29</v>
      </c>
      <c r="I1031" t="s">
        <v>42</v>
      </c>
      <c r="J1031" t="s">
        <v>39</v>
      </c>
      <c r="K1031" t="s">
        <v>33</v>
      </c>
      <c r="L1031">
        <v>33</v>
      </c>
      <c r="M1031">
        <v>4</v>
      </c>
      <c r="N1031" t="s">
        <v>44</v>
      </c>
      <c r="O1031">
        <v>1</v>
      </c>
      <c r="P1031">
        <v>1</v>
      </c>
      <c r="Q1031">
        <v>2</v>
      </c>
      <c r="R1031">
        <v>3838</v>
      </c>
      <c r="S1031">
        <v>8</v>
      </c>
      <c r="T1031">
        <v>3</v>
      </c>
      <c r="U1031">
        <v>5</v>
      </c>
      <c r="V1031">
        <v>4</v>
      </c>
      <c r="W1031">
        <v>0</v>
      </c>
      <c r="X1031">
        <v>2</v>
      </c>
      <c r="Y1031">
        <f>IF(HR_data[[#This Row],[Attrition]]= "Yes",1,0)</f>
        <v>0</v>
      </c>
    </row>
    <row r="1032" spans="1:25">
      <c r="A1032">
        <v>1031</v>
      </c>
      <c r="B1032" t="s">
        <v>33</v>
      </c>
      <c r="C1032" t="s">
        <v>25</v>
      </c>
      <c r="D1032" t="s">
        <v>26</v>
      </c>
      <c r="E1032" t="s">
        <v>36</v>
      </c>
      <c r="F1032" t="s">
        <v>45</v>
      </c>
      <c r="G1032">
        <v>1</v>
      </c>
      <c r="H1032" t="s">
        <v>29</v>
      </c>
      <c r="I1032" t="s">
        <v>53</v>
      </c>
      <c r="J1032" t="s">
        <v>39</v>
      </c>
      <c r="K1032" t="s">
        <v>33</v>
      </c>
      <c r="L1032">
        <v>43</v>
      </c>
      <c r="M1032">
        <v>6</v>
      </c>
      <c r="N1032" t="s">
        <v>47</v>
      </c>
      <c r="O1032">
        <v>1</v>
      </c>
      <c r="P1032">
        <v>5</v>
      </c>
      <c r="Q1032">
        <v>3</v>
      </c>
      <c r="R1032">
        <v>19392</v>
      </c>
      <c r="S1032">
        <v>21</v>
      </c>
      <c r="T1032">
        <v>3</v>
      </c>
      <c r="U1032">
        <v>16</v>
      </c>
      <c r="V1032">
        <v>12</v>
      </c>
      <c r="W1032">
        <v>6</v>
      </c>
      <c r="X1032">
        <v>14</v>
      </c>
      <c r="Y1032">
        <f>IF(HR_data[[#This Row],[Attrition]]= "Yes",1,0)</f>
        <v>0</v>
      </c>
    </row>
    <row r="1033" spans="1:25">
      <c r="A1033">
        <v>1032</v>
      </c>
      <c r="B1033" t="s">
        <v>33</v>
      </c>
      <c r="C1033" t="s">
        <v>25</v>
      </c>
      <c r="D1033" t="s">
        <v>35</v>
      </c>
      <c r="E1033" t="s">
        <v>36</v>
      </c>
      <c r="F1033" t="s">
        <v>57</v>
      </c>
      <c r="G1033">
        <v>1</v>
      </c>
      <c r="H1033" t="s">
        <v>29</v>
      </c>
      <c r="I1033" t="s">
        <v>53</v>
      </c>
      <c r="J1033" t="s">
        <v>39</v>
      </c>
      <c r="K1033" t="s">
        <v>33</v>
      </c>
      <c r="L1033">
        <v>51</v>
      </c>
      <c r="M1033">
        <v>3</v>
      </c>
      <c r="N1033" t="s">
        <v>47</v>
      </c>
      <c r="O1033">
        <v>1</v>
      </c>
      <c r="P1033">
        <v>3</v>
      </c>
      <c r="Q1033">
        <v>3</v>
      </c>
      <c r="R1033">
        <v>13116</v>
      </c>
      <c r="S1033">
        <v>15</v>
      </c>
      <c r="T1033">
        <v>3</v>
      </c>
      <c r="U1033">
        <v>2</v>
      </c>
      <c r="V1033">
        <v>2</v>
      </c>
      <c r="W1033">
        <v>2</v>
      </c>
      <c r="X1033">
        <v>2</v>
      </c>
      <c r="Y1033">
        <f>IF(HR_data[[#This Row],[Attrition]]= "Yes",1,0)</f>
        <v>0</v>
      </c>
    </row>
    <row r="1034" spans="1:25">
      <c r="A1034">
        <v>1033</v>
      </c>
      <c r="B1034" t="s">
        <v>33</v>
      </c>
      <c r="C1034" t="s">
        <v>25</v>
      </c>
      <c r="D1034" t="s">
        <v>43</v>
      </c>
      <c r="E1034" t="s">
        <v>36</v>
      </c>
      <c r="F1034" t="s">
        <v>28</v>
      </c>
      <c r="G1034">
        <v>1</v>
      </c>
      <c r="H1034" t="s">
        <v>29</v>
      </c>
      <c r="I1034" t="s">
        <v>38</v>
      </c>
      <c r="J1034" t="s">
        <v>39</v>
      </c>
      <c r="K1034" t="s">
        <v>33</v>
      </c>
      <c r="L1034">
        <v>34</v>
      </c>
      <c r="M1034">
        <v>19</v>
      </c>
      <c r="N1034" t="s">
        <v>47</v>
      </c>
      <c r="O1034">
        <v>2</v>
      </c>
      <c r="P1034">
        <v>1</v>
      </c>
      <c r="Q1034">
        <v>4</v>
      </c>
      <c r="R1034">
        <v>2929</v>
      </c>
      <c r="S1034">
        <v>10</v>
      </c>
      <c r="T1034">
        <v>3</v>
      </c>
      <c r="U1034">
        <v>10</v>
      </c>
      <c r="V1034">
        <v>9</v>
      </c>
      <c r="W1034">
        <v>8</v>
      </c>
      <c r="X1034">
        <v>7</v>
      </c>
      <c r="Y1034">
        <f>IF(HR_data[[#This Row],[Attrition]]= "Yes",1,0)</f>
        <v>0</v>
      </c>
    </row>
    <row r="1035" spans="1:25">
      <c r="A1035">
        <v>1034</v>
      </c>
      <c r="B1035" t="s">
        <v>33</v>
      </c>
      <c r="C1035" t="s">
        <v>25</v>
      </c>
      <c r="D1035" t="s">
        <v>43</v>
      </c>
      <c r="E1035" t="s">
        <v>36</v>
      </c>
      <c r="F1035" t="s">
        <v>45</v>
      </c>
      <c r="G1035">
        <v>1</v>
      </c>
      <c r="H1035" t="s">
        <v>29</v>
      </c>
      <c r="I1035" t="s">
        <v>38</v>
      </c>
      <c r="J1035" t="s">
        <v>39</v>
      </c>
      <c r="K1035" t="s">
        <v>33</v>
      </c>
      <c r="L1035">
        <v>27</v>
      </c>
      <c r="M1035">
        <v>8</v>
      </c>
      <c r="N1035" t="s">
        <v>47</v>
      </c>
      <c r="O1035">
        <v>2</v>
      </c>
      <c r="P1035">
        <v>1</v>
      </c>
      <c r="Q1035">
        <v>3</v>
      </c>
      <c r="R1035">
        <v>3517</v>
      </c>
      <c r="S1035">
        <v>5</v>
      </c>
      <c r="T1035">
        <v>3</v>
      </c>
      <c r="U1035">
        <v>3</v>
      </c>
      <c r="V1035">
        <v>2</v>
      </c>
      <c r="W1035">
        <v>0</v>
      </c>
      <c r="X1035">
        <v>2</v>
      </c>
      <c r="Y1035">
        <f>IF(HR_data[[#This Row],[Attrition]]= "Yes",1,0)</f>
        <v>0</v>
      </c>
    </row>
    <row r="1036" spans="1:25">
      <c r="A1036">
        <v>1035</v>
      </c>
      <c r="B1036" t="s">
        <v>33</v>
      </c>
      <c r="C1036" t="s">
        <v>25</v>
      </c>
      <c r="D1036" t="s">
        <v>35</v>
      </c>
      <c r="E1036" t="s">
        <v>36</v>
      </c>
      <c r="F1036" t="s">
        <v>41</v>
      </c>
      <c r="G1036">
        <v>1</v>
      </c>
      <c r="H1036" t="s">
        <v>29</v>
      </c>
      <c r="I1036" t="s">
        <v>42</v>
      </c>
      <c r="J1036" t="s">
        <v>39</v>
      </c>
      <c r="K1036" t="s">
        <v>33</v>
      </c>
      <c r="L1036">
        <v>52</v>
      </c>
      <c r="M1036">
        <v>8</v>
      </c>
      <c r="N1036" t="s">
        <v>44</v>
      </c>
      <c r="O1036">
        <v>3</v>
      </c>
      <c r="P1036">
        <v>1</v>
      </c>
      <c r="Q1036">
        <v>1</v>
      </c>
      <c r="R1036">
        <v>2950</v>
      </c>
      <c r="S1036">
        <v>12</v>
      </c>
      <c r="T1036">
        <v>1</v>
      </c>
      <c r="U1036">
        <v>5</v>
      </c>
      <c r="V1036">
        <v>4</v>
      </c>
      <c r="W1036">
        <v>0</v>
      </c>
      <c r="X1036">
        <v>4</v>
      </c>
      <c r="Y1036">
        <f>IF(HR_data[[#This Row],[Attrition]]= "Yes",1,0)</f>
        <v>0</v>
      </c>
    </row>
    <row r="1037" spans="1:25">
      <c r="A1037">
        <v>1036</v>
      </c>
      <c r="B1037" t="s">
        <v>33</v>
      </c>
      <c r="C1037" t="s">
        <v>25</v>
      </c>
      <c r="D1037" t="s">
        <v>26</v>
      </c>
      <c r="E1037" t="s">
        <v>36</v>
      </c>
      <c r="F1037" t="s">
        <v>45</v>
      </c>
      <c r="G1037">
        <v>1</v>
      </c>
      <c r="H1037" t="s">
        <v>29</v>
      </c>
      <c r="I1037" t="s">
        <v>55</v>
      </c>
      <c r="J1037" t="s">
        <v>39</v>
      </c>
      <c r="K1037" t="s">
        <v>33</v>
      </c>
      <c r="L1037">
        <v>38</v>
      </c>
      <c r="M1037">
        <v>10</v>
      </c>
      <c r="N1037" t="s">
        <v>47</v>
      </c>
      <c r="O1037">
        <v>2</v>
      </c>
      <c r="P1037">
        <v>3</v>
      </c>
      <c r="Q1037">
        <v>3</v>
      </c>
      <c r="R1037">
        <v>13206</v>
      </c>
      <c r="S1037">
        <v>20</v>
      </c>
      <c r="T1037">
        <v>3</v>
      </c>
      <c r="U1037">
        <v>18</v>
      </c>
      <c r="V1037">
        <v>16</v>
      </c>
      <c r="W1037">
        <v>1</v>
      </c>
      <c r="X1037">
        <v>11</v>
      </c>
      <c r="Y1037">
        <f>IF(HR_data[[#This Row],[Attrition]]= "Yes",1,0)</f>
        <v>0</v>
      </c>
    </row>
    <row r="1038" spans="1:25">
      <c r="A1038">
        <v>1037</v>
      </c>
      <c r="B1038" t="s">
        <v>33</v>
      </c>
      <c r="C1038" t="s">
        <v>25</v>
      </c>
      <c r="D1038" t="s">
        <v>26</v>
      </c>
      <c r="E1038" t="s">
        <v>36</v>
      </c>
      <c r="F1038" t="s">
        <v>45</v>
      </c>
      <c r="G1038">
        <v>1</v>
      </c>
      <c r="H1038" t="s">
        <v>29</v>
      </c>
      <c r="I1038" t="s">
        <v>38</v>
      </c>
      <c r="J1038" t="s">
        <v>39</v>
      </c>
      <c r="K1038" t="s">
        <v>33</v>
      </c>
      <c r="L1038">
        <v>37</v>
      </c>
      <c r="M1038">
        <v>10</v>
      </c>
      <c r="N1038" t="s">
        <v>47</v>
      </c>
      <c r="O1038">
        <v>2</v>
      </c>
      <c r="P1038">
        <v>1</v>
      </c>
      <c r="Q1038">
        <v>2</v>
      </c>
      <c r="R1038">
        <v>3936</v>
      </c>
      <c r="S1038">
        <v>8</v>
      </c>
      <c r="T1038">
        <v>1</v>
      </c>
      <c r="U1038">
        <v>8</v>
      </c>
      <c r="V1038">
        <v>4</v>
      </c>
      <c r="W1038">
        <v>7</v>
      </c>
      <c r="X1038">
        <v>7</v>
      </c>
      <c r="Y1038">
        <f>IF(HR_data[[#This Row],[Attrition]]= "Yes",1,0)</f>
        <v>0</v>
      </c>
    </row>
    <row r="1039" spans="1:25">
      <c r="A1039">
        <v>1038</v>
      </c>
      <c r="B1039" t="s">
        <v>33</v>
      </c>
      <c r="C1039" t="s">
        <v>25</v>
      </c>
      <c r="D1039" t="s">
        <v>43</v>
      </c>
      <c r="E1039" t="s">
        <v>36</v>
      </c>
      <c r="F1039" t="s">
        <v>41</v>
      </c>
      <c r="G1039">
        <v>1</v>
      </c>
      <c r="H1039" t="s">
        <v>29</v>
      </c>
      <c r="I1039" t="s">
        <v>50</v>
      </c>
      <c r="J1039" t="s">
        <v>39</v>
      </c>
      <c r="K1039" t="s">
        <v>33</v>
      </c>
      <c r="L1039">
        <v>29</v>
      </c>
      <c r="M1039">
        <v>8</v>
      </c>
      <c r="N1039" t="s">
        <v>40</v>
      </c>
      <c r="O1039">
        <v>3</v>
      </c>
      <c r="P1039">
        <v>2</v>
      </c>
      <c r="Q1039">
        <v>1</v>
      </c>
      <c r="R1039">
        <v>9715</v>
      </c>
      <c r="S1039">
        <v>9</v>
      </c>
      <c r="T1039">
        <v>3</v>
      </c>
      <c r="U1039">
        <v>7</v>
      </c>
      <c r="V1039">
        <v>7</v>
      </c>
      <c r="W1039">
        <v>0</v>
      </c>
      <c r="X1039">
        <v>7</v>
      </c>
      <c r="Y1039">
        <f>IF(HR_data[[#This Row],[Attrition]]= "Yes",1,0)</f>
        <v>0</v>
      </c>
    </row>
    <row r="1040" spans="1:25">
      <c r="A1040">
        <v>1039</v>
      </c>
      <c r="B1040" t="s">
        <v>33</v>
      </c>
      <c r="C1040" t="s">
        <v>25</v>
      </c>
      <c r="D1040" t="s">
        <v>26</v>
      </c>
      <c r="E1040" t="s">
        <v>36</v>
      </c>
      <c r="F1040" t="s">
        <v>28</v>
      </c>
      <c r="G1040">
        <v>1</v>
      </c>
      <c r="H1040" t="s">
        <v>29</v>
      </c>
      <c r="I1040" t="s">
        <v>38</v>
      </c>
      <c r="J1040" t="s">
        <v>39</v>
      </c>
      <c r="K1040" t="s">
        <v>33</v>
      </c>
      <c r="L1040">
        <v>35</v>
      </c>
      <c r="M1040">
        <v>1</v>
      </c>
      <c r="N1040" t="s">
        <v>44</v>
      </c>
      <c r="O1040">
        <v>3</v>
      </c>
      <c r="P1040">
        <v>1</v>
      </c>
      <c r="Q1040">
        <v>4</v>
      </c>
      <c r="R1040">
        <v>2977</v>
      </c>
      <c r="S1040">
        <v>4</v>
      </c>
      <c r="T1040">
        <v>3</v>
      </c>
      <c r="U1040">
        <v>4</v>
      </c>
      <c r="V1040">
        <v>3</v>
      </c>
      <c r="W1040">
        <v>1</v>
      </c>
      <c r="X1040">
        <v>1</v>
      </c>
      <c r="Y1040">
        <f>IF(HR_data[[#This Row],[Attrition]]= "Yes",1,0)</f>
        <v>0</v>
      </c>
    </row>
    <row r="1041" spans="1:25">
      <c r="A1041">
        <v>1040</v>
      </c>
      <c r="B1041" t="s">
        <v>33</v>
      </c>
      <c r="C1041" t="s">
        <v>25</v>
      </c>
      <c r="D1041" t="s">
        <v>26</v>
      </c>
      <c r="E1041" t="s">
        <v>36</v>
      </c>
      <c r="F1041" t="s">
        <v>28</v>
      </c>
      <c r="G1041">
        <v>1</v>
      </c>
      <c r="H1041" t="s">
        <v>29</v>
      </c>
      <c r="I1041" t="s">
        <v>42</v>
      </c>
      <c r="J1041" t="s">
        <v>39</v>
      </c>
      <c r="K1041" t="s">
        <v>33</v>
      </c>
      <c r="L1041">
        <v>40</v>
      </c>
      <c r="M1041">
        <v>2</v>
      </c>
      <c r="N1041" t="s">
        <v>32</v>
      </c>
      <c r="O1041">
        <v>3</v>
      </c>
      <c r="P1041">
        <v>1</v>
      </c>
      <c r="Q1041">
        <v>1</v>
      </c>
      <c r="R1041">
        <v>3377</v>
      </c>
      <c r="S1041">
        <v>7</v>
      </c>
      <c r="T1041">
        <v>2</v>
      </c>
      <c r="U1041">
        <v>4</v>
      </c>
      <c r="V1041">
        <v>3</v>
      </c>
      <c r="W1041">
        <v>0</v>
      </c>
      <c r="X1041">
        <v>2</v>
      </c>
      <c r="Y1041">
        <f>IF(HR_data[[#This Row],[Attrition]]= "Yes",1,0)</f>
        <v>0</v>
      </c>
    </row>
    <row r="1042" spans="1:25">
      <c r="A1042">
        <v>1041</v>
      </c>
      <c r="B1042" t="s">
        <v>33</v>
      </c>
      <c r="C1042" t="s">
        <v>25</v>
      </c>
      <c r="D1042" t="s">
        <v>35</v>
      </c>
      <c r="E1042" t="s">
        <v>36</v>
      </c>
      <c r="F1042" t="s">
        <v>28</v>
      </c>
      <c r="G1042">
        <v>1</v>
      </c>
      <c r="H1042" t="s">
        <v>29</v>
      </c>
      <c r="I1042" t="s">
        <v>42</v>
      </c>
      <c r="J1042" t="s">
        <v>39</v>
      </c>
      <c r="K1042" t="s">
        <v>33</v>
      </c>
      <c r="L1042">
        <v>49</v>
      </c>
      <c r="M1042">
        <v>25</v>
      </c>
      <c r="N1042" t="s">
        <v>44</v>
      </c>
      <c r="O1042">
        <v>3</v>
      </c>
      <c r="P1042">
        <v>1</v>
      </c>
      <c r="Q1042">
        <v>1</v>
      </c>
      <c r="R1042">
        <v>3211</v>
      </c>
      <c r="S1042">
        <v>10</v>
      </c>
      <c r="T1042">
        <v>2</v>
      </c>
      <c r="U1042">
        <v>9</v>
      </c>
      <c r="V1042">
        <v>6</v>
      </c>
      <c r="W1042">
        <v>1</v>
      </c>
      <c r="X1042">
        <v>4</v>
      </c>
      <c r="Y1042">
        <f>IF(HR_data[[#This Row],[Attrition]]= "Yes",1,0)</f>
        <v>0</v>
      </c>
    </row>
    <row r="1043" spans="1:25">
      <c r="A1043">
        <v>1042</v>
      </c>
      <c r="B1043" t="s">
        <v>33</v>
      </c>
      <c r="C1043" t="s">
        <v>25</v>
      </c>
      <c r="D1043" t="s">
        <v>35</v>
      </c>
      <c r="E1043" t="s">
        <v>36</v>
      </c>
      <c r="F1043" t="s">
        <v>41</v>
      </c>
      <c r="G1043">
        <v>1</v>
      </c>
      <c r="H1043" t="s">
        <v>29</v>
      </c>
      <c r="I1043" t="s">
        <v>38</v>
      </c>
      <c r="J1043" t="s">
        <v>39</v>
      </c>
      <c r="K1043" t="s">
        <v>33</v>
      </c>
      <c r="L1043">
        <v>48</v>
      </c>
      <c r="M1043">
        <v>15</v>
      </c>
      <c r="N1043" t="s">
        <v>44</v>
      </c>
      <c r="O1043">
        <v>3</v>
      </c>
      <c r="P1043">
        <v>1</v>
      </c>
      <c r="Q1043">
        <v>1</v>
      </c>
      <c r="R1043">
        <v>2367</v>
      </c>
      <c r="S1043">
        <v>10</v>
      </c>
      <c r="T1043">
        <v>2</v>
      </c>
      <c r="U1043">
        <v>8</v>
      </c>
      <c r="V1043">
        <v>2</v>
      </c>
      <c r="W1043">
        <v>7</v>
      </c>
      <c r="X1043">
        <v>6</v>
      </c>
      <c r="Y1043">
        <f>IF(HR_data[[#This Row],[Attrition]]= "Yes",1,0)</f>
        <v>0</v>
      </c>
    </row>
    <row r="1044" spans="1:25">
      <c r="A1044">
        <v>1043</v>
      </c>
      <c r="B1044" t="s">
        <v>33</v>
      </c>
      <c r="C1044" t="s">
        <v>25</v>
      </c>
      <c r="D1044" t="s">
        <v>43</v>
      </c>
      <c r="E1044" t="s">
        <v>36</v>
      </c>
      <c r="F1044" t="s">
        <v>28</v>
      </c>
      <c r="G1044">
        <v>1</v>
      </c>
      <c r="H1044" t="s">
        <v>29</v>
      </c>
      <c r="I1044" t="s">
        <v>42</v>
      </c>
      <c r="J1044" t="s">
        <v>39</v>
      </c>
      <c r="K1044" t="s">
        <v>33</v>
      </c>
      <c r="L1044">
        <v>34</v>
      </c>
      <c r="M1044">
        <v>1</v>
      </c>
      <c r="N1044" t="s">
        <v>47</v>
      </c>
      <c r="O1044">
        <v>4</v>
      </c>
      <c r="P1044">
        <v>1</v>
      </c>
      <c r="Q1044">
        <v>2</v>
      </c>
      <c r="R1044">
        <v>3294</v>
      </c>
      <c r="S1044">
        <v>7</v>
      </c>
      <c r="T1044">
        <v>2</v>
      </c>
      <c r="U1044">
        <v>5</v>
      </c>
      <c r="V1044">
        <v>4</v>
      </c>
      <c r="W1044">
        <v>0</v>
      </c>
      <c r="X1044">
        <v>2</v>
      </c>
      <c r="Y1044">
        <f>IF(HR_data[[#This Row],[Attrition]]= "Yes",1,0)</f>
        <v>0</v>
      </c>
    </row>
    <row r="1045" spans="1:25">
      <c r="A1045">
        <v>1044</v>
      </c>
      <c r="B1045" t="s">
        <v>33</v>
      </c>
      <c r="C1045" t="s">
        <v>25</v>
      </c>
      <c r="D1045" t="s">
        <v>43</v>
      </c>
      <c r="E1045" t="s">
        <v>36</v>
      </c>
      <c r="F1045" t="s">
        <v>28</v>
      </c>
      <c r="G1045">
        <v>1</v>
      </c>
      <c r="H1045" t="s">
        <v>29</v>
      </c>
      <c r="I1045" t="s">
        <v>38</v>
      </c>
      <c r="J1045" t="s">
        <v>39</v>
      </c>
      <c r="K1045" t="s">
        <v>33</v>
      </c>
      <c r="L1045">
        <v>32</v>
      </c>
      <c r="M1045">
        <v>5</v>
      </c>
      <c r="N1045" t="s">
        <v>32</v>
      </c>
      <c r="O1045">
        <v>4</v>
      </c>
      <c r="P1045">
        <v>2</v>
      </c>
      <c r="Q1045">
        <v>2</v>
      </c>
      <c r="R1045">
        <v>5878</v>
      </c>
      <c r="S1045">
        <v>12</v>
      </c>
      <c r="T1045">
        <v>3</v>
      </c>
      <c r="U1045">
        <v>7</v>
      </c>
      <c r="V1045">
        <v>1</v>
      </c>
      <c r="W1045">
        <v>2</v>
      </c>
      <c r="X1045">
        <v>5</v>
      </c>
      <c r="Y1045">
        <f>IF(HR_data[[#This Row],[Attrition]]= "Yes",1,0)</f>
        <v>0</v>
      </c>
    </row>
    <row r="1046" spans="1:25">
      <c r="A1046">
        <v>1045</v>
      </c>
      <c r="B1046" t="s">
        <v>33</v>
      </c>
      <c r="C1046" t="s">
        <v>25</v>
      </c>
      <c r="D1046" t="s">
        <v>26</v>
      </c>
      <c r="E1046" t="s">
        <v>36</v>
      </c>
      <c r="F1046" t="s">
        <v>41</v>
      </c>
      <c r="G1046">
        <v>1</v>
      </c>
      <c r="H1046" t="s">
        <v>29</v>
      </c>
      <c r="I1046" t="s">
        <v>42</v>
      </c>
      <c r="J1046" t="s">
        <v>39</v>
      </c>
      <c r="K1046" t="s">
        <v>33</v>
      </c>
      <c r="L1046">
        <v>38</v>
      </c>
      <c r="M1046">
        <v>6</v>
      </c>
      <c r="N1046" t="s">
        <v>32</v>
      </c>
      <c r="O1046">
        <v>4</v>
      </c>
      <c r="P1046">
        <v>1</v>
      </c>
      <c r="Q1046">
        <v>3</v>
      </c>
      <c r="R1046">
        <v>3702</v>
      </c>
      <c r="S1046">
        <v>5</v>
      </c>
      <c r="T1046">
        <v>3</v>
      </c>
      <c r="U1046">
        <v>5</v>
      </c>
      <c r="V1046">
        <v>4</v>
      </c>
      <c r="W1046">
        <v>0</v>
      </c>
      <c r="X1046">
        <v>4</v>
      </c>
      <c r="Y1046">
        <f>IF(HR_data[[#This Row],[Attrition]]= "Yes",1,0)</f>
        <v>0</v>
      </c>
    </row>
    <row r="1047" spans="1:25">
      <c r="A1047">
        <v>1046</v>
      </c>
      <c r="B1047" t="s">
        <v>33</v>
      </c>
      <c r="C1047" t="s">
        <v>25</v>
      </c>
      <c r="D1047" t="s">
        <v>26</v>
      </c>
      <c r="E1047" t="s">
        <v>36</v>
      </c>
      <c r="F1047" t="s">
        <v>45</v>
      </c>
      <c r="G1047">
        <v>1</v>
      </c>
      <c r="H1047" t="s">
        <v>29</v>
      </c>
      <c r="I1047" t="s">
        <v>42</v>
      </c>
      <c r="J1047" t="s">
        <v>39</v>
      </c>
      <c r="K1047" t="s">
        <v>33</v>
      </c>
      <c r="L1047">
        <v>38</v>
      </c>
      <c r="M1047">
        <v>4</v>
      </c>
      <c r="N1047" t="s">
        <v>32</v>
      </c>
      <c r="O1047">
        <v>4</v>
      </c>
      <c r="P1047">
        <v>1</v>
      </c>
      <c r="Q1047">
        <v>3</v>
      </c>
      <c r="R1047">
        <v>3306</v>
      </c>
      <c r="S1047">
        <v>7</v>
      </c>
      <c r="T1047">
        <v>2</v>
      </c>
      <c r="U1047">
        <v>0</v>
      </c>
      <c r="V1047">
        <v>0</v>
      </c>
      <c r="W1047">
        <v>0</v>
      </c>
      <c r="X1047">
        <v>0</v>
      </c>
      <c r="Y1047">
        <f>IF(HR_data[[#This Row],[Attrition]]= "Yes",1,0)</f>
        <v>0</v>
      </c>
    </row>
    <row r="1048" spans="1:25">
      <c r="A1048">
        <v>1047</v>
      </c>
      <c r="B1048" t="s">
        <v>33</v>
      </c>
      <c r="C1048" t="s">
        <v>25</v>
      </c>
      <c r="D1048" t="s">
        <v>43</v>
      </c>
      <c r="E1048" t="s">
        <v>36</v>
      </c>
      <c r="F1048" t="s">
        <v>45</v>
      </c>
      <c r="G1048">
        <v>1</v>
      </c>
      <c r="H1048" t="s">
        <v>29</v>
      </c>
      <c r="I1048" t="s">
        <v>42</v>
      </c>
      <c r="J1048" t="s">
        <v>39</v>
      </c>
      <c r="K1048" t="s">
        <v>33</v>
      </c>
      <c r="L1048">
        <v>29</v>
      </c>
      <c r="M1048">
        <v>9</v>
      </c>
      <c r="N1048" t="s">
        <v>44</v>
      </c>
      <c r="O1048">
        <v>4</v>
      </c>
      <c r="P1048">
        <v>1</v>
      </c>
      <c r="Q1048">
        <v>3</v>
      </c>
      <c r="R1048">
        <v>2974</v>
      </c>
      <c r="S1048">
        <v>9</v>
      </c>
      <c r="T1048">
        <v>3</v>
      </c>
      <c r="U1048">
        <v>5</v>
      </c>
      <c r="V1048">
        <v>3</v>
      </c>
      <c r="W1048">
        <v>1</v>
      </c>
      <c r="X1048">
        <v>2</v>
      </c>
      <c r="Y1048">
        <f>IF(HR_data[[#This Row],[Attrition]]= "Yes",1,0)</f>
        <v>0</v>
      </c>
    </row>
    <row r="1049" spans="1:25">
      <c r="A1049">
        <v>1048</v>
      </c>
      <c r="B1049" t="s">
        <v>33</v>
      </c>
      <c r="C1049" t="s">
        <v>25</v>
      </c>
      <c r="D1049" t="s">
        <v>35</v>
      </c>
      <c r="E1049" t="s">
        <v>36</v>
      </c>
      <c r="F1049" t="s">
        <v>45</v>
      </c>
      <c r="G1049">
        <v>1</v>
      </c>
      <c r="H1049" t="s">
        <v>29</v>
      </c>
      <c r="I1049" t="s">
        <v>38</v>
      </c>
      <c r="J1049" t="s">
        <v>39</v>
      </c>
      <c r="K1049" t="s">
        <v>33</v>
      </c>
      <c r="L1049">
        <v>54</v>
      </c>
      <c r="M1049">
        <v>7</v>
      </c>
      <c r="N1049" t="s">
        <v>44</v>
      </c>
      <c r="O1049">
        <v>4</v>
      </c>
      <c r="P1049">
        <v>2</v>
      </c>
      <c r="Q1049">
        <v>4</v>
      </c>
      <c r="R1049">
        <v>6854</v>
      </c>
      <c r="S1049">
        <v>14</v>
      </c>
      <c r="T1049">
        <v>2</v>
      </c>
      <c r="U1049">
        <v>7</v>
      </c>
      <c r="V1049">
        <v>1</v>
      </c>
      <c r="W1049">
        <v>1</v>
      </c>
      <c r="X1049">
        <v>7</v>
      </c>
      <c r="Y1049">
        <f>IF(HR_data[[#This Row],[Attrition]]= "Yes",1,0)</f>
        <v>0</v>
      </c>
    </row>
    <row r="1050" spans="1:25">
      <c r="A1050">
        <v>1049</v>
      </c>
      <c r="B1050" t="s">
        <v>33</v>
      </c>
      <c r="C1050" t="s">
        <v>25</v>
      </c>
      <c r="D1050" t="s">
        <v>26</v>
      </c>
      <c r="E1050" t="s">
        <v>36</v>
      </c>
      <c r="F1050" t="s">
        <v>28</v>
      </c>
      <c r="G1050">
        <v>1</v>
      </c>
      <c r="H1050" t="s">
        <v>29</v>
      </c>
      <c r="I1050" t="s">
        <v>49</v>
      </c>
      <c r="J1050" t="s">
        <v>39</v>
      </c>
      <c r="K1050" t="s">
        <v>33</v>
      </c>
      <c r="L1050">
        <v>40</v>
      </c>
      <c r="M1050">
        <v>15</v>
      </c>
      <c r="N1050" t="s">
        <v>47</v>
      </c>
      <c r="O1050">
        <v>1</v>
      </c>
      <c r="P1050">
        <v>3</v>
      </c>
      <c r="Q1050">
        <v>3</v>
      </c>
      <c r="R1050">
        <v>10435</v>
      </c>
      <c r="S1050">
        <v>18</v>
      </c>
      <c r="T1050">
        <v>3</v>
      </c>
      <c r="U1050">
        <v>18</v>
      </c>
      <c r="V1050">
        <v>15</v>
      </c>
      <c r="W1050">
        <v>14</v>
      </c>
      <c r="X1050">
        <v>12</v>
      </c>
      <c r="Y1050">
        <f>IF(HR_data[[#This Row],[Attrition]]= "Yes",1,0)</f>
        <v>0</v>
      </c>
    </row>
    <row r="1051" spans="1:25">
      <c r="A1051">
        <v>1050</v>
      </c>
      <c r="B1051" t="s">
        <v>33</v>
      </c>
      <c r="C1051" t="s">
        <v>25</v>
      </c>
      <c r="D1051" t="s">
        <v>35</v>
      </c>
      <c r="E1051" t="s">
        <v>36</v>
      </c>
      <c r="F1051" t="s">
        <v>41</v>
      </c>
      <c r="G1051">
        <v>1</v>
      </c>
      <c r="H1051" t="s">
        <v>29</v>
      </c>
      <c r="I1051" t="s">
        <v>55</v>
      </c>
      <c r="J1051" t="s">
        <v>39</v>
      </c>
      <c r="K1051" t="s">
        <v>33</v>
      </c>
      <c r="L1051">
        <v>49</v>
      </c>
      <c r="M1051">
        <v>22</v>
      </c>
      <c r="N1051" t="s">
        <v>44</v>
      </c>
      <c r="O1051">
        <v>1</v>
      </c>
      <c r="P1051">
        <v>4</v>
      </c>
      <c r="Q1051">
        <v>2</v>
      </c>
      <c r="R1051">
        <v>16413</v>
      </c>
      <c r="S1051">
        <v>27</v>
      </c>
      <c r="T1051">
        <v>3</v>
      </c>
      <c r="U1051">
        <v>4</v>
      </c>
      <c r="V1051">
        <v>2</v>
      </c>
      <c r="W1051">
        <v>1</v>
      </c>
      <c r="X1051">
        <v>2</v>
      </c>
      <c r="Y1051">
        <f>IF(HR_data[[#This Row],[Attrition]]= "Yes",1,0)</f>
        <v>0</v>
      </c>
    </row>
    <row r="1052" spans="1:25">
      <c r="A1052">
        <v>1051</v>
      </c>
      <c r="B1052" t="s">
        <v>33</v>
      </c>
      <c r="C1052" t="s">
        <v>25</v>
      </c>
      <c r="D1052" t="s">
        <v>35</v>
      </c>
      <c r="E1052" t="s">
        <v>36</v>
      </c>
      <c r="F1052" t="s">
        <v>28</v>
      </c>
      <c r="G1052">
        <v>1</v>
      </c>
      <c r="H1052" t="s">
        <v>29</v>
      </c>
      <c r="I1052" t="s">
        <v>38</v>
      </c>
      <c r="J1052" t="s">
        <v>39</v>
      </c>
      <c r="K1052" t="s">
        <v>33</v>
      </c>
      <c r="L1052">
        <v>54</v>
      </c>
      <c r="M1052">
        <v>9</v>
      </c>
      <c r="N1052" t="s">
        <v>32</v>
      </c>
      <c r="O1052">
        <v>1</v>
      </c>
      <c r="P1052">
        <v>2</v>
      </c>
      <c r="Q1052">
        <v>3</v>
      </c>
      <c r="R1052">
        <v>2897</v>
      </c>
      <c r="S1052">
        <v>9</v>
      </c>
      <c r="T1052">
        <v>2</v>
      </c>
      <c r="U1052">
        <v>4</v>
      </c>
      <c r="V1052">
        <v>3</v>
      </c>
      <c r="W1052">
        <v>2</v>
      </c>
      <c r="X1052">
        <v>3</v>
      </c>
      <c r="Y1052">
        <f>IF(HR_data[[#This Row],[Attrition]]= "Yes",1,0)</f>
        <v>0</v>
      </c>
    </row>
    <row r="1053" spans="1:25">
      <c r="A1053">
        <v>1052</v>
      </c>
      <c r="B1053" t="s">
        <v>33</v>
      </c>
      <c r="C1053" t="s">
        <v>25</v>
      </c>
      <c r="D1053" t="s">
        <v>35</v>
      </c>
      <c r="E1053" t="s">
        <v>36</v>
      </c>
      <c r="F1053" t="s">
        <v>45</v>
      </c>
      <c r="G1053">
        <v>1</v>
      </c>
      <c r="H1053" t="s">
        <v>29</v>
      </c>
      <c r="I1053" t="s">
        <v>55</v>
      </c>
      <c r="J1053" t="s">
        <v>39</v>
      </c>
      <c r="K1053" t="s">
        <v>33</v>
      </c>
      <c r="L1053">
        <v>47</v>
      </c>
      <c r="M1053">
        <v>2</v>
      </c>
      <c r="N1053" t="s">
        <v>44</v>
      </c>
      <c r="O1053">
        <v>1</v>
      </c>
      <c r="P1053">
        <v>4</v>
      </c>
      <c r="Q1053">
        <v>3</v>
      </c>
      <c r="R1053">
        <v>17169</v>
      </c>
      <c r="S1053">
        <v>26</v>
      </c>
      <c r="T1053">
        <v>4</v>
      </c>
      <c r="U1053">
        <v>20</v>
      </c>
      <c r="V1053">
        <v>17</v>
      </c>
      <c r="W1053">
        <v>5</v>
      </c>
      <c r="X1053">
        <v>6</v>
      </c>
      <c r="Y1053">
        <f>IF(HR_data[[#This Row],[Attrition]]= "Yes",1,0)</f>
        <v>0</v>
      </c>
    </row>
    <row r="1054" spans="1:25">
      <c r="A1054">
        <v>1053</v>
      </c>
      <c r="B1054" t="s">
        <v>33</v>
      </c>
      <c r="C1054" t="s">
        <v>25</v>
      </c>
      <c r="D1054" t="s">
        <v>35</v>
      </c>
      <c r="E1054" t="s">
        <v>36</v>
      </c>
      <c r="F1054" t="s">
        <v>28</v>
      </c>
      <c r="G1054">
        <v>1</v>
      </c>
      <c r="H1054" t="s">
        <v>29</v>
      </c>
      <c r="I1054" t="s">
        <v>49</v>
      </c>
      <c r="J1054" t="s">
        <v>39</v>
      </c>
      <c r="K1054" t="s">
        <v>33</v>
      </c>
      <c r="L1054">
        <v>45</v>
      </c>
      <c r="M1054">
        <v>25</v>
      </c>
      <c r="N1054" t="s">
        <v>32</v>
      </c>
      <c r="O1054">
        <v>2</v>
      </c>
      <c r="P1054">
        <v>2</v>
      </c>
      <c r="Q1054">
        <v>4</v>
      </c>
      <c r="R1054">
        <v>5906</v>
      </c>
      <c r="S1054">
        <v>10</v>
      </c>
      <c r="T1054">
        <v>2</v>
      </c>
      <c r="U1054">
        <v>9</v>
      </c>
      <c r="V1054">
        <v>8</v>
      </c>
      <c r="W1054">
        <v>3</v>
      </c>
      <c r="X1054">
        <v>8</v>
      </c>
      <c r="Y1054">
        <f>IF(HR_data[[#This Row],[Attrition]]= "Yes",1,0)</f>
        <v>0</v>
      </c>
    </row>
    <row r="1055" spans="1:25">
      <c r="A1055">
        <v>1054</v>
      </c>
      <c r="B1055" t="s">
        <v>33</v>
      </c>
      <c r="C1055" t="s">
        <v>25</v>
      </c>
      <c r="D1055" t="s">
        <v>26</v>
      </c>
      <c r="E1055" t="s">
        <v>36</v>
      </c>
      <c r="F1055" t="s">
        <v>28</v>
      </c>
      <c r="G1055">
        <v>1</v>
      </c>
      <c r="H1055" t="s">
        <v>29</v>
      </c>
      <c r="I1055" t="s">
        <v>50</v>
      </c>
      <c r="J1055" t="s">
        <v>39</v>
      </c>
      <c r="K1055" t="s">
        <v>33</v>
      </c>
      <c r="L1055">
        <v>36</v>
      </c>
      <c r="M1055">
        <v>5</v>
      </c>
      <c r="N1055" t="s">
        <v>44</v>
      </c>
      <c r="O1055">
        <v>2</v>
      </c>
      <c r="P1055">
        <v>3</v>
      </c>
      <c r="Q1055">
        <v>1</v>
      </c>
      <c r="R1055">
        <v>8008</v>
      </c>
      <c r="S1055">
        <v>9</v>
      </c>
      <c r="T1055">
        <v>3</v>
      </c>
      <c r="U1055">
        <v>3</v>
      </c>
      <c r="V1055">
        <v>2</v>
      </c>
      <c r="W1055">
        <v>0</v>
      </c>
      <c r="X1055">
        <v>2</v>
      </c>
      <c r="Y1055">
        <f>IF(HR_data[[#This Row],[Attrition]]= "Yes",1,0)</f>
        <v>0</v>
      </c>
    </row>
    <row r="1056" spans="1:25">
      <c r="A1056">
        <v>1055</v>
      </c>
      <c r="B1056" t="s">
        <v>33</v>
      </c>
      <c r="C1056" t="s">
        <v>25</v>
      </c>
      <c r="D1056" t="s">
        <v>43</v>
      </c>
      <c r="E1056" t="s">
        <v>36</v>
      </c>
      <c r="F1056" t="s">
        <v>41</v>
      </c>
      <c r="G1056">
        <v>1</v>
      </c>
      <c r="H1056" t="s">
        <v>29</v>
      </c>
      <c r="I1056" t="s">
        <v>38</v>
      </c>
      <c r="J1056" t="s">
        <v>39</v>
      </c>
      <c r="K1056" t="s">
        <v>33</v>
      </c>
      <c r="L1056">
        <v>32</v>
      </c>
      <c r="M1056">
        <v>5</v>
      </c>
      <c r="N1056" t="s">
        <v>44</v>
      </c>
      <c r="O1056">
        <v>2</v>
      </c>
      <c r="P1056">
        <v>1</v>
      </c>
      <c r="Q1056">
        <v>4</v>
      </c>
      <c r="R1056">
        <v>3312</v>
      </c>
      <c r="S1056">
        <v>6</v>
      </c>
      <c r="T1056">
        <v>3</v>
      </c>
      <c r="U1056">
        <v>3</v>
      </c>
      <c r="V1056">
        <v>2</v>
      </c>
      <c r="W1056">
        <v>0</v>
      </c>
      <c r="X1056">
        <v>2</v>
      </c>
      <c r="Y1056">
        <f>IF(HR_data[[#This Row],[Attrition]]= "Yes",1,0)</f>
        <v>0</v>
      </c>
    </row>
    <row r="1057" spans="1:25">
      <c r="A1057">
        <v>1056</v>
      </c>
      <c r="B1057" t="s">
        <v>33</v>
      </c>
      <c r="C1057" t="s">
        <v>25</v>
      </c>
      <c r="D1057" t="s">
        <v>26</v>
      </c>
      <c r="E1057" t="s">
        <v>36</v>
      </c>
      <c r="F1057" t="s">
        <v>45</v>
      </c>
      <c r="G1057">
        <v>1</v>
      </c>
      <c r="H1057" t="s">
        <v>29</v>
      </c>
      <c r="I1057" t="s">
        <v>38</v>
      </c>
      <c r="J1057" t="s">
        <v>39</v>
      </c>
      <c r="K1057" t="s">
        <v>33</v>
      </c>
      <c r="L1057">
        <v>40</v>
      </c>
      <c r="M1057">
        <v>2</v>
      </c>
      <c r="N1057" t="s">
        <v>44</v>
      </c>
      <c r="O1057">
        <v>3</v>
      </c>
      <c r="P1057">
        <v>1</v>
      </c>
      <c r="Q1057">
        <v>3</v>
      </c>
      <c r="R1057">
        <v>2001</v>
      </c>
      <c r="S1057">
        <v>20</v>
      </c>
      <c r="T1057">
        <v>3</v>
      </c>
      <c r="U1057">
        <v>5</v>
      </c>
      <c r="V1057">
        <v>3</v>
      </c>
      <c r="W1057">
        <v>0</v>
      </c>
      <c r="X1057">
        <v>2</v>
      </c>
      <c r="Y1057">
        <f>IF(HR_data[[#This Row],[Attrition]]= "Yes",1,0)</f>
        <v>0</v>
      </c>
    </row>
    <row r="1058" spans="1:25">
      <c r="A1058">
        <v>1057</v>
      </c>
      <c r="B1058" t="s">
        <v>33</v>
      </c>
      <c r="C1058" t="s">
        <v>25</v>
      </c>
      <c r="D1058" t="s">
        <v>43</v>
      </c>
      <c r="E1058" t="s">
        <v>36</v>
      </c>
      <c r="F1058" t="s">
        <v>28</v>
      </c>
      <c r="G1058">
        <v>1</v>
      </c>
      <c r="H1058" t="s">
        <v>29</v>
      </c>
      <c r="I1058" t="s">
        <v>55</v>
      </c>
      <c r="J1058" t="s">
        <v>31</v>
      </c>
      <c r="K1058" t="s">
        <v>33</v>
      </c>
      <c r="L1058">
        <v>31</v>
      </c>
      <c r="M1058">
        <v>8</v>
      </c>
      <c r="N1058" t="s">
        <v>58</v>
      </c>
      <c r="O1058">
        <v>1</v>
      </c>
      <c r="P1058">
        <v>4</v>
      </c>
      <c r="Q1058">
        <v>2</v>
      </c>
      <c r="R1058">
        <v>16422</v>
      </c>
      <c r="S1058">
        <v>9</v>
      </c>
      <c r="T1058">
        <v>4</v>
      </c>
      <c r="U1058">
        <v>3</v>
      </c>
      <c r="V1058">
        <v>2</v>
      </c>
      <c r="W1058">
        <v>1</v>
      </c>
      <c r="X1058">
        <v>0</v>
      </c>
      <c r="Y1058">
        <f>IF(HR_data[[#This Row],[Attrition]]= "Yes",1,0)</f>
        <v>0</v>
      </c>
    </row>
    <row r="1059" spans="1:25">
      <c r="A1059">
        <v>1058</v>
      </c>
      <c r="B1059" t="s">
        <v>33</v>
      </c>
      <c r="C1059" t="s">
        <v>25</v>
      </c>
      <c r="D1059" t="s">
        <v>26</v>
      </c>
      <c r="E1059" t="s">
        <v>36</v>
      </c>
      <c r="F1059" t="s">
        <v>45</v>
      </c>
      <c r="G1059">
        <v>1</v>
      </c>
      <c r="H1059" t="s">
        <v>29</v>
      </c>
      <c r="I1059" t="s">
        <v>42</v>
      </c>
      <c r="J1059" t="s">
        <v>31</v>
      </c>
      <c r="K1059" t="s">
        <v>33</v>
      </c>
      <c r="L1059">
        <v>37</v>
      </c>
      <c r="M1059">
        <v>11</v>
      </c>
      <c r="N1059" t="s">
        <v>47</v>
      </c>
      <c r="O1059">
        <v>1</v>
      </c>
      <c r="P1059">
        <v>1</v>
      </c>
      <c r="Q1059">
        <v>3</v>
      </c>
      <c r="R1059">
        <v>3629</v>
      </c>
      <c r="S1059">
        <v>8</v>
      </c>
      <c r="T1059">
        <v>3</v>
      </c>
      <c r="U1059">
        <v>3</v>
      </c>
      <c r="V1059">
        <v>2</v>
      </c>
      <c r="W1059">
        <v>0</v>
      </c>
      <c r="X1059">
        <v>2</v>
      </c>
      <c r="Y1059">
        <f>IF(HR_data[[#This Row],[Attrition]]= "Yes",1,0)</f>
        <v>0</v>
      </c>
    </row>
    <row r="1060" spans="1:25">
      <c r="A1060">
        <v>1059</v>
      </c>
      <c r="B1060" t="s">
        <v>33</v>
      </c>
      <c r="C1060" t="s">
        <v>25</v>
      </c>
      <c r="D1060" t="s">
        <v>43</v>
      </c>
      <c r="E1060" t="s">
        <v>36</v>
      </c>
      <c r="F1060" t="s">
        <v>45</v>
      </c>
      <c r="G1060">
        <v>1</v>
      </c>
      <c r="H1060" t="s">
        <v>29</v>
      </c>
      <c r="I1060" t="s">
        <v>49</v>
      </c>
      <c r="J1060" t="s">
        <v>31</v>
      </c>
      <c r="K1060" t="s">
        <v>33</v>
      </c>
      <c r="L1060">
        <v>30</v>
      </c>
      <c r="M1060">
        <v>10</v>
      </c>
      <c r="N1060" t="s">
        <v>47</v>
      </c>
      <c r="O1060">
        <v>1</v>
      </c>
      <c r="P1060">
        <v>3</v>
      </c>
      <c r="Q1060">
        <v>3</v>
      </c>
      <c r="R1060">
        <v>9667</v>
      </c>
      <c r="S1060">
        <v>9</v>
      </c>
      <c r="T1060">
        <v>3</v>
      </c>
      <c r="U1060">
        <v>7</v>
      </c>
      <c r="V1060">
        <v>7</v>
      </c>
      <c r="W1060">
        <v>0</v>
      </c>
      <c r="X1060">
        <v>2</v>
      </c>
      <c r="Y1060">
        <f>IF(HR_data[[#This Row],[Attrition]]= "Yes",1,0)</f>
        <v>0</v>
      </c>
    </row>
    <row r="1061" spans="1:25">
      <c r="A1061">
        <v>1060</v>
      </c>
      <c r="B1061" t="s">
        <v>33</v>
      </c>
      <c r="C1061" t="s">
        <v>25</v>
      </c>
      <c r="D1061" t="s">
        <v>26</v>
      </c>
      <c r="E1061" t="s">
        <v>36</v>
      </c>
      <c r="F1061" t="s">
        <v>28</v>
      </c>
      <c r="G1061">
        <v>1</v>
      </c>
      <c r="H1061" t="s">
        <v>29</v>
      </c>
      <c r="I1061" t="s">
        <v>49</v>
      </c>
      <c r="J1061" t="s">
        <v>31</v>
      </c>
      <c r="K1061" t="s">
        <v>33</v>
      </c>
      <c r="L1061">
        <v>39</v>
      </c>
      <c r="M1061">
        <v>6</v>
      </c>
      <c r="N1061" t="s">
        <v>47</v>
      </c>
      <c r="O1061">
        <v>2</v>
      </c>
      <c r="P1061">
        <v>3</v>
      </c>
      <c r="Q1061">
        <v>2</v>
      </c>
      <c r="R1061">
        <v>8376</v>
      </c>
      <c r="S1061">
        <v>9</v>
      </c>
      <c r="T1061">
        <v>3</v>
      </c>
      <c r="U1061">
        <v>2</v>
      </c>
      <c r="V1061">
        <v>0</v>
      </c>
      <c r="W1061">
        <v>2</v>
      </c>
      <c r="X1061">
        <v>2</v>
      </c>
      <c r="Y1061">
        <f>IF(HR_data[[#This Row],[Attrition]]= "Yes",1,0)</f>
        <v>0</v>
      </c>
    </row>
    <row r="1062" spans="1:25">
      <c r="A1062">
        <v>1061</v>
      </c>
      <c r="B1062" t="s">
        <v>33</v>
      </c>
      <c r="C1062" t="s">
        <v>25</v>
      </c>
      <c r="D1062" t="s">
        <v>35</v>
      </c>
      <c r="E1062" t="s">
        <v>36</v>
      </c>
      <c r="F1062" t="s">
        <v>28</v>
      </c>
      <c r="G1062">
        <v>1</v>
      </c>
      <c r="H1062" t="s">
        <v>29</v>
      </c>
      <c r="I1062" t="s">
        <v>42</v>
      </c>
      <c r="J1062" t="s">
        <v>31</v>
      </c>
      <c r="K1062" t="s">
        <v>33</v>
      </c>
      <c r="L1062">
        <v>47</v>
      </c>
      <c r="M1062">
        <v>9</v>
      </c>
      <c r="N1062" t="s">
        <v>44</v>
      </c>
      <c r="O1062">
        <v>2</v>
      </c>
      <c r="P1062">
        <v>1</v>
      </c>
      <c r="Q1062">
        <v>3</v>
      </c>
      <c r="R1062">
        <v>2105</v>
      </c>
      <c r="S1062">
        <v>7</v>
      </c>
      <c r="T1062">
        <v>3</v>
      </c>
      <c r="U1062">
        <v>2</v>
      </c>
      <c r="V1062">
        <v>2</v>
      </c>
      <c r="W1062">
        <v>2</v>
      </c>
      <c r="X1062">
        <v>0</v>
      </c>
      <c r="Y1062">
        <f>IF(HR_data[[#This Row],[Attrition]]= "Yes",1,0)</f>
        <v>0</v>
      </c>
    </row>
    <row r="1063" spans="1:25">
      <c r="A1063">
        <v>1062</v>
      </c>
      <c r="B1063" t="s">
        <v>33</v>
      </c>
      <c r="C1063" t="s">
        <v>25</v>
      </c>
      <c r="D1063" t="s">
        <v>43</v>
      </c>
      <c r="E1063" t="s">
        <v>36</v>
      </c>
      <c r="F1063" t="s">
        <v>28</v>
      </c>
      <c r="G1063">
        <v>1</v>
      </c>
      <c r="H1063" t="s">
        <v>29</v>
      </c>
      <c r="I1063" t="s">
        <v>42</v>
      </c>
      <c r="J1063" t="s">
        <v>31</v>
      </c>
      <c r="K1063" t="s">
        <v>33</v>
      </c>
      <c r="L1063">
        <v>32</v>
      </c>
      <c r="M1063">
        <v>29</v>
      </c>
      <c r="N1063" t="s">
        <v>44</v>
      </c>
      <c r="O1063">
        <v>3</v>
      </c>
      <c r="P1063">
        <v>1</v>
      </c>
      <c r="Q1063">
        <v>2</v>
      </c>
      <c r="R1063">
        <v>2837</v>
      </c>
      <c r="S1063">
        <v>6</v>
      </c>
      <c r="T1063">
        <v>3</v>
      </c>
      <c r="U1063">
        <v>6</v>
      </c>
      <c r="V1063">
        <v>2</v>
      </c>
      <c r="W1063">
        <v>4</v>
      </c>
      <c r="X1063">
        <v>1</v>
      </c>
      <c r="Y1063">
        <f>IF(HR_data[[#This Row],[Attrition]]= "Yes",1,0)</f>
        <v>0</v>
      </c>
    </row>
    <row r="1064" spans="1:25">
      <c r="A1064">
        <v>1063</v>
      </c>
      <c r="B1064" t="s">
        <v>33</v>
      </c>
      <c r="C1064" t="s">
        <v>25</v>
      </c>
      <c r="D1064" t="s">
        <v>52</v>
      </c>
      <c r="E1064" t="s">
        <v>36</v>
      </c>
      <c r="F1064" t="s">
        <v>45</v>
      </c>
      <c r="G1064">
        <v>1</v>
      </c>
      <c r="H1064" t="s">
        <v>29</v>
      </c>
      <c r="I1064" t="s">
        <v>42</v>
      </c>
      <c r="J1064" t="s">
        <v>31</v>
      </c>
      <c r="K1064" t="s">
        <v>33</v>
      </c>
      <c r="L1064">
        <v>23</v>
      </c>
      <c r="M1064">
        <v>4</v>
      </c>
      <c r="N1064" t="s">
        <v>40</v>
      </c>
      <c r="O1064">
        <v>3</v>
      </c>
      <c r="P1064">
        <v>1</v>
      </c>
      <c r="Q1064">
        <v>2</v>
      </c>
      <c r="R1064">
        <v>3295</v>
      </c>
      <c r="S1064">
        <v>3</v>
      </c>
      <c r="T1064">
        <v>1</v>
      </c>
      <c r="U1064">
        <v>3</v>
      </c>
      <c r="V1064">
        <v>2</v>
      </c>
      <c r="W1064">
        <v>1</v>
      </c>
      <c r="X1064">
        <v>2</v>
      </c>
      <c r="Y1064">
        <f>IF(HR_data[[#This Row],[Attrition]]= "Yes",1,0)</f>
        <v>0</v>
      </c>
    </row>
    <row r="1065" spans="1:25">
      <c r="A1065">
        <v>1064</v>
      </c>
      <c r="B1065" t="s">
        <v>33</v>
      </c>
      <c r="C1065" t="s">
        <v>25</v>
      </c>
      <c r="D1065" t="s">
        <v>43</v>
      </c>
      <c r="E1065" t="s">
        <v>36</v>
      </c>
      <c r="F1065" t="s">
        <v>45</v>
      </c>
      <c r="G1065">
        <v>1</v>
      </c>
      <c r="H1065" t="s">
        <v>29</v>
      </c>
      <c r="I1065" t="s">
        <v>38</v>
      </c>
      <c r="J1065" t="s">
        <v>31</v>
      </c>
      <c r="K1065" t="s">
        <v>33</v>
      </c>
      <c r="L1065">
        <v>27</v>
      </c>
      <c r="M1065">
        <v>8</v>
      </c>
      <c r="N1065" t="s">
        <v>47</v>
      </c>
      <c r="O1065">
        <v>3</v>
      </c>
      <c r="P1065">
        <v>1</v>
      </c>
      <c r="Q1065">
        <v>4</v>
      </c>
      <c r="R1065">
        <v>3445</v>
      </c>
      <c r="S1065">
        <v>6</v>
      </c>
      <c r="T1065">
        <v>2</v>
      </c>
      <c r="U1065">
        <v>6</v>
      </c>
      <c r="V1065">
        <v>2</v>
      </c>
      <c r="W1065">
        <v>1</v>
      </c>
      <c r="X1065">
        <v>4</v>
      </c>
      <c r="Y1065">
        <f>IF(HR_data[[#This Row],[Attrition]]= "Yes",1,0)</f>
        <v>0</v>
      </c>
    </row>
    <row r="1066" spans="1:25">
      <c r="A1066">
        <v>1065</v>
      </c>
      <c r="B1066" t="s">
        <v>33</v>
      </c>
      <c r="C1066" t="s">
        <v>25</v>
      </c>
      <c r="D1066" t="s">
        <v>43</v>
      </c>
      <c r="E1066" t="s">
        <v>36</v>
      </c>
      <c r="F1066" t="s">
        <v>45</v>
      </c>
      <c r="G1066">
        <v>1</v>
      </c>
      <c r="H1066" t="s">
        <v>29</v>
      </c>
      <c r="I1066" t="s">
        <v>38</v>
      </c>
      <c r="J1066" t="s">
        <v>31</v>
      </c>
      <c r="K1066" t="s">
        <v>33</v>
      </c>
      <c r="L1066">
        <v>29</v>
      </c>
      <c r="M1066">
        <v>28</v>
      </c>
      <c r="N1066" t="s">
        <v>44</v>
      </c>
      <c r="O1066">
        <v>4</v>
      </c>
      <c r="P1066">
        <v>1</v>
      </c>
      <c r="Q1066">
        <v>1</v>
      </c>
      <c r="R1066">
        <v>3785</v>
      </c>
      <c r="S1066">
        <v>5</v>
      </c>
      <c r="T1066">
        <v>1</v>
      </c>
      <c r="U1066">
        <v>5</v>
      </c>
      <c r="V1066">
        <v>4</v>
      </c>
      <c r="W1066">
        <v>0</v>
      </c>
      <c r="X1066">
        <v>4</v>
      </c>
      <c r="Y1066">
        <f>IF(HR_data[[#This Row],[Attrition]]= "Yes",1,0)</f>
        <v>0</v>
      </c>
    </row>
    <row r="1067" spans="1:25">
      <c r="A1067">
        <v>1066</v>
      </c>
      <c r="B1067" t="s">
        <v>33</v>
      </c>
      <c r="C1067" t="s">
        <v>25</v>
      </c>
      <c r="D1067" t="s">
        <v>26</v>
      </c>
      <c r="E1067" t="s">
        <v>36</v>
      </c>
      <c r="F1067" t="s">
        <v>28</v>
      </c>
      <c r="G1067">
        <v>1</v>
      </c>
      <c r="H1067" t="s">
        <v>29</v>
      </c>
      <c r="I1067" t="s">
        <v>50</v>
      </c>
      <c r="J1067" t="s">
        <v>31</v>
      </c>
      <c r="K1067" t="s">
        <v>33</v>
      </c>
      <c r="L1067">
        <v>35</v>
      </c>
      <c r="M1067">
        <v>16</v>
      </c>
      <c r="N1067" t="s">
        <v>47</v>
      </c>
      <c r="O1067">
        <v>4</v>
      </c>
      <c r="P1067">
        <v>3</v>
      </c>
      <c r="Q1067">
        <v>2</v>
      </c>
      <c r="R1067">
        <v>8606</v>
      </c>
      <c r="S1067">
        <v>11</v>
      </c>
      <c r="T1067">
        <v>1</v>
      </c>
      <c r="U1067">
        <v>11</v>
      </c>
      <c r="V1067">
        <v>8</v>
      </c>
      <c r="W1067">
        <v>3</v>
      </c>
      <c r="X1067">
        <v>3</v>
      </c>
      <c r="Y1067">
        <f>IF(HR_data[[#This Row],[Attrition]]= "Yes",1,0)</f>
        <v>0</v>
      </c>
    </row>
    <row r="1068" spans="1:25">
      <c r="A1068">
        <v>1067</v>
      </c>
      <c r="B1068" t="s">
        <v>33</v>
      </c>
      <c r="C1068" t="s">
        <v>25</v>
      </c>
      <c r="D1068" t="s">
        <v>35</v>
      </c>
      <c r="E1068" t="s">
        <v>36</v>
      </c>
      <c r="F1068" t="s">
        <v>57</v>
      </c>
      <c r="G1068">
        <v>1</v>
      </c>
      <c r="H1068" t="s">
        <v>29</v>
      </c>
      <c r="I1068" t="s">
        <v>55</v>
      </c>
      <c r="J1068" t="s">
        <v>31</v>
      </c>
      <c r="K1068" t="s">
        <v>33</v>
      </c>
      <c r="L1068">
        <v>45</v>
      </c>
      <c r="M1068">
        <v>28</v>
      </c>
      <c r="N1068" t="s">
        <v>32</v>
      </c>
      <c r="O1068">
        <v>4</v>
      </c>
      <c r="P1068">
        <v>4</v>
      </c>
      <c r="Q1068">
        <v>2</v>
      </c>
      <c r="R1068">
        <v>16704</v>
      </c>
      <c r="S1068">
        <v>21</v>
      </c>
      <c r="T1068">
        <v>3</v>
      </c>
      <c r="U1068">
        <v>21</v>
      </c>
      <c r="V1068">
        <v>6</v>
      </c>
      <c r="W1068">
        <v>8</v>
      </c>
      <c r="X1068">
        <v>6</v>
      </c>
      <c r="Y1068">
        <f>IF(HR_data[[#This Row],[Attrition]]= "Yes",1,0)</f>
        <v>0</v>
      </c>
    </row>
    <row r="1069" spans="1:25">
      <c r="A1069">
        <v>1068</v>
      </c>
      <c r="B1069" t="s">
        <v>33</v>
      </c>
      <c r="C1069" t="s">
        <v>25</v>
      </c>
      <c r="D1069" t="s">
        <v>35</v>
      </c>
      <c r="E1069" t="s">
        <v>36</v>
      </c>
      <c r="F1069" t="s">
        <v>45</v>
      </c>
      <c r="G1069">
        <v>1</v>
      </c>
      <c r="H1069" t="s">
        <v>29</v>
      </c>
      <c r="I1069" t="s">
        <v>55</v>
      </c>
      <c r="J1069" t="s">
        <v>31</v>
      </c>
      <c r="K1069" t="s">
        <v>33</v>
      </c>
      <c r="L1069">
        <v>54</v>
      </c>
      <c r="M1069">
        <v>1</v>
      </c>
      <c r="N1069" t="s">
        <v>47</v>
      </c>
      <c r="O1069">
        <v>4</v>
      </c>
      <c r="P1069">
        <v>4</v>
      </c>
      <c r="Q1069">
        <v>4</v>
      </c>
      <c r="R1069">
        <v>17328</v>
      </c>
      <c r="S1069">
        <v>29</v>
      </c>
      <c r="T1069">
        <v>2</v>
      </c>
      <c r="U1069">
        <v>20</v>
      </c>
      <c r="V1069">
        <v>7</v>
      </c>
      <c r="W1069">
        <v>12</v>
      </c>
      <c r="X1069">
        <v>7</v>
      </c>
      <c r="Y1069">
        <f>IF(HR_data[[#This Row],[Attrition]]= "Yes",1,0)</f>
        <v>0</v>
      </c>
    </row>
    <row r="1070" spans="1:25">
      <c r="A1070">
        <v>1069</v>
      </c>
      <c r="B1070" t="s">
        <v>33</v>
      </c>
      <c r="C1070" t="s">
        <v>25</v>
      </c>
      <c r="D1070" t="s">
        <v>35</v>
      </c>
      <c r="E1070" t="s">
        <v>27</v>
      </c>
      <c r="F1070" t="s">
        <v>57</v>
      </c>
      <c r="G1070">
        <v>1</v>
      </c>
      <c r="H1070" t="s">
        <v>29</v>
      </c>
      <c r="I1070" t="s">
        <v>30</v>
      </c>
      <c r="J1070" t="s">
        <v>48</v>
      </c>
      <c r="K1070" t="s">
        <v>33</v>
      </c>
      <c r="L1070">
        <v>46</v>
      </c>
      <c r="M1070">
        <v>3</v>
      </c>
      <c r="N1070" t="s">
        <v>47</v>
      </c>
      <c r="O1070">
        <v>1</v>
      </c>
      <c r="P1070">
        <v>4</v>
      </c>
      <c r="Q1070">
        <v>1</v>
      </c>
      <c r="R1070">
        <v>13225</v>
      </c>
      <c r="S1070">
        <v>25</v>
      </c>
      <c r="T1070">
        <v>3</v>
      </c>
      <c r="U1070">
        <v>19</v>
      </c>
      <c r="V1070">
        <v>17</v>
      </c>
      <c r="W1070">
        <v>2</v>
      </c>
      <c r="X1070">
        <v>8</v>
      </c>
      <c r="Y1070">
        <f>IF(HR_data[[#This Row],[Attrition]]= "Yes",1,0)</f>
        <v>0</v>
      </c>
    </row>
    <row r="1071" spans="1:25">
      <c r="A1071">
        <v>1070</v>
      </c>
      <c r="B1071" t="s">
        <v>33</v>
      </c>
      <c r="C1071" t="s">
        <v>25</v>
      </c>
      <c r="D1071" t="s">
        <v>35</v>
      </c>
      <c r="E1071" t="s">
        <v>27</v>
      </c>
      <c r="F1071" t="s">
        <v>28</v>
      </c>
      <c r="G1071">
        <v>1</v>
      </c>
      <c r="H1071" t="s">
        <v>29</v>
      </c>
      <c r="I1071" t="s">
        <v>30</v>
      </c>
      <c r="J1071" t="s">
        <v>48</v>
      </c>
      <c r="K1071" t="s">
        <v>33</v>
      </c>
      <c r="L1071">
        <v>48</v>
      </c>
      <c r="M1071">
        <v>16</v>
      </c>
      <c r="N1071" t="s">
        <v>44</v>
      </c>
      <c r="O1071">
        <v>3</v>
      </c>
      <c r="P1071">
        <v>2</v>
      </c>
      <c r="Q1071">
        <v>3</v>
      </c>
      <c r="R1071">
        <v>6439</v>
      </c>
      <c r="S1071">
        <v>18</v>
      </c>
      <c r="T1071">
        <v>3</v>
      </c>
      <c r="U1071">
        <v>8</v>
      </c>
      <c r="V1071">
        <v>7</v>
      </c>
      <c r="W1071">
        <v>7</v>
      </c>
      <c r="X1071">
        <v>7</v>
      </c>
      <c r="Y1071">
        <f>IF(HR_data[[#This Row],[Attrition]]= "Yes",1,0)</f>
        <v>0</v>
      </c>
    </row>
    <row r="1072" spans="1:25">
      <c r="A1072">
        <v>1071</v>
      </c>
      <c r="B1072" t="s">
        <v>33</v>
      </c>
      <c r="C1072" t="s">
        <v>25</v>
      </c>
      <c r="D1072" t="s">
        <v>43</v>
      </c>
      <c r="E1072" t="s">
        <v>27</v>
      </c>
      <c r="F1072" t="s">
        <v>56</v>
      </c>
      <c r="G1072">
        <v>1</v>
      </c>
      <c r="H1072" t="s">
        <v>29</v>
      </c>
      <c r="I1072" t="s">
        <v>30</v>
      </c>
      <c r="J1072" t="s">
        <v>48</v>
      </c>
      <c r="K1072" t="s">
        <v>33</v>
      </c>
      <c r="L1072">
        <v>30</v>
      </c>
      <c r="M1072">
        <v>7</v>
      </c>
      <c r="N1072" t="s">
        <v>44</v>
      </c>
      <c r="O1072">
        <v>4</v>
      </c>
      <c r="P1072">
        <v>2</v>
      </c>
      <c r="Q1072">
        <v>1</v>
      </c>
      <c r="R1072">
        <v>4779</v>
      </c>
      <c r="S1072">
        <v>8</v>
      </c>
      <c r="T1072">
        <v>3</v>
      </c>
      <c r="U1072">
        <v>3</v>
      </c>
      <c r="V1072">
        <v>2</v>
      </c>
      <c r="W1072">
        <v>0</v>
      </c>
      <c r="X1072">
        <v>2</v>
      </c>
      <c r="Y1072">
        <f>IF(HR_data[[#This Row],[Attrition]]= "Yes",1,0)</f>
        <v>0</v>
      </c>
    </row>
    <row r="1073" spans="1:25">
      <c r="A1073">
        <v>1072</v>
      </c>
      <c r="B1073" t="s">
        <v>33</v>
      </c>
      <c r="C1073" t="s">
        <v>25</v>
      </c>
      <c r="D1073" t="s">
        <v>35</v>
      </c>
      <c r="E1073" t="s">
        <v>27</v>
      </c>
      <c r="F1073" t="s">
        <v>28</v>
      </c>
      <c r="G1073">
        <v>1</v>
      </c>
      <c r="H1073" t="s">
        <v>29</v>
      </c>
      <c r="I1073" t="s">
        <v>53</v>
      </c>
      <c r="J1073" t="s">
        <v>48</v>
      </c>
      <c r="K1073" t="s">
        <v>33</v>
      </c>
      <c r="L1073">
        <v>47</v>
      </c>
      <c r="M1073">
        <v>2</v>
      </c>
      <c r="N1073" t="s">
        <v>44</v>
      </c>
      <c r="O1073">
        <v>2</v>
      </c>
      <c r="P1073">
        <v>4</v>
      </c>
      <c r="Q1073">
        <v>2</v>
      </c>
      <c r="R1073">
        <v>15972</v>
      </c>
      <c r="S1073">
        <v>29</v>
      </c>
      <c r="T1073">
        <v>3</v>
      </c>
      <c r="U1073">
        <v>3</v>
      </c>
      <c r="V1073">
        <v>2</v>
      </c>
      <c r="W1073">
        <v>1</v>
      </c>
      <c r="X1073">
        <v>2</v>
      </c>
      <c r="Y1073">
        <f>IF(HR_data[[#This Row],[Attrition]]= "Yes",1,0)</f>
        <v>0</v>
      </c>
    </row>
    <row r="1074" spans="1:25">
      <c r="A1074">
        <v>1073</v>
      </c>
      <c r="B1074" t="s">
        <v>33</v>
      </c>
      <c r="C1074" t="s">
        <v>25</v>
      </c>
      <c r="D1074" t="s">
        <v>26</v>
      </c>
      <c r="E1074" t="s">
        <v>27</v>
      </c>
      <c r="F1074" t="s">
        <v>28</v>
      </c>
      <c r="G1074">
        <v>1</v>
      </c>
      <c r="H1074" t="s">
        <v>29</v>
      </c>
      <c r="I1074" t="s">
        <v>30</v>
      </c>
      <c r="J1074" t="s">
        <v>39</v>
      </c>
      <c r="K1074" t="s">
        <v>33</v>
      </c>
      <c r="L1074">
        <v>38</v>
      </c>
      <c r="M1074">
        <v>10</v>
      </c>
      <c r="N1074" t="s">
        <v>32</v>
      </c>
      <c r="O1074">
        <v>1</v>
      </c>
      <c r="P1074">
        <v>2</v>
      </c>
      <c r="Q1074">
        <v>4</v>
      </c>
      <c r="R1074">
        <v>5343</v>
      </c>
      <c r="S1074">
        <v>10</v>
      </c>
      <c r="T1074">
        <v>3</v>
      </c>
      <c r="U1074">
        <v>10</v>
      </c>
      <c r="V1074">
        <v>7</v>
      </c>
      <c r="W1074">
        <v>1</v>
      </c>
      <c r="X1074">
        <v>9</v>
      </c>
      <c r="Y1074">
        <f>IF(HR_data[[#This Row],[Attrition]]= "Yes",1,0)</f>
        <v>0</v>
      </c>
    </row>
    <row r="1075" spans="1:25">
      <c r="A1075">
        <v>1074</v>
      </c>
      <c r="B1075" t="s">
        <v>33</v>
      </c>
      <c r="C1075" t="s">
        <v>25</v>
      </c>
      <c r="D1075" t="s">
        <v>26</v>
      </c>
      <c r="E1075" t="s">
        <v>27</v>
      </c>
      <c r="F1075" t="s">
        <v>56</v>
      </c>
      <c r="G1075">
        <v>1</v>
      </c>
      <c r="H1075" t="s">
        <v>29</v>
      </c>
      <c r="I1075" t="s">
        <v>30</v>
      </c>
      <c r="J1075" t="s">
        <v>39</v>
      </c>
      <c r="K1075" t="s">
        <v>33</v>
      </c>
      <c r="L1075">
        <v>36</v>
      </c>
      <c r="M1075">
        <v>11</v>
      </c>
      <c r="N1075" t="s">
        <v>44</v>
      </c>
      <c r="O1075">
        <v>2</v>
      </c>
      <c r="P1075">
        <v>2</v>
      </c>
      <c r="Q1075">
        <v>4</v>
      </c>
      <c r="R1075">
        <v>6652</v>
      </c>
      <c r="S1075">
        <v>8</v>
      </c>
      <c r="T1075">
        <v>2</v>
      </c>
      <c r="U1075">
        <v>6</v>
      </c>
      <c r="V1075">
        <v>3</v>
      </c>
      <c r="W1075">
        <v>0</v>
      </c>
      <c r="X1075">
        <v>0</v>
      </c>
      <c r="Y1075">
        <f>IF(HR_data[[#This Row],[Attrition]]= "Yes",1,0)</f>
        <v>0</v>
      </c>
    </row>
    <row r="1076" spans="1:25">
      <c r="A1076">
        <v>1075</v>
      </c>
      <c r="B1076" t="s">
        <v>33</v>
      </c>
      <c r="C1076" t="s">
        <v>25</v>
      </c>
      <c r="D1076" t="s">
        <v>26</v>
      </c>
      <c r="E1076" t="s">
        <v>27</v>
      </c>
      <c r="F1076" t="s">
        <v>56</v>
      </c>
      <c r="G1076">
        <v>1</v>
      </c>
      <c r="H1076" t="s">
        <v>29</v>
      </c>
      <c r="I1076" t="s">
        <v>30</v>
      </c>
      <c r="J1076" t="s">
        <v>39</v>
      </c>
      <c r="K1076" t="s">
        <v>33</v>
      </c>
      <c r="L1076">
        <v>39</v>
      </c>
      <c r="M1076">
        <v>24</v>
      </c>
      <c r="N1076" t="s">
        <v>40</v>
      </c>
      <c r="O1076">
        <v>2</v>
      </c>
      <c r="P1076">
        <v>4</v>
      </c>
      <c r="Q1076">
        <v>4</v>
      </c>
      <c r="R1076">
        <v>12031</v>
      </c>
      <c r="S1076">
        <v>21</v>
      </c>
      <c r="T1076">
        <v>2</v>
      </c>
      <c r="U1076">
        <v>20</v>
      </c>
      <c r="V1076">
        <v>9</v>
      </c>
      <c r="W1076">
        <v>9</v>
      </c>
      <c r="X1076">
        <v>6</v>
      </c>
      <c r="Y1076">
        <f>IF(HR_data[[#This Row],[Attrition]]= "Yes",1,0)</f>
        <v>0</v>
      </c>
    </row>
    <row r="1077" spans="1:25">
      <c r="A1077">
        <v>1076</v>
      </c>
      <c r="B1077" t="s">
        <v>33</v>
      </c>
      <c r="C1077" t="s">
        <v>25</v>
      </c>
      <c r="D1077" t="s">
        <v>26</v>
      </c>
      <c r="E1077" t="s">
        <v>27</v>
      </c>
      <c r="F1077" t="s">
        <v>56</v>
      </c>
      <c r="G1077">
        <v>1</v>
      </c>
      <c r="H1077" t="s">
        <v>29</v>
      </c>
      <c r="I1077" t="s">
        <v>30</v>
      </c>
      <c r="J1077" t="s">
        <v>39</v>
      </c>
      <c r="K1077" t="s">
        <v>33</v>
      </c>
      <c r="L1077">
        <v>40</v>
      </c>
      <c r="M1077">
        <v>2</v>
      </c>
      <c r="N1077" t="s">
        <v>32</v>
      </c>
      <c r="O1077">
        <v>2</v>
      </c>
      <c r="P1077">
        <v>2</v>
      </c>
      <c r="Q1077">
        <v>2</v>
      </c>
      <c r="R1077">
        <v>5677</v>
      </c>
      <c r="S1077">
        <v>15</v>
      </c>
      <c r="T1077">
        <v>3</v>
      </c>
      <c r="U1077">
        <v>11</v>
      </c>
      <c r="V1077">
        <v>8</v>
      </c>
      <c r="W1077">
        <v>5</v>
      </c>
      <c r="X1077">
        <v>10</v>
      </c>
      <c r="Y1077">
        <f>IF(HR_data[[#This Row],[Attrition]]= "Yes",1,0)</f>
        <v>0</v>
      </c>
    </row>
    <row r="1078" spans="1:25">
      <c r="A1078">
        <v>1077</v>
      </c>
      <c r="B1078" t="s">
        <v>33</v>
      </c>
      <c r="C1078" t="s">
        <v>25</v>
      </c>
      <c r="D1078" t="s">
        <v>43</v>
      </c>
      <c r="E1078" t="s">
        <v>27</v>
      </c>
      <c r="F1078" t="s">
        <v>45</v>
      </c>
      <c r="G1078">
        <v>1</v>
      </c>
      <c r="H1078" t="s">
        <v>29</v>
      </c>
      <c r="I1078" t="s">
        <v>54</v>
      </c>
      <c r="J1078" t="s">
        <v>39</v>
      </c>
      <c r="K1078" t="s">
        <v>33</v>
      </c>
      <c r="L1078">
        <v>28</v>
      </c>
      <c r="M1078">
        <v>3</v>
      </c>
      <c r="N1078" t="s">
        <v>47</v>
      </c>
      <c r="O1078">
        <v>2</v>
      </c>
      <c r="P1078">
        <v>1</v>
      </c>
      <c r="Q1078">
        <v>2</v>
      </c>
      <c r="R1078">
        <v>2856</v>
      </c>
      <c r="S1078">
        <v>1</v>
      </c>
      <c r="T1078">
        <v>3</v>
      </c>
      <c r="U1078">
        <v>1</v>
      </c>
      <c r="V1078">
        <v>0</v>
      </c>
      <c r="W1078">
        <v>0</v>
      </c>
      <c r="X1078">
        <v>0</v>
      </c>
      <c r="Y1078">
        <f>IF(HR_data[[#This Row],[Attrition]]= "Yes",1,0)</f>
        <v>0</v>
      </c>
    </row>
    <row r="1079" spans="1:25">
      <c r="A1079">
        <v>1078</v>
      </c>
      <c r="B1079" t="s">
        <v>33</v>
      </c>
      <c r="C1079" t="s">
        <v>25</v>
      </c>
      <c r="D1079" t="s">
        <v>35</v>
      </c>
      <c r="E1079" t="s">
        <v>27</v>
      </c>
      <c r="F1079" t="s">
        <v>28</v>
      </c>
      <c r="G1079">
        <v>1</v>
      </c>
      <c r="H1079" t="s">
        <v>29</v>
      </c>
      <c r="I1079" t="s">
        <v>53</v>
      </c>
      <c r="J1079" t="s">
        <v>39</v>
      </c>
      <c r="K1079" t="s">
        <v>33</v>
      </c>
      <c r="L1079">
        <v>46</v>
      </c>
      <c r="M1079">
        <v>3</v>
      </c>
      <c r="N1079" t="s">
        <v>47</v>
      </c>
      <c r="O1079">
        <v>3</v>
      </c>
      <c r="P1079">
        <v>4</v>
      </c>
      <c r="Q1079">
        <v>2</v>
      </c>
      <c r="R1079">
        <v>16606</v>
      </c>
      <c r="S1079">
        <v>23</v>
      </c>
      <c r="T1079">
        <v>4</v>
      </c>
      <c r="U1079">
        <v>13</v>
      </c>
      <c r="V1079">
        <v>12</v>
      </c>
      <c r="W1079">
        <v>5</v>
      </c>
      <c r="X1079">
        <v>1</v>
      </c>
      <c r="Y1079">
        <f>IF(HR_data[[#This Row],[Attrition]]= "Yes",1,0)</f>
        <v>0</v>
      </c>
    </row>
    <row r="1080" spans="1:25">
      <c r="A1080">
        <v>1079</v>
      </c>
      <c r="B1080" t="s">
        <v>33</v>
      </c>
      <c r="C1080" t="s">
        <v>25</v>
      </c>
      <c r="D1080" t="s">
        <v>46</v>
      </c>
      <c r="E1080" t="s">
        <v>27</v>
      </c>
      <c r="F1080" t="s">
        <v>56</v>
      </c>
      <c r="G1080">
        <v>1</v>
      </c>
      <c r="H1080" t="s">
        <v>29</v>
      </c>
      <c r="I1080" t="s">
        <v>30</v>
      </c>
      <c r="J1080" t="s">
        <v>39</v>
      </c>
      <c r="K1080" t="s">
        <v>33</v>
      </c>
      <c r="L1080">
        <v>56</v>
      </c>
      <c r="M1080">
        <v>11</v>
      </c>
      <c r="N1080" t="s">
        <v>58</v>
      </c>
      <c r="O1080">
        <v>4</v>
      </c>
      <c r="P1080">
        <v>2</v>
      </c>
      <c r="Q1080">
        <v>1</v>
      </c>
      <c r="R1080">
        <v>5380</v>
      </c>
      <c r="S1080">
        <v>6</v>
      </c>
      <c r="T1080">
        <v>3</v>
      </c>
      <c r="U1080">
        <v>0</v>
      </c>
      <c r="V1080">
        <v>0</v>
      </c>
      <c r="W1080">
        <v>0</v>
      </c>
      <c r="X1080">
        <v>0</v>
      </c>
      <c r="Y1080">
        <f>IF(HR_data[[#This Row],[Attrition]]= "Yes",1,0)</f>
        <v>0</v>
      </c>
    </row>
    <row r="1081" spans="1:25">
      <c r="A1081">
        <v>1080</v>
      </c>
      <c r="B1081" t="s">
        <v>33</v>
      </c>
      <c r="C1081" t="s">
        <v>25</v>
      </c>
      <c r="D1081" t="s">
        <v>26</v>
      </c>
      <c r="E1081" t="s">
        <v>27</v>
      </c>
      <c r="F1081" t="s">
        <v>28</v>
      </c>
      <c r="G1081">
        <v>1</v>
      </c>
      <c r="H1081" t="s">
        <v>29</v>
      </c>
      <c r="I1081" t="s">
        <v>30</v>
      </c>
      <c r="J1081" t="s">
        <v>39</v>
      </c>
      <c r="K1081" t="s">
        <v>33</v>
      </c>
      <c r="L1081">
        <v>40</v>
      </c>
      <c r="M1081">
        <v>14</v>
      </c>
      <c r="N1081" t="s">
        <v>32</v>
      </c>
      <c r="O1081">
        <v>4</v>
      </c>
      <c r="P1081">
        <v>2</v>
      </c>
      <c r="Q1081">
        <v>1</v>
      </c>
      <c r="R1081">
        <v>4639</v>
      </c>
      <c r="S1081">
        <v>5</v>
      </c>
      <c r="T1081">
        <v>3</v>
      </c>
      <c r="U1081">
        <v>5</v>
      </c>
      <c r="V1081">
        <v>4</v>
      </c>
      <c r="W1081">
        <v>1</v>
      </c>
      <c r="X1081">
        <v>2</v>
      </c>
      <c r="Y1081">
        <f>IF(HR_data[[#This Row],[Attrition]]= "Yes",1,0)</f>
        <v>0</v>
      </c>
    </row>
    <row r="1082" spans="1:25">
      <c r="A1082">
        <v>1081</v>
      </c>
      <c r="B1082" t="s">
        <v>33</v>
      </c>
      <c r="C1082" t="s">
        <v>25</v>
      </c>
      <c r="D1082" t="s">
        <v>43</v>
      </c>
      <c r="E1082" t="s">
        <v>27</v>
      </c>
      <c r="F1082" t="s">
        <v>56</v>
      </c>
      <c r="G1082">
        <v>1</v>
      </c>
      <c r="H1082" t="s">
        <v>29</v>
      </c>
      <c r="I1082" t="s">
        <v>30</v>
      </c>
      <c r="J1082" t="s">
        <v>39</v>
      </c>
      <c r="K1082" t="s">
        <v>33</v>
      </c>
      <c r="L1082">
        <v>31</v>
      </c>
      <c r="M1082">
        <v>29</v>
      </c>
      <c r="N1082" t="s">
        <v>44</v>
      </c>
      <c r="O1082">
        <v>1</v>
      </c>
      <c r="P1082">
        <v>2</v>
      </c>
      <c r="Q1082">
        <v>4</v>
      </c>
      <c r="R1082">
        <v>5468</v>
      </c>
      <c r="S1082">
        <v>13</v>
      </c>
      <c r="T1082">
        <v>3</v>
      </c>
      <c r="U1082">
        <v>12</v>
      </c>
      <c r="V1082">
        <v>7</v>
      </c>
      <c r="W1082">
        <v>5</v>
      </c>
      <c r="X1082">
        <v>7</v>
      </c>
      <c r="Y1082">
        <f>IF(HR_data[[#This Row],[Attrition]]= "Yes",1,0)</f>
        <v>0</v>
      </c>
    </row>
    <row r="1083" spans="1:25">
      <c r="A1083">
        <v>1082</v>
      </c>
      <c r="B1083" t="s">
        <v>33</v>
      </c>
      <c r="C1083" t="s">
        <v>25</v>
      </c>
      <c r="D1083" t="s">
        <v>26</v>
      </c>
      <c r="E1083" t="s">
        <v>27</v>
      </c>
      <c r="F1083" t="s">
        <v>45</v>
      </c>
      <c r="G1083">
        <v>1</v>
      </c>
      <c r="H1083" t="s">
        <v>29</v>
      </c>
      <c r="I1083" t="s">
        <v>30</v>
      </c>
      <c r="J1083" t="s">
        <v>39</v>
      </c>
      <c r="K1083" t="s">
        <v>33</v>
      </c>
      <c r="L1083">
        <v>36</v>
      </c>
      <c r="M1083">
        <v>3</v>
      </c>
      <c r="N1083" t="s">
        <v>47</v>
      </c>
      <c r="O1083">
        <v>1</v>
      </c>
      <c r="P1083">
        <v>3</v>
      </c>
      <c r="Q1083">
        <v>4</v>
      </c>
      <c r="R1083">
        <v>7644</v>
      </c>
      <c r="S1083">
        <v>10</v>
      </c>
      <c r="T1083">
        <v>3</v>
      </c>
      <c r="U1083">
        <v>9</v>
      </c>
      <c r="V1083">
        <v>7</v>
      </c>
      <c r="W1083">
        <v>3</v>
      </c>
      <c r="X1083">
        <v>4</v>
      </c>
      <c r="Y1083">
        <f>IF(HR_data[[#This Row],[Attrition]]= "Yes",1,0)</f>
        <v>0</v>
      </c>
    </row>
    <row r="1084" spans="1:25">
      <c r="A1084">
        <v>1083</v>
      </c>
      <c r="B1084" t="s">
        <v>33</v>
      </c>
      <c r="C1084" t="s">
        <v>25</v>
      </c>
      <c r="D1084" t="s">
        <v>43</v>
      </c>
      <c r="E1084" t="s">
        <v>27</v>
      </c>
      <c r="F1084" t="s">
        <v>28</v>
      </c>
      <c r="G1084">
        <v>1</v>
      </c>
      <c r="H1084" t="s">
        <v>29</v>
      </c>
      <c r="I1084" t="s">
        <v>30</v>
      </c>
      <c r="J1084" t="s">
        <v>39</v>
      </c>
      <c r="K1084" t="s">
        <v>33</v>
      </c>
      <c r="L1084">
        <v>31</v>
      </c>
      <c r="M1084">
        <v>5</v>
      </c>
      <c r="N1084" t="s">
        <v>44</v>
      </c>
      <c r="O1084">
        <v>1</v>
      </c>
      <c r="P1084">
        <v>2</v>
      </c>
      <c r="Q1084">
        <v>4</v>
      </c>
      <c r="R1084">
        <v>5476</v>
      </c>
      <c r="S1084">
        <v>10</v>
      </c>
      <c r="T1084">
        <v>3</v>
      </c>
      <c r="U1084">
        <v>10</v>
      </c>
      <c r="V1084">
        <v>0</v>
      </c>
      <c r="W1084">
        <v>0</v>
      </c>
      <c r="X1084">
        <v>2</v>
      </c>
      <c r="Y1084">
        <f>IF(HR_data[[#This Row],[Attrition]]= "Yes",1,0)</f>
        <v>0</v>
      </c>
    </row>
    <row r="1085" spans="1:25">
      <c r="A1085">
        <v>1084</v>
      </c>
      <c r="B1085" t="s">
        <v>33</v>
      </c>
      <c r="C1085" t="s">
        <v>25</v>
      </c>
      <c r="D1085" t="s">
        <v>26</v>
      </c>
      <c r="E1085" t="s">
        <v>27</v>
      </c>
      <c r="F1085" t="s">
        <v>56</v>
      </c>
      <c r="G1085">
        <v>1</v>
      </c>
      <c r="H1085" t="s">
        <v>29</v>
      </c>
      <c r="I1085" t="s">
        <v>30</v>
      </c>
      <c r="J1085" t="s">
        <v>39</v>
      </c>
      <c r="K1085" t="s">
        <v>33</v>
      </c>
      <c r="L1085">
        <v>36</v>
      </c>
      <c r="M1085">
        <v>16</v>
      </c>
      <c r="N1085" t="s">
        <v>44</v>
      </c>
      <c r="O1085">
        <v>3</v>
      </c>
      <c r="P1085">
        <v>2</v>
      </c>
      <c r="Q1085">
        <v>1</v>
      </c>
      <c r="R1085">
        <v>5647</v>
      </c>
      <c r="S1085">
        <v>11</v>
      </c>
      <c r="T1085">
        <v>2</v>
      </c>
      <c r="U1085">
        <v>3</v>
      </c>
      <c r="V1085">
        <v>2</v>
      </c>
      <c r="W1085">
        <v>0</v>
      </c>
      <c r="X1085">
        <v>2</v>
      </c>
      <c r="Y1085">
        <f>IF(HR_data[[#This Row],[Attrition]]= "Yes",1,0)</f>
        <v>0</v>
      </c>
    </row>
    <row r="1086" spans="1:25">
      <c r="A1086">
        <v>1085</v>
      </c>
      <c r="B1086" t="s">
        <v>33</v>
      </c>
      <c r="C1086" t="s">
        <v>25</v>
      </c>
      <c r="D1086" t="s">
        <v>43</v>
      </c>
      <c r="E1086" t="s">
        <v>27</v>
      </c>
      <c r="F1086" t="s">
        <v>56</v>
      </c>
      <c r="G1086">
        <v>1</v>
      </c>
      <c r="H1086" t="s">
        <v>29</v>
      </c>
      <c r="I1086" t="s">
        <v>30</v>
      </c>
      <c r="J1086" t="s">
        <v>39</v>
      </c>
      <c r="K1086" t="s">
        <v>33</v>
      </c>
      <c r="L1086">
        <v>32</v>
      </c>
      <c r="M1086">
        <v>1</v>
      </c>
      <c r="N1086" t="s">
        <v>44</v>
      </c>
      <c r="O1086">
        <v>3</v>
      </c>
      <c r="P1086">
        <v>3</v>
      </c>
      <c r="Q1086">
        <v>4</v>
      </c>
      <c r="R1086">
        <v>10422</v>
      </c>
      <c r="S1086">
        <v>14</v>
      </c>
      <c r="T1086">
        <v>3</v>
      </c>
      <c r="U1086">
        <v>14</v>
      </c>
      <c r="V1086">
        <v>10</v>
      </c>
      <c r="W1086">
        <v>5</v>
      </c>
      <c r="X1086">
        <v>7</v>
      </c>
      <c r="Y1086">
        <f>IF(HR_data[[#This Row],[Attrition]]= "Yes",1,0)</f>
        <v>0</v>
      </c>
    </row>
    <row r="1087" spans="1:25">
      <c r="A1087">
        <v>1086</v>
      </c>
      <c r="B1087" t="s">
        <v>33</v>
      </c>
      <c r="C1087" t="s">
        <v>25</v>
      </c>
      <c r="D1087" t="s">
        <v>43</v>
      </c>
      <c r="E1087" t="s">
        <v>27</v>
      </c>
      <c r="F1087" t="s">
        <v>45</v>
      </c>
      <c r="G1087">
        <v>1</v>
      </c>
      <c r="H1087" t="s">
        <v>29</v>
      </c>
      <c r="I1087" t="s">
        <v>30</v>
      </c>
      <c r="J1087" t="s">
        <v>31</v>
      </c>
      <c r="K1087" t="s">
        <v>33</v>
      </c>
      <c r="L1087">
        <v>27</v>
      </c>
      <c r="M1087">
        <v>2</v>
      </c>
      <c r="N1087" t="s">
        <v>32</v>
      </c>
      <c r="O1087">
        <v>1</v>
      </c>
      <c r="P1087">
        <v>2</v>
      </c>
      <c r="Q1087">
        <v>3</v>
      </c>
      <c r="R1087">
        <v>6500</v>
      </c>
      <c r="S1087">
        <v>9</v>
      </c>
      <c r="T1087">
        <v>2</v>
      </c>
      <c r="U1087">
        <v>8</v>
      </c>
      <c r="V1087">
        <v>7</v>
      </c>
      <c r="W1087">
        <v>0</v>
      </c>
      <c r="X1087">
        <v>7</v>
      </c>
      <c r="Y1087">
        <f>IF(HR_data[[#This Row],[Attrition]]= "Yes",1,0)</f>
        <v>0</v>
      </c>
    </row>
    <row r="1088" spans="1:25">
      <c r="A1088">
        <v>1087</v>
      </c>
      <c r="B1088" t="s">
        <v>33</v>
      </c>
      <c r="C1088" t="s">
        <v>25</v>
      </c>
      <c r="D1088" t="s">
        <v>26</v>
      </c>
      <c r="E1088" t="s">
        <v>27</v>
      </c>
      <c r="F1088" t="s">
        <v>28</v>
      </c>
      <c r="G1088">
        <v>1</v>
      </c>
      <c r="H1088" t="s">
        <v>29</v>
      </c>
      <c r="I1088" t="s">
        <v>30</v>
      </c>
      <c r="J1088" t="s">
        <v>31</v>
      </c>
      <c r="K1088" t="s">
        <v>33</v>
      </c>
      <c r="L1088">
        <v>38</v>
      </c>
      <c r="M1088">
        <v>16</v>
      </c>
      <c r="N1088" t="s">
        <v>47</v>
      </c>
      <c r="O1088">
        <v>2</v>
      </c>
      <c r="P1088">
        <v>2</v>
      </c>
      <c r="Q1088">
        <v>2</v>
      </c>
      <c r="R1088">
        <v>4198</v>
      </c>
      <c r="S1088">
        <v>8</v>
      </c>
      <c r="T1088">
        <v>4</v>
      </c>
      <c r="U1088">
        <v>3</v>
      </c>
      <c r="V1088">
        <v>2</v>
      </c>
      <c r="W1088">
        <v>1</v>
      </c>
      <c r="X1088">
        <v>2</v>
      </c>
      <c r="Y1088">
        <f>IF(HR_data[[#This Row],[Attrition]]= "Yes",1,0)</f>
        <v>0</v>
      </c>
    </row>
    <row r="1089" spans="1:25">
      <c r="A1089">
        <v>1088</v>
      </c>
      <c r="B1089" t="s">
        <v>33</v>
      </c>
      <c r="C1089" t="s">
        <v>25</v>
      </c>
      <c r="D1089" t="s">
        <v>26</v>
      </c>
      <c r="E1089" t="s">
        <v>27</v>
      </c>
      <c r="F1089" t="s">
        <v>28</v>
      </c>
      <c r="G1089">
        <v>1</v>
      </c>
      <c r="H1089" t="s">
        <v>29</v>
      </c>
      <c r="I1089" t="s">
        <v>30</v>
      </c>
      <c r="J1089" t="s">
        <v>31</v>
      </c>
      <c r="K1089" t="s">
        <v>33</v>
      </c>
      <c r="L1089">
        <v>36</v>
      </c>
      <c r="M1089">
        <v>1</v>
      </c>
      <c r="N1089" t="s">
        <v>44</v>
      </c>
      <c r="O1089">
        <v>2</v>
      </c>
      <c r="P1089">
        <v>2</v>
      </c>
      <c r="Q1089">
        <v>3</v>
      </c>
      <c r="R1089">
        <v>6815</v>
      </c>
      <c r="S1089">
        <v>15</v>
      </c>
      <c r="T1089">
        <v>3</v>
      </c>
      <c r="U1089">
        <v>1</v>
      </c>
      <c r="V1089">
        <v>0</v>
      </c>
      <c r="W1089">
        <v>0</v>
      </c>
      <c r="X1089">
        <v>0</v>
      </c>
      <c r="Y1089">
        <f>IF(HR_data[[#This Row],[Attrition]]= "Yes",1,0)</f>
        <v>0</v>
      </c>
    </row>
    <row r="1090" spans="1:25">
      <c r="A1090">
        <v>1089</v>
      </c>
      <c r="B1090" t="s">
        <v>33</v>
      </c>
      <c r="C1090" t="s">
        <v>25</v>
      </c>
      <c r="D1090" t="s">
        <v>52</v>
      </c>
      <c r="E1090" t="s">
        <v>27</v>
      </c>
      <c r="F1090" t="s">
        <v>45</v>
      </c>
      <c r="G1090">
        <v>1</v>
      </c>
      <c r="H1090" t="s">
        <v>29</v>
      </c>
      <c r="I1090" t="s">
        <v>54</v>
      </c>
      <c r="J1090" t="s">
        <v>31</v>
      </c>
      <c r="K1090" t="s">
        <v>33</v>
      </c>
      <c r="L1090">
        <v>20</v>
      </c>
      <c r="M1090">
        <v>2</v>
      </c>
      <c r="N1090" t="s">
        <v>47</v>
      </c>
      <c r="O1090">
        <v>3</v>
      </c>
      <c r="P1090">
        <v>1</v>
      </c>
      <c r="Q1090">
        <v>3</v>
      </c>
      <c r="R1090">
        <v>2783</v>
      </c>
      <c r="S1090">
        <v>2</v>
      </c>
      <c r="T1090">
        <v>3</v>
      </c>
      <c r="U1090">
        <v>2</v>
      </c>
      <c r="V1090">
        <v>2</v>
      </c>
      <c r="W1090">
        <v>2</v>
      </c>
      <c r="X1090">
        <v>2</v>
      </c>
      <c r="Y1090">
        <f>IF(HR_data[[#This Row],[Attrition]]= "Yes",1,0)</f>
        <v>0</v>
      </c>
    </row>
    <row r="1091" spans="1:25">
      <c r="A1091">
        <v>1090</v>
      </c>
      <c r="B1091" t="s">
        <v>33</v>
      </c>
      <c r="C1091" t="s">
        <v>25</v>
      </c>
      <c r="D1091" t="s">
        <v>26</v>
      </c>
      <c r="E1091" t="s">
        <v>27</v>
      </c>
      <c r="F1091" t="s">
        <v>28</v>
      </c>
      <c r="G1091">
        <v>1</v>
      </c>
      <c r="H1091" t="s">
        <v>29</v>
      </c>
      <c r="I1091" t="s">
        <v>54</v>
      </c>
      <c r="J1091" t="s">
        <v>31</v>
      </c>
      <c r="K1091" t="s">
        <v>33</v>
      </c>
      <c r="L1091">
        <v>36</v>
      </c>
      <c r="M1091">
        <v>2</v>
      </c>
      <c r="N1091" t="s">
        <v>44</v>
      </c>
      <c r="O1091">
        <v>3</v>
      </c>
      <c r="P1091">
        <v>2</v>
      </c>
      <c r="Q1091">
        <v>4</v>
      </c>
      <c r="R1091">
        <v>4502</v>
      </c>
      <c r="S1091">
        <v>17</v>
      </c>
      <c r="T1091">
        <v>2</v>
      </c>
      <c r="U1091">
        <v>13</v>
      </c>
      <c r="V1091">
        <v>7</v>
      </c>
      <c r="W1091">
        <v>6</v>
      </c>
      <c r="X1091">
        <v>7</v>
      </c>
      <c r="Y1091">
        <f>IF(HR_data[[#This Row],[Attrition]]= "Yes",1,0)</f>
        <v>0</v>
      </c>
    </row>
    <row r="1092" spans="1:25">
      <c r="A1092">
        <v>1091</v>
      </c>
      <c r="B1092" t="s">
        <v>33</v>
      </c>
      <c r="C1092" t="s">
        <v>25</v>
      </c>
      <c r="D1092" t="s">
        <v>43</v>
      </c>
      <c r="E1092" t="s">
        <v>27</v>
      </c>
      <c r="F1092" t="s">
        <v>28</v>
      </c>
      <c r="G1092">
        <v>1</v>
      </c>
      <c r="H1092" t="s">
        <v>29</v>
      </c>
      <c r="I1092" t="s">
        <v>30</v>
      </c>
      <c r="J1092" t="s">
        <v>31</v>
      </c>
      <c r="K1092" t="s">
        <v>33</v>
      </c>
      <c r="L1092">
        <v>34</v>
      </c>
      <c r="M1092">
        <v>3</v>
      </c>
      <c r="N1092" t="s">
        <v>32</v>
      </c>
      <c r="O1092">
        <v>4</v>
      </c>
      <c r="P1092">
        <v>2</v>
      </c>
      <c r="Q1092">
        <v>4</v>
      </c>
      <c r="R1092">
        <v>6029</v>
      </c>
      <c r="S1092">
        <v>6</v>
      </c>
      <c r="T1092">
        <v>3</v>
      </c>
      <c r="U1092">
        <v>2</v>
      </c>
      <c r="V1092">
        <v>2</v>
      </c>
      <c r="W1092">
        <v>2</v>
      </c>
      <c r="X1092">
        <v>2</v>
      </c>
      <c r="Y1092">
        <f>IF(HR_data[[#This Row],[Attrition]]= "Yes",1,0)</f>
        <v>0</v>
      </c>
    </row>
    <row r="1093" spans="1:25">
      <c r="A1093">
        <v>1092</v>
      </c>
      <c r="B1093" t="s">
        <v>33</v>
      </c>
      <c r="C1093" t="s">
        <v>25</v>
      </c>
      <c r="D1093" t="s">
        <v>43</v>
      </c>
      <c r="E1093" t="s">
        <v>27</v>
      </c>
      <c r="F1093" t="s">
        <v>41</v>
      </c>
      <c r="G1093">
        <v>1</v>
      </c>
      <c r="H1093" t="s">
        <v>29</v>
      </c>
      <c r="I1093" t="s">
        <v>54</v>
      </c>
      <c r="J1093" t="s">
        <v>31</v>
      </c>
      <c r="K1093" t="s">
        <v>33</v>
      </c>
      <c r="L1093">
        <v>26</v>
      </c>
      <c r="M1093">
        <v>5</v>
      </c>
      <c r="N1093" t="s">
        <v>47</v>
      </c>
      <c r="O1093">
        <v>4</v>
      </c>
      <c r="P1093">
        <v>1</v>
      </c>
      <c r="Q1093">
        <v>3</v>
      </c>
      <c r="R1093">
        <v>2966</v>
      </c>
      <c r="S1093">
        <v>5</v>
      </c>
      <c r="T1093">
        <v>3</v>
      </c>
      <c r="U1093">
        <v>4</v>
      </c>
      <c r="V1093">
        <v>2</v>
      </c>
      <c r="W1093">
        <v>0</v>
      </c>
      <c r="X1093">
        <v>0</v>
      </c>
      <c r="Y1093">
        <f>IF(HR_data[[#This Row],[Attrition]]= "Yes",1,0)</f>
        <v>0</v>
      </c>
    </row>
    <row r="1094" spans="1:25">
      <c r="A1094">
        <v>1093</v>
      </c>
      <c r="B1094" t="s">
        <v>33</v>
      </c>
      <c r="C1094" t="s">
        <v>25</v>
      </c>
      <c r="D1094" t="s">
        <v>35</v>
      </c>
      <c r="E1094" t="s">
        <v>27</v>
      </c>
      <c r="F1094" t="s">
        <v>28</v>
      </c>
      <c r="G1094">
        <v>1</v>
      </c>
      <c r="H1094" t="s">
        <v>29</v>
      </c>
      <c r="I1094" t="s">
        <v>30</v>
      </c>
      <c r="J1094" t="s">
        <v>31</v>
      </c>
      <c r="K1094" t="s">
        <v>33</v>
      </c>
      <c r="L1094">
        <v>45</v>
      </c>
      <c r="M1094">
        <v>20</v>
      </c>
      <c r="N1094" t="s">
        <v>47</v>
      </c>
      <c r="O1094">
        <v>4</v>
      </c>
      <c r="P1094">
        <v>2</v>
      </c>
      <c r="Q1094">
        <v>3</v>
      </c>
      <c r="R1094">
        <v>4850</v>
      </c>
      <c r="S1094">
        <v>8</v>
      </c>
      <c r="T1094">
        <v>3</v>
      </c>
      <c r="U1094">
        <v>5</v>
      </c>
      <c r="V1094">
        <v>3</v>
      </c>
      <c r="W1094">
        <v>0</v>
      </c>
      <c r="X1094">
        <v>1</v>
      </c>
      <c r="Y1094">
        <f>IF(HR_data[[#This Row],[Attrition]]= "Yes",1,0)</f>
        <v>0</v>
      </c>
    </row>
    <row r="1095" spans="1:25">
      <c r="A1095">
        <v>1094</v>
      </c>
      <c r="B1095" t="s">
        <v>33</v>
      </c>
      <c r="C1095" t="s">
        <v>25</v>
      </c>
      <c r="D1095" t="s">
        <v>35</v>
      </c>
      <c r="E1095" t="s">
        <v>27</v>
      </c>
      <c r="F1095" t="s">
        <v>56</v>
      </c>
      <c r="G1095">
        <v>1</v>
      </c>
      <c r="H1095" t="s">
        <v>29</v>
      </c>
      <c r="I1095" t="s">
        <v>30</v>
      </c>
      <c r="J1095" t="s">
        <v>31</v>
      </c>
      <c r="K1095" t="s">
        <v>33</v>
      </c>
      <c r="L1095">
        <v>49</v>
      </c>
      <c r="M1095">
        <v>11</v>
      </c>
      <c r="N1095" t="s">
        <v>44</v>
      </c>
      <c r="O1095">
        <v>4</v>
      </c>
      <c r="P1095">
        <v>2</v>
      </c>
      <c r="Q1095">
        <v>4</v>
      </c>
      <c r="R1095">
        <v>4507</v>
      </c>
      <c r="S1095">
        <v>8</v>
      </c>
      <c r="T1095">
        <v>4</v>
      </c>
      <c r="U1095">
        <v>5</v>
      </c>
      <c r="V1095">
        <v>1</v>
      </c>
      <c r="W1095">
        <v>0</v>
      </c>
      <c r="X1095">
        <v>4</v>
      </c>
      <c r="Y1095">
        <f>IF(HR_data[[#This Row],[Attrition]]= "Yes",1,0)</f>
        <v>0</v>
      </c>
    </row>
    <row r="1096" spans="1:25">
      <c r="A1096">
        <v>1095</v>
      </c>
      <c r="B1096" t="s">
        <v>33</v>
      </c>
      <c r="C1096" t="s">
        <v>51</v>
      </c>
      <c r="D1096" t="s">
        <v>43</v>
      </c>
      <c r="E1096" t="s">
        <v>59</v>
      </c>
      <c r="F1096" t="s">
        <v>28</v>
      </c>
      <c r="G1096">
        <v>1</v>
      </c>
      <c r="H1096" t="s">
        <v>37</v>
      </c>
      <c r="I1096" t="s">
        <v>60</v>
      </c>
      <c r="J1096" t="s">
        <v>48</v>
      </c>
      <c r="K1096" t="s">
        <v>33</v>
      </c>
      <c r="L1096">
        <v>28</v>
      </c>
      <c r="M1096">
        <v>1</v>
      </c>
      <c r="N1096" t="s">
        <v>32</v>
      </c>
      <c r="O1096">
        <v>3</v>
      </c>
      <c r="P1096">
        <v>1</v>
      </c>
      <c r="Q1096">
        <v>4</v>
      </c>
      <c r="R1096">
        <v>2706</v>
      </c>
      <c r="S1096">
        <v>3</v>
      </c>
      <c r="T1096">
        <v>3</v>
      </c>
      <c r="U1096">
        <v>3</v>
      </c>
      <c r="V1096">
        <v>2</v>
      </c>
      <c r="W1096">
        <v>2</v>
      </c>
      <c r="X1096">
        <v>2</v>
      </c>
      <c r="Y1096">
        <f>IF(HR_data[[#This Row],[Attrition]]= "Yes",1,0)</f>
        <v>0</v>
      </c>
    </row>
    <row r="1097" spans="1:25">
      <c r="A1097">
        <v>1096</v>
      </c>
      <c r="B1097" t="s">
        <v>33</v>
      </c>
      <c r="C1097" t="s">
        <v>51</v>
      </c>
      <c r="D1097" t="s">
        <v>26</v>
      </c>
      <c r="E1097" t="s">
        <v>59</v>
      </c>
      <c r="F1097" t="s">
        <v>60</v>
      </c>
      <c r="G1097">
        <v>1</v>
      </c>
      <c r="H1097" t="s">
        <v>37</v>
      </c>
      <c r="I1097" t="s">
        <v>60</v>
      </c>
      <c r="J1097" t="s">
        <v>48</v>
      </c>
      <c r="K1097" t="s">
        <v>33</v>
      </c>
      <c r="L1097">
        <v>38</v>
      </c>
      <c r="M1097">
        <v>2</v>
      </c>
      <c r="N1097" t="s">
        <v>47</v>
      </c>
      <c r="O1097">
        <v>1</v>
      </c>
      <c r="P1097">
        <v>1</v>
      </c>
      <c r="Q1097">
        <v>2</v>
      </c>
      <c r="R1097">
        <v>2592</v>
      </c>
      <c r="S1097">
        <v>13</v>
      </c>
      <c r="T1097">
        <v>3</v>
      </c>
      <c r="U1097">
        <v>11</v>
      </c>
      <c r="V1097">
        <v>10</v>
      </c>
      <c r="W1097">
        <v>3</v>
      </c>
      <c r="X1097">
        <v>8</v>
      </c>
      <c r="Y1097">
        <f>IF(HR_data[[#This Row],[Attrition]]= "Yes",1,0)</f>
        <v>0</v>
      </c>
    </row>
    <row r="1098" spans="1:25">
      <c r="A1098">
        <v>1097</v>
      </c>
      <c r="B1098" t="s">
        <v>33</v>
      </c>
      <c r="C1098" t="s">
        <v>51</v>
      </c>
      <c r="D1098" t="s">
        <v>26</v>
      </c>
      <c r="E1098" t="s">
        <v>59</v>
      </c>
      <c r="F1098" t="s">
        <v>60</v>
      </c>
      <c r="G1098">
        <v>1</v>
      </c>
      <c r="H1098" t="s">
        <v>37</v>
      </c>
      <c r="I1098" t="s">
        <v>60</v>
      </c>
      <c r="J1098" t="s">
        <v>39</v>
      </c>
      <c r="K1098" t="s">
        <v>33</v>
      </c>
      <c r="L1098">
        <v>41</v>
      </c>
      <c r="M1098">
        <v>4</v>
      </c>
      <c r="N1098" t="s">
        <v>47</v>
      </c>
      <c r="O1098">
        <v>3</v>
      </c>
      <c r="P1098">
        <v>2</v>
      </c>
      <c r="Q1098">
        <v>2</v>
      </c>
      <c r="R1098">
        <v>6430</v>
      </c>
      <c r="S1098">
        <v>10</v>
      </c>
      <c r="T1098">
        <v>3</v>
      </c>
      <c r="U1098">
        <v>3</v>
      </c>
      <c r="V1098">
        <v>2</v>
      </c>
      <c r="W1098">
        <v>1</v>
      </c>
      <c r="X1098">
        <v>2</v>
      </c>
      <c r="Y1098">
        <f>IF(HR_data[[#This Row],[Attrition]]= "Yes",1,0)</f>
        <v>0</v>
      </c>
    </row>
    <row r="1099" spans="1:25">
      <c r="A1099">
        <v>1098</v>
      </c>
      <c r="B1099" t="s">
        <v>33</v>
      </c>
      <c r="C1099" t="s">
        <v>51</v>
      </c>
      <c r="D1099" t="s">
        <v>26</v>
      </c>
      <c r="E1099" t="s">
        <v>36</v>
      </c>
      <c r="F1099" t="s">
        <v>45</v>
      </c>
      <c r="G1099">
        <v>1</v>
      </c>
      <c r="H1099" t="s">
        <v>37</v>
      </c>
      <c r="I1099" t="s">
        <v>49</v>
      </c>
      <c r="J1099" t="s">
        <v>48</v>
      </c>
      <c r="K1099" t="s">
        <v>33</v>
      </c>
      <c r="L1099">
        <v>35</v>
      </c>
      <c r="M1099">
        <v>2</v>
      </c>
      <c r="N1099" t="s">
        <v>32</v>
      </c>
      <c r="O1099">
        <v>2</v>
      </c>
      <c r="P1099">
        <v>2</v>
      </c>
      <c r="Q1099">
        <v>4</v>
      </c>
      <c r="R1099">
        <v>5762</v>
      </c>
      <c r="S1099">
        <v>15</v>
      </c>
      <c r="T1099">
        <v>3</v>
      </c>
      <c r="U1099">
        <v>7</v>
      </c>
      <c r="V1099">
        <v>7</v>
      </c>
      <c r="W1099">
        <v>1</v>
      </c>
      <c r="X1099">
        <v>7</v>
      </c>
      <c r="Y1099">
        <f>IF(HR_data[[#This Row],[Attrition]]= "Yes",1,0)</f>
        <v>0</v>
      </c>
    </row>
    <row r="1100" spans="1:25">
      <c r="A1100">
        <v>1099</v>
      </c>
      <c r="B1100" t="s">
        <v>33</v>
      </c>
      <c r="C1100" t="s">
        <v>51</v>
      </c>
      <c r="D1100" t="s">
        <v>26</v>
      </c>
      <c r="E1100" t="s">
        <v>36</v>
      </c>
      <c r="F1100" t="s">
        <v>45</v>
      </c>
      <c r="G1100">
        <v>1</v>
      </c>
      <c r="H1100" t="s">
        <v>37</v>
      </c>
      <c r="I1100" t="s">
        <v>55</v>
      </c>
      <c r="J1100" t="s">
        <v>48</v>
      </c>
      <c r="K1100" t="s">
        <v>33</v>
      </c>
      <c r="L1100">
        <v>40</v>
      </c>
      <c r="M1100">
        <v>8</v>
      </c>
      <c r="N1100" t="s">
        <v>40</v>
      </c>
      <c r="O1100">
        <v>4</v>
      </c>
      <c r="P1100">
        <v>3</v>
      </c>
      <c r="Q1100">
        <v>2</v>
      </c>
      <c r="R1100">
        <v>13757</v>
      </c>
      <c r="S1100">
        <v>16</v>
      </c>
      <c r="T1100">
        <v>3</v>
      </c>
      <c r="U1100">
        <v>9</v>
      </c>
      <c r="V1100">
        <v>8</v>
      </c>
      <c r="W1100">
        <v>4</v>
      </c>
      <c r="X1100">
        <v>8</v>
      </c>
      <c r="Y1100">
        <f>IF(HR_data[[#This Row],[Attrition]]= "Yes",1,0)</f>
        <v>0</v>
      </c>
    </row>
    <row r="1101" spans="1:25">
      <c r="A1101">
        <v>1100</v>
      </c>
      <c r="B1101" t="s">
        <v>33</v>
      </c>
      <c r="C1101" t="s">
        <v>51</v>
      </c>
      <c r="D1101" t="s">
        <v>43</v>
      </c>
      <c r="E1101" t="s">
        <v>36</v>
      </c>
      <c r="F1101" t="s">
        <v>57</v>
      </c>
      <c r="G1101">
        <v>1</v>
      </c>
      <c r="H1101" t="s">
        <v>37</v>
      </c>
      <c r="I1101" t="s">
        <v>38</v>
      </c>
      <c r="J1101" t="s">
        <v>48</v>
      </c>
      <c r="K1101" t="s">
        <v>33</v>
      </c>
      <c r="L1101">
        <v>30</v>
      </c>
      <c r="M1101">
        <v>7</v>
      </c>
      <c r="N1101" t="s">
        <v>47</v>
      </c>
      <c r="O1101">
        <v>3</v>
      </c>
      <c r="P1101">
        <v>1</v>
      </c>
      <c r="Q1101">
        <v>3</v>
      </c>
      <c r="R1101">
        <v>1274</v>
      </c>
      <c r="S1101">
        <v>1</v>
      </c>
      <c r="T1101">
        <v>2</v>
      </c>
      <c r="U1101">
        <v>1</v>
      </c>
      <c r="V1101">
        <v>0</v>
      </c>
      <c r="W1101">
        <v>0</v>
      </c>
      <c r="X1101">
        <v>0</v>
      </c>
      <c r="Y1101">
        <f>IF(HR_data[[#This Row],[Attrition]]= "Yes",1,0)</f>
        <v>0</v>
      </c>
    </row>
    <row r="1102" spans="1:25">
      <c r="A1102">
        <v>1101</v>
      </c>
      <c r="B1102" t="s">
        <v>33</v>
      </c>
      <c r="C1102" t="s">
        <v>51</v>
      </c>
      <c r="D1102" t="s">
        <v>26</v>
      </c>
      <c r="E1102" t="s">
        <v>36</v>
      </c>
      <c r="F1102" t="s">
        <v>41</v>
      </c>
      <c r="G1102">
        <v>1</v>
      </c>
      <c r="H1102" t="s">
        <v>37</v>
      </c>
      <c r="I1102" t="s">
        <v>42</v>
      </c>
      <c r="J1102" t="s">
        <v>48</v>
      </c>
      <c r="K1102" t="s">
        <v>33</v>
      </c>
      <c r="L1102">
        <v>40</v>
      </c>
      <c r="M1102">
        <v>9</v>
      </c>
      <c r="N1102" t="s">
        <v>44</v>
      </c>
      <c r="O1102">
        <v>3</v>
      </c>
      <c r="P1102">
        <v>2</v>
      </c>
      <c r="Q1102">
        <v>3</v>
      </c>
      <c r="R1102">
        <v>3975</v>
      </c>
      <c r="S1102">
        <v>11</v>
      </c>
      <c r="T1102">
        <v>4</v>
      </c>
      <c r="U1102">
        <v>8</v>
      </c>
      <c r="V1102">
        <v>7</v>
      </c>
      <c r="W1102">
        <v>0</v>
      </c>
      <c r="X1102">
        <v>7</v>
      </c>
      <c r="Y1102">
        <f>IF(HR_data[[#This Row],[Attrition]]= "Yes",1,0)</f>
        <v>0</v>
      </c>
    </row>
    <row r="1103" spans="1:25">
      <c r="A1103">
        <v>1102</v>
      </c>
      <c r="B1103" t="s">
        <v>33</v>
      </c>
      <c r="C1103" t="s">
        <v>51</v>
      </c>
      <c r="D1103" t="s">
        <v>43</v>
      </c>
      <c r="E1103" t="s">
        <v>36</v>
      </c>
      <c r="F1103" t="s">
        <v>57</v>
      </c>
      <c r="G1103">
        <v>1</v>
      </c>
      <c r="H1103" t="s">
        <v>37</v>
      </c>
      <c r="I1103" t="s">
        <v>38</v>
      </c>
      <c r="J1103" t="s">
        <v>48</v>
      </c>
      <c r="K1103" t="s">
        <v>33</v>
      </c>
      <c r="L1103">
        <v>33</v>
      </c>
      <c r="M1103">
        <v>4</v>
      </c>
      <c r="N1103" t="s">
        <v>47</v>
      </c>
      <c r="O1103">
        <v>4</v>
      </c>
      <c r="P1103">
        <v>2</v>
      </c>
      <c r="Q1103">
        <v>2</v>
      </c>
      <c r="R1103">
        <v>3055</v>
      </c>
      <c r="S1103">
        <v>11</v>
      </c>
      <c r="T1103">
        <v>2</v>
      </c>
      <c r="U1103">
        <v>9</v>
      </c>
      <c r="V1103">
        <v>8</v>
      </c>
      <c r="W1103">
        <v>1</v>
      </c>
      <c r="X1103">
        <v>7</v>
      </c>
      <c r="Y1103">
        <f>IF(HR_data[[#This Row],[Attrition]]= "Yes",1,0)</f>
        <v>0</v>
      </c>
    </row>
    <row r="1104" spans="1:25">
      <c r="A1104">
        <v>1103</v>
      </c>
      <c r="B1104" t="s">
        <v>33</v>
      </c>
      <c r="C1104" t="s">
        <v>51</v>
      </c>
      <c r="D1104" t="s">
        <v>43</v>
      </c>
      <c r="E1104" t="s">
        <v>36</v>
      </c>
      <c r="F1104" t="s">
        <v>45</v>
      </c>
      <c r="G1104">
        <v>1</v>
      </c>
      <c r="H1104" t="s">
        <v>37</v>
      </c>
      <c r="I1104" t="s">
        <v>42</v>
      </c>
      <c r="J1104" t="s">
        <v>48</v>
      </c>
      <c r="K1104" t="s">
        <v>33</v>
      </c>
      <c r="L1104">
        <v>33</v>
      </c>
      <c r="M1104">
        <v>1</v>
      </c>
      <c r="N1104" t="s">
        <v>32</v>
      </c>
      <c r="O1104">
        <v>2</v>
      </c>
      <c r="P1104">
        <v>1</v>
      </c>
      <c r="Q1104">
        <v>3</v>
      </c>
      <c r="R1104">
        <v>2008</v>
      </c>
      <c r="S1104">
        <v>1</v>
      </c>
      <c r="T1104">
        <v>2</v>
      </c>
      <c r="U1104">
        <v>1</v>
      </c>
      <c r="V1104">
        <v>1</v>
      </c>
      <c r="W1104">
        <v>0</v>
      </c>
      <c r="X1104">
        <v>0</v>
      </c>
      <c r="Y1104">
        <f>IF(HR_data[[#This Row],[Attrition]]= "Yes",1,0)</f>
        <v>0</v>
      </c>
    </row>
    <row r="1105" spans="1:25">
      <c r="A1105">
        <v>1104</v>
      </c>
      <c r="B1105" t="s">
        <v>33</v>
      </c>
      <c r="C1105" t="s">
        <v>51</v>
      </c>
      <c r="D1105" t="s">
        <v>35</v>
      </c>
      <c r="E1105" t="s">
        <v>36</v>
      </c>
      <c r="F1105" t="s">
        <v>57</v>
      </c>
      <c r="G1105">
        <v>1</v>
      </c>
      <c r="H1105" t="s">
        <v>37</v>
      </c>
      <c r="I1105" t="s">
        <v>38</v>
      </c>
      <c r="J1105" t="s">
        <v>39</v>
      </c>
      <c r="K1105" t="s">
        <v>33</v>
      </c>
      <c r="L1105">
        <v>47</v>
      </c>
      <c r="M1105">
        <v>14</v>
      </c>
      <c r="N1105" t="s">
        <v>44</v>
      </c>
      <c r="O1105">
        <v>3</v>
      </c>
      <c r="P1105">
        <v>2</v>
      </c>
      <c r="Q1105">
        <v>2</v>
      </c>
      <c r="R1105">
        <v>5467</v>
      </c>
      <c r="S1105">
        <v>16</v>
      </c>
      <c r="T1105">
        <v>4</v>
      </c>
      <c r="U1105">
        <v>8</v>
      </c>
      <c r="V1105">
        <v>7</v>
      </c>
      <c r="W1105">
        <v>1</v>
      </c>
      <c r="X1105">
        <v>7</v>
      </c>
      <c r="Y1105">
        <f>IF(HR_data[[#This Row],[Attrition]]= "Yes",1,0)</f>
        <v>0</v>
      </c>
    </row>
    <row r="1106" spans="1:25">
      <c r="A1106">
        <v>1105</v>
      </c>
      <c r="B1106" t="s">
        <v>33</v>
      </c>
      <c r="C1106" t="s">
        <v>51</v>
      </c>
      <c r="D1106" t="s">
        <v>43</v>
      </c>
      <c r="E1106" t="s">
        <v>36</v>
      </c>
      <c r="F1106" t="s">
        <v>57</v>
      </c>
      <c r="G1106">
        <v>1</v>
      </c>
      <c r="H1106" t="s">
        <v>37</v>
      </c>
      <c r="I1106" t="s">
        <v>38</v>
      </c>
      <c r="J1106" t="s">
        <v>39</v>
      </c>
      <c r="K1106" t="s">
        <v>33</v>
      </c>
      <c r="L1106">
        <v>32</v>
      </c>
      <c r="M1106">
        <v>1</v>
      </c>
      <c r="N1106" t="s">
        <v>44</v>
      </c>
      <c r="O1106">
        <v>4</v>
      </c>
      <c r="P1106">
        <v>2</v>
      </c>
      <c r="Q1106">
        <v>1</v>
      </c>
      <c r="R1106">
        <v>4087</v>
      </c>
      <c r="S1106">
        <v>9</v>
      </c>
      <c r="T1106">
        <v>2</v>
      </c>
      <c r="U1106">
        <v>6</v>
      </c>
      <c r="V1106">
        <v>5</v>
      </c>
      <c r="W1106">
        <v>1</v>
      </c>
      <c r="X1106">
        <v>2</v>
      </c>
      <c r="Y1106">
        <f>IF(HR_data[[#This Row],[Attrition]]= "Yes",1,0)</f>
        <v>0</v>
      </c>
    </row>
    <row r="1107" spans="1:25">
      <c r="A1107">
        <v>1106</v>
      </c>
      <c r="B1107" t="s">
        <v>33</v>
      </c>
      <c r="C1107" t="s">
        <v>51</v>
      </c>
      <c r="D1107" t="s">
        <v>26</v>
      </c>
      <c r="E1107" t="s">
        <v>36</v>
      </c>
      <c r="F1107" t="s">
        <v>28</v>
      </c>
      <c r="G1107">
        <v>1</v>
      </c>
      <c r="H1107" t="s">
        <v>37</v>
      </c>
      <c r="I1107" t="s">
        <v>38</v>
      </c>
      <c r="J1107" t="s">
        <v>31</v>
      </c>
      <c r="K1107" t="s">
        <v>33</v>
      </c>
      <c r="L1107">
        <v>43</v>
      </c>
      <c r="M1107">
        <v>9</v>
      </c>
      <c r="N1107" t="s">
        <v>47</v>
      </c>
      <c r="O1107">
        <v>1</v>
      </c>
      <c r="P1107">
        <v>1</v>
      </c>
      <c r="Q1107">
        <v>3</v>
      </c>
      <c r="R1107">
        <v>2438</v>
      </c>
      <c r="S1107">
        <v>7</v>
      </c>
      <c r="T1107">
        <v>2</v>
      </c>
      <c r="U1107">
        <v>3</v>
      </c>
      <c r="V1107">
        <v>2</v>
      </c>
      <c r="W1107">
        <v>1</v>
      </c>
      <c r="X1107">
        <v>2</v>
      </c>
      <c r="Y1107">
        <f>IF(HR_data[[#This Row],[Attrition]]= "Yes",1,0)</f>
        <v>0</v>
      </c>
    </row>
    <row r="1108" spans="1:25">
      <c r="A1108">
        <v>1107</v>
      </c>
      <c r="B1108" t="s">
        <v>33</v>
      </c>
      <c r="C1108" t="s">
        <v>51</v>
      </c>
      <c r="D1108" t="s">
        <v>43</v>
      </c>
      <c r="E1108" t="s">
        <v>36</v>
      </c>
      <c r="F1108" t="s">
        <v>45</v>
      </c>
      <c r="G1108">
        <v>1</v>
      </c>
      <c r="H1108" t="s">
        <v>37</v>
      </c>
      <c r="I1108" t="s">
        <v>49</v>
      </c>
      <c r="J1108" t="s">
        <v>31</v>
      </c>
      <c r="K1108" t="s">
        <v>33</v>
      </c>
      <c r="L1108">
        <v>31</v>
      </c>
      <c r="M1108">
        <v>5</v>
      </c>
      <c r="N1108" t="s">
        <v>47</v>
      </c>
      <c r="O1108">
        <v>2</v>
      </c>
      <c r="P1108">
        <v>2</v>
      </c>
      <c r="Q1108">
        <v>1</v>
      </c>
      <c r="R1108">
        <v>9936</v>
      </c>
      <c r="S1108">
        <v>10</v>
      </c>
      <c r="T1108">
        <v>3</v>
      </c>
      <c r="U1108">
        <v>9</v>
      </c>
      <c r="V1108">
        <v>4</v>
      </c>
      <c r="W1108">
        <v>1</v>
      </c>
      <c r="X1108">
        <v>7</v>
      </c>
      <c r="Y1108">
        <f>IF(HR_data[[#This Row],[Attrition]]= "Yes",1,0)</f>
        <v>0</v>
      </c>
    </row>
    <row r="1109" spans="1:25">
      <c r="A1109">
        <v>1108</v>
      </c>
      <c r="B1109" t="s">
        <v>33</v>
      </c>
      <c r="C1109" t="s">
        <v>51</v>
      </c>
      <c r="D1109" t="s">
        <v>43</v>
      </c>
      <c r="E1109" t="s">
        <v>36</v>
      </c>
      <c r="F1109" t="s">
        <v>57</v>
      </c>
      <c r="G1109">
        <v>1</v>
      </c>
      <c r="H1109" t="s">
        <v>37</v>
      </c>
      <c r="I1109" t="s">
        <v>38</v>
      </c>
      <c r="J1109" t="s">
        <v>31</v>
      </c>
      <c r="K1109" t="s">
        <v>33</v>
      </c>
      <c r="L1109">
        <v>32</v>
      </c>
      <c r="M1109">
        <v>5</v>
      </c>
      <c r="N1109" t="s">
        <v>44</v>
      </c>
      <c r="O1109">
        <v>2</v>
      </c>
      <c r="P1109">
        <v>1</v>
      </c>
      <c r="Q1109">
        <v>2</v>
      </c>
      <c r="R1109">
        <v>2718</v>
      </c>
      <c r="S1109">
        <v>12</v>
      </c>
      <c r="T1109">
        <v>3</v>
      </c>
      <c r="U1109">
        <v>7</v>
      </c>
      <c r="V1109">
        <v>7</v>
      </c>
      <c r="W1109">
        <v>0</v>
      </c>
      <c r="X1109">
        <v>7</v>
      </c>
      <c r="Y1109">
        <f>IF(HR_data[[#This Row],[Attrition]]= "Yes",1,0)</f>
        <v>0</v>
      </c>
    </row>
    <row r="1110" spans="1:25">
      <c r="A1110">
        <v>1109</v>
      </c>
      <c r="B1110" t="s">
        <v>33</v>
      </c>
      <c r="C1110" t="s">
        <v>51</v>
      </c>
      <c r="D1110" t="s">
        <v>26</v>
      </c>
      <c r="E1110" t="s">
        <v>36</v>
      </c>
      <c r="F1110" t="s">
        <v>28</v>
      </c>
      <c r="G1110">
        <v>1</v>
      </c>
      <c r="H1110" t="s">
        <v>37</v>
      </c>
      <c r="I1110" t="s">
        <v>42</v>
      </c>
      <c r="J1110" t="s">
        <v>31</v>
      </c>
      <c r="K1110" t="s">
        <v>33</v>
      </c>
      <c r="L1110">
        <v>44</v>
      </c>
      <c r="M1110">
        <v>5</v>
      </c>
      <c r="N1110" t="s">
        <v>47</v>
      </c>
      <c r="O1110">
        <v>3</v>
      </c>
      <c r="P1110">
        <v>1</v>
      </c>
      <c r="Q1110">
        <v>3</v>
      </c>
      <c r="R1110">
        <v>3162</v>
      </c>
      <c r="S1110">
        <v>7</v>
      </c>
      <c r="T1110">
        <v>3</v>
      </c>
      <c r="U1110">
        <v>5</v>
      </c>
      <c r="V1110">
        <v>2</v>
      </c>
      <c r="W1110">
        <v>0</v>
      </c>
      <c r="X1110">
        <v>3</v>
      </c>
      <c r="Y1110">
        <f>IF(HR_data[[#This Row],[Attrition]]= "Yes",1,0)</f>
        <v>0</v>
      </c>
    </row>
    <row r="1111" spans="1:25">
      <c r="A1111">
        <v>1110</v>
      </c>
      <c r="B1111" t="s">
        <v>33</v>
      </c>
      <c r="C1111" t="s">
        <v>51</v>
      </c>
      <c r="D1111" t="s">
        <v>43</v>
      </c>
      <c r="E1111" t="s">
        <v>36</v>
      </c>
      <c r="F1111" t="s">
        <v>45</v>
      </c>
      <c r="G1111">
        <v>1</v>
      </c>
      <c r="H1111" t="s">
        <v>37</v>
      </c>
      <c r="I1111" t="s">
        <v>38</v>
      </c>
      <c r="J1111" t="s">
        <v>31</v>
      </c>
      <c r="K1111" t="s">
        <v>33</v>
      </c>
      <c r="L1111">
        <v>28</v>
      </c>
      <c r="M1111">
        <v>16</v>
      </c>
      <c r="N1111" t="s">
        <v>47</v>
      </c>
      <c r="O1111">
        <v>3</v>
      </c>
      <c r="P1111">
        <v>1</v>
      </c>
      <c r="Q1111">
        <v>3</v>
      </c>
      <c r="R1111">
        <v>2144</v>
      </c>
      <c r="S1111">
        <v>5</v>
      </c>
      <c r="T1111">
        <v>2</v>
      </c>
      <c r="U1111">
        <v>5</v>
      </c>
      <c r="V1111">
        <v>3</v>
      </c>
      <c r="W1111">
        <v>1</v>
      </c>
      <c r="X1111">
        <v>4</v>
      </c>
      <c r="Y1111">
        <f>IF(HR_data[[#This Row],[Attrition]]= "Yes",1,0)</f>
        <v>0</v>
      </c>
    </row>
    <row r="1112" spans="1:25">
      <c r="A1112">
        <v>1111</v>
      </c>
      <c r="B1112" t="s">
        <v>33</v>
      </c>
      <c r="C1112" t="s">
        <v>51</v>
      </c>
      <c r="D1112" t="s">
        <v>26</v>
      </c>
      <c r="E1112" t="s">
        <v>36</v>
      </c>
      <c r="F1112" t="s">
        <v>57</v>
      </c>
      <c r="G1112">
        <v>1</v>
      </c>
      <c r="H1112" t="s">
        <v>37</v>
      </c>
      <c r="I1112" t="s">
        <v>42</v>
      </c>
      <c r="J1112" t="s">
        <v>31</v>
      </c>
      <c r="K1112" t="s">
        <v>33</v>
      </c>
      <c r="L1112">
        <v>37</v>
      </c>
      <c r="M1112">
        <v>5</v>
      </c>
      <c r="N1112" t="s">
        <v>32</v>
      </c>
      <c r="O1112">
        <v>3</v>
      </c>
      <c r="P1112">
        <v>1</v>
      </c>
      <c r="Q1112">
        <v>3</v>
      </c>
      <c r="R1112">
        <v>3500</v>
      </c>
      <c r="S1112">
        <v>7</v>
      </c>
      <c r="T1112">
        <v>1</v>
      </c>
      <c r="U1112">
        <v>6</v>
      </c>
      <c r="V1112">
        <v>5</v>
      </c>
      <c r="W1112">
        <v>1</v>
      </c>
      <c r="X1112">
        <v>3</v>
      </c>
      <c r="Y1112">
        <f>IF(HR_data[[#This Row],[Attrition]]= "Yes",1,0)</f>
        <v>0</v>
      </c>
    </row>
    <row r="1113" spans="1:25">
      <c r="A1113">
        <v>1112</v>
      </c>
      <c r="B1113" t="s">
        <v>33</v>
      </c>
      <c r="C1113" t="s">
        <v>51</v>
      </c>
      <c r="D1113" t="s">
        <v>26</v>
      </c>
      <c r="E1113" t="s">
        <v>36</v>
      </c>
      <c r="F1113" t="s">
        <v>28</v>
      </c>
      <c r="G1113">
        <v>1</v>
      </c>
      <c r="H1113" t="s">
        <v>37</v>
      </c>
      <c r="I1113" t="s">
        <v>38</v>
      </c>
      <c r="J1113" t="s">
        <v>31</v>
      </c>
      <c r="K1113" t="s">
        <v>33</v>
      </c>
      <c r="L1113">
        <v>42</v>
      </c>
      <c r="M1113">
        <v>23</v>
      </c>
      <c r="N1113" t="s">
        <v>32</v>
      </c>
      <c r="O1113">
        <v>4</v>
      </c>
      <c r="P1113">
        <v>2</v>
      </c>
      <c r="Q1113">
        <v>3</v>
      </c>
      <c r="R1113">
        <v>4332</v>
      </c>
      <c r="S1113">
        <v>20</v>
      </c>
      <c r="T1113">
        <v>3</v>
      </c>
      <c r="U1113">
        <v>20</v>
      </c>
      <c r="V1113">
        <v>9</v>
      </c>
      <c r="W1113">
        <v>3</v>
      </c>
      <c r="X1113">
        <v>7</v>
      </c>
      <c r="Y1113">
        <f>IF(HR_data[[#This Row],[Attrition]]= "Yes",1,0)</f>
        <v>0</v>
      </c>
    </row>
    <row r="1114" spans="1:25">
      <c r="A1114">
        <v>1113</v>
      </c>
      <c r="B1114" t="s">
        <v>33</v>
      </c>
      <c r="C1114" t="s">
        <v>51</v>
      </c>
      <c r="D1114" t="s">
        <v>26</v>
      </c>
      <c r="E1114" t="s">
        <v>36</v>
      </c>
      <c r="F1114" t="s">
        <v>28</v>
      </c>
      <c r="G1114">
        <v>1</v>
      </c>
      <c r="H1114" t="s">
        <v>37</v>
      </c>
      <c r="I1114" t="s">
        <v>53</v>
      </c>
      <c r="J1114" t="s">
        <v>31</v>
      </c>
      <c r="K1114" t="s">
        <v>33</v>
      </c>
      <c r="L1114">
        <v>39</v>
      </c>
      <c r="M1114">
        <v>9</v>
      </c>
      <c r="N1114" t="s">
        <v>47</v>
      </c>
      <c r="O1114">
        <v>4</v>
      </c>
      <c r="P1114">
        <v>5</v>
      </c>
      <c r="Q1114">
        <v>4</v>
      </c>
      <c r="R1114">
        <v>19431</v>
      </c>
      <c r="S1114">
        <v>21</v>
      </c>
      <c r="T1114">
        <v>2</v>
      </c>
      <c r="U1114">
        <v>6</v>
      </c>
      <c r="V1114">
        <v>0</v>
      </c>
      <c r="W1114">
        <v>1</v>
      </c>
      <c r="X1114">
        <v>3</v>
      </c>
      <c r="Y1114">
        <f>IF(HR_data[[#This Row],[Attrition]]= "Yes",1,0)</f>
        <v>0</v>
      </c>
    </row>
    <row r="1115" spans="1:25">
      <c r="A1115">
        <v>1114</v>
      </c>
      <c r="B1115" t="s">
        <v>33</v>
      </c>
      <c r="C1115" t="s">
        <v>51</v>
      </c>
      <c r="D1115" t="s">
        <v>35</v>
      </c>
      <c r="E1115" t="s">
        <v>27</v>
      </c>
      <c r="F1115" t="s">
        <v>28</v>
      </c>
      <c r="G1115">
        <v>1</v>
      </c>
      <c r="H1115" t="s">
        <v>37</v>
      </c>
      <c r="I1115" t="s">
        <v>54</v>
      </c>
      <c r="J1115" t="s">
        <v>48</v>
      </c>
      <c r="K1115" t="s">
        <v>33</v>
      </c>
      <c r="L1115">
        <v>52</v>
      </c>
      <c r="M1115">
        <v>29</v>
      </c>
      <c r="N1115" t="s">
        <v>44</v>
      </c>
      <c r="O1115">
        <v>1</v>
      </c>
      <c r="P1115">
        <v>1</v>
      </c>
      <c r="Q1115">
        <v>4</v>
      </c>
      <c r="R1115">
        <v>3482</v>
      </c>
      <c r="S1115">
        <v>16</v>
      </c>
      <c r="T1115">
        <v>2</v>
      </c>
      <c r="U1115">
        <v>9</v>
      </c>
      <c r="V1115">
        <v>8</v>
      </c>
      <c r="W1115">
        <v>0</v>
      </c>
      <c r="X1115">
        <v>0</v>
      </c>
      <c r="Y1115">
        <f>IF(HR_data[[#This Row],[Attrition]]= "Yes",1,0)</f>
        <v>0</v>
      </c>
    </row>
    <row r="1116" spans="1:25">
      <c r="A1116">
        <v>1115</v>
      </c>
      <c r="B1116" t="s">
        <v>33</v>
      </c>
      <c r="C1116" t="s">
        <v>51</v>
      </c>
      <c r="D1116" t="s">
        <v>35</v>
      </c>
      <c r="E1116" t="s">
        <v>27</v>
      </c>
      <c r="F1116" t="s">
        <v>56</v>
      </c>
      <c r="G1116">
        <v>1</v>
      </c>
      <c r="H1116" t="s">
        <v>37</v>
      </c>
      <c r="I1116" t="s">
        <v>30</v>
      </c>
      <c r="J1116" t="s">
        <v>39</v>
      </c>
      <c r="K1116" t="s">
        <v>33</v>
      </c>
      <c r="L1116">
        <v>45</v>
      </c>
      <c r="M1116">
        <v>26</v>
      </c>
      <c r="N1116" t="s">
        <v>47</v>
      </c>
      <c r="O1116">
        <v>1</v>
      </c>
      <c r="P1116">
        <v>2</v>
      </c>
      <c r="Q1116">
        <v>1</v>
      </c>
      <c r="R1116">
        <v>4385</v>
      </c>
      <c r="S1116">
        <v>10</v>
      </c>
      <c r="T1116">
        <v>3</v>
      </c>
      <c r="U1116">
        <v>10</v>
      </c>
      <c r="V1116">
        <v>7</v>
      </c>
      <c r="W1116">
        <v>4</v>
      </c>
      <c r="X1116">
        <v>5</v>
      </c>
      <c r="Y1116">
        <f>IF(HR_data[[#This Row],[Attrition]]= "Yes",1,0)</f>
        <v>0</v>
      </c>
    </row>
    <row r="1117" spans="1:25">
      <c r="A1117">
        <v>1116</v>
      </c>
      <c r="B1117" t="s">
        <v>33</v>
      </c>
      <c r="C1117" t="s">
        <v>51</v>
      </c>
      <c r="D1117" t="s">
        <v>35</v>
      </c>
      <c r="E1117" t="s">
        <v>27</v>
      </c>
      <c r="F1117" t="s">
        <v>56</v>
      </c>
      <c r="G1117">
        <v>1</v>
      </c>
      <c r="H1117" t="s">
        <v>37</v>
      </c>
      <c r="I1117" t="s">
        <v>30</v>
      </c>
      <c r="J1117" t="s">
        <v>39</v>
      </c>
      <c r="K1117" t="s">
        <v>33</v>
      </c>
      <c r="L1117">
        <v>47</v>
      </c>
      <c r="M1117">
        <v>2</v>
      </c>
      <c r="N1117" t="s">
        <v>44</v>
      </c>
      <c r="O1117">
        <v>3</v>
      </c>
      <c r="P1117">
        <v>2</v>
      </c>
      <c r="Q1117">
        <v>2</v>
      </c>
      <c r="R1117">
        <v>4978</v>
      </c>
      <c r="S1117">
        <v>4</v>
      </c>
      <c r="T1117">
        <v>1</v>
      </c>
      <c r="U1117">
        <v>1</v>
      </c>
      <c r="V1117">
        <v>0</v>
      </c>
      <c r="W1117">
        <v>0</v>
      </c>
      <c r="X1117">
        <v>0</v>
      </c>
      <c r="Y1117">
        <f>IF(HR_data[[#This Row],[Attrition]]= "Yes",1,0)</f>
        <v>0</v>
      </c>
    </row>
    <row r="1118" spans="1:25">
      <c r="A1118">
        <v>1117</v>
      </c>
      <c r="B1118" t="s">
        <v>33</v>
      </c>
      <c r="C1118" t="s">
        <v>51</v>
      </c>
      <c r="D1118" t="s">
        <v>35</v>
      </c>
      <c r="E1118" t="s">
        <v>27</v>
      </c>
      <c r="F1118" t="s">
        <v>28</v>
      </c>
      <c r="G1118">
        <v>1</v>
      </c>
      <c r="H1118" t="s">
        <v>37</v>
      </c>
      <c r="I1118" t="s">
        <v>30</v>
      </c>
      <c r="J1118" t="s">
        <v>31</v>
      </c>
      <c r="K1118" t="s">
        <v>33</v>
      </c>
      <c r="L1118">
        <v>46</v>
      </c>
      <c r="M1118">
        <v>26</v>
      </c>
      <c r="N1118" t="s">
        <v>32</v>
      </c>
      <c r="O1118">
        <v>2</v>
      </c>
      <c r="P1118">
        <v>2</v>
      </c>
      <c r="Q1118">
        <v>2</v>
      </c>
      <c r="R1118">
        <v>7991</v>
      </c>
      <c r="S1118">
        <v>6</v>
      </c>
      <c r="T1118">
        <v>3</v>
      </c>
      <c r="U1118">
        <v>2</v>
      </c>
      <c r="V1118">
        <v>2</v>
      </c>
      <c r="W1118">
        <v>2</v>
      </c>
      <c r="X1118">
        <v>2</v>
      </c>
      <c r="Y1118">
        <f>IF(HR_data[[#This Row],[Attrition]]= "Yes",1,0)</f>
        <v>0</v>
      </c>
    </row>
    <row r="1119" spans="1:25">
      <c r="A1119">
        <v>1118</v>
      </c>
      <c r="B1119" t="s">
        <v>33</v>
      </c>
      <c r="C1119" t="s">
        <v>34</v>
      </c>
      <c r="D1119" t="s">
        <v>26</v>
      </c>
      <c r="E1119" t="s">
        <v>59</v>
      </c>
      <c r="F1119" t="s">
        <v>60</v>
      </c>
      <c r="G1119">
        <v>1</v>
      </c>
      <c r="H1119" t="s">
        <v>37</v>
      </c>
      <c r="I1119" t="s">
        <v>60</v>
      </c>
      <c r="J1119" t="s">
        <v>39</v>
      </c>
      <c r="K1119" t="s">
        <v>33</v>
      </c>
      <c r="L1119">
        <v>38</v>
      </c>
      <c r="M1119">
        <v>10</v>
      </c>
      <c r="N1119" t="s">
        <v>44</v>
      </c>
      <c r="O1119">
        <v>3</v>
      </c>
      <c r="P1119">
        <v>2</v>
      </c>
      <c r="Q1119">
        <v>3</v>
      </c>
      <c r="R1119">
        <v>6077</v>
      </c>
      <c r="S1119">
        <v>10</v>
      </c>
      <c r="T1119">
        <v>3</v>
      </c>
      <c r="U1119">
        <v>6</v>
      </c>
      <c r="V1119">
        <v>3</v>
      </c>
      <c r="W1119">
        <v>1</v>
      </c>
      <c r="X1119">
        <v>2</v>
      </c>
      <c r="Y1119">
        <f>IF(HR_data[[#This Row],[Attrition]]= "Yes",1,0)</f>
        <v>0</v>
      </c>
    </row>
    <row r="1120" spans="1:25">
      <c r="A1120">
        <v>1119</v>
      </c>
      <c r="B1120" t="s">
        <v>33</v>
      </c>
      <c r="C1120" t="s">
        <v>34</v>
      </c>
      <c r="D1120" t="s">
        <v>52</v>
      </c>
      <c r="E1120" t="s">
        <v>59</v>
      </c>
      <c r="F1120" t="s">
        <v>45</v>
      </c>
      <c r="G1120">
        <v>1</v>
      </c>
      <c r="H1120" t="s">
        <v>37</v>
      </c>
      <c r="I1120" t="s">
        <v>60</v>
      </c>
      <c r="J1120" t="s">
        <v>39</v>
      </c>
      <c r="K1120" t="s">
        <v>33</v>
      </c>
      <c r="L1120">
        <v>24</v>
      </c>
      <c r="M1120">
        <v>10</v>
      </c>
      <c r="N1120" t="s">
        <v>47</v>
      </c>
      <c r="O1120">
        <v>1</v>
      </c>
      <c r="P1120">
        <v>1</v>
      </c>
      <c r="Q1120">
        <v>4</v>
      </c>
      <c r="R1120">
        <v>2145</v>
      </c>
      <c r="S1120">
        <v>3</v>
      </c>
      <c r="T1120">
        <v>3</v>
      </c>
      <c r="U1120">
        <v>2</v>
      </c>
      <c r="V1120">
        <v>2</v>
      </c>
      <c r="W1120">
        <v>2</v>
      </c>
      <c r="X1120">
        <v>1</v>
      </c>
      <c r="Y1120">
        <f>IF(HR_data[[#This Row],[Attrition]]= "Yes",1,0)</f>
        <v>0</v>
      </c>
    </row>
    <row r="1121" spans="1:25">
      <c r="A1121">
        <v>1120</v>
      </c>
      <c r="B1121" t="s">
        <v>33</v>
      </c>
      <c r="C1121" t="s">
        <v>34</v>
      </c>
      <c r="D1121" t="s">
        <v>43</v>
      </c>
      <c r="E1121" t="s">
        <v>36</v>
      </c>
      <c r="F1121" t="s">
        <v>28</v>
      </c>
      <c r="G1121">
        <v>1</v>
      </c>
      <c r="H1121" t="s">
        <v>37</v>
      </c>
      <c r="I1121" t="s">
        <v>50</v>
      </c>
      <c r="J1121" t="s">
        <v>48</v>
      </c>
      <c r="K1121" t="s">
        <v>33</v>
      </c>
      <c r="L1121">
        <v>29</v>
      </c>
      <c r="M1121">
        <v>2</v>
      </c>
      <c r="N1121" t="s">
        <v>40</v>
      </c>
      <c r="O1121">
        <v>1</v>
      </c>
      <c r="P1121">
        <v>2</v>
      </c>
      <c r="Q1121">
        <v>4</v>
      </c>
      <c r="R1121">
        <v>8853</v>
      </c>
      <c r="S1121">
        <v>6</v>
      </c>
      <c r="T1121">
        <v>4</v>
      </c>
      <c r="U1121">
        <v>6</v>
      </c>
      <c r="V1121">
        <v>4</v>
      </c>
      <c r="W1121">
        <v>1</v>
      </c>
      <c r="X1121">
        <v>3</v>
      </c>
      <c r="Y1121">
        <f>IF(HR_data[[#This Row],[Attrition]]= "Yes",1,0)</f>
        <v>0</v>
      </c>
    </row>
    <row r="1122" spans="1:25">
      <c r="A1122">
        <v>1121</v>
      </c>
      <c r="B1122" t="s">
        <v>33</v>
      </c>
      <c r="C1122" t="s">
        <v>34</v>
      </c>
      <c r="D1122" t="s">
        <v>43</v>
      </c>
      <c r="E1122" t="s">
        <v>36</v>
      </c>
      <c r="F1122" t="s">
        <v>28</v>
      </c>
      <c r="G1122">
        <v>1</v>
      </c>
      <c r="H1122" t="s">
        <v>37</v>
      </c>
      <c r="I1122" t="s">
        <v>49</v>
      </c>
      <c r="J1122" t="s">
        <v>48</v>
      </c>
      <c r="K1122" t="s">
        <v>33</v>
      </c>
      <c r="L1122">
        <v>34</v>
      </c>
      <c r="M1122">
        <v>10</v>
      </c>
      <c r="N1122" t="s">
        <v>44</v>
      </c>
      <c r="O1122">
        <v>3</v>
      </c>
      <c r="P1122">
        <v>2</v>
      </c>
      <c r="Q1122">
        <v>4</v>
      </c>
      <c r="R1122">
        <v>4724</v>
      </c>
      <c r="S1122">
        <v>9</v>
      </c>
      <c r="T1122">
        <v>3</v>
      </c>
      <c r="U1122">
        <v>9</v>
      </c>
      <c r="V1122">
        <v>7</v>
      </c>
      <c r="W1122">
        <v>7</v>
      </c>
      <c r="X1122">
        <v>2</v>
      </c>
      <c r="Y1122">
        <f>IF(HR_data[[#This Row],[Attrition]]= "Yes",1,0)</f>
        <v>0</v>
      </c>
    </row>
    <row r="1123" spans="1:25">
      <c r="A1123">
        <v>1122</v>
      </c>
      <c r="B1123" t="s">
        <v>33</v>
      </c>
      <c r="C1123" t="s">
        <v>34</v>
      </c>
      <c r="D1123" t="s">
        <v>43</v>
      </c>
      <c r="E1123" t="s">
        <v>36</v>
      </c>
      <c r="F1123" t="s">
        <v>45</v>
      </c>
      <c r="G1123">
        <v>1</v>
      </c>
      <c r="H1123" t="s">
        <v>37</v>
      </c>
      <c r="I1123" t="s">
        <v>55</v>
      </c>
      <c r="J1123" t="s">
        <v>48</v>
      </c>
      <c r="K1123" t="s">
        <v>33</v>
      </c>
      <c r="L1123">
        <v>34</v>
      </c>
      <c r="M1123">
        <v>15</v>
      </c>
      <c r="N1123" t="s">
        <v>47</v>
      </c>
      <c r="O1123">
        <v>2</v>
      </c>
      <c r="P1123">
        <v>4</v>
      </c>
      <c r="Q1123">
        <v>1</v>
      </c>
      <c r="R1123">
        <v>17007</v>
      </c>
      <c r="S1123">
        <v>16</v>
      </c>
      <c r="T1123">
        <v>2</v>
      </c>
      <c r="U1123">
        <v>14</v>
      </c>
      <c r="V1123">
        <v>8</v>
      </c>
      <c r="W1123">
        <v>6</v>
      </c>
      <c r="X1123">
        <v>9</v>
      </c>
      <c r="Y1123">
        <f>IF(HR_data[[#This Row],[Attrition]]= "Yes",1,0)</f>
        <v>0</v>
      </c>
    </row>
    <row r="1124" spans="1:25">
      <c r="A1124">
        <v>1123</v>
      </c>
      <c r="B1124" t="s">
        <v>33</v>
      </c>
      <c r="C1124" t="s">
        <v>34</v>
      </c>
      <c r="D1124" t="s">
        <v>43</v>
      </c>
      <c r="E1124" t="s">
        <v>36</v>
      </c>
      <c r="F1124" t="s">
        <v>41</v>
      </c>
      <c r="G1124">
        <v>1</v>
      </c>
      <c r="H1124" t="s">
        <v>37</v>
      </c>
      <c r="I1124" t="s">
        <v>38</v>
      </c>
      <c r="J1124" t="s">
        <v>48</v>
      </c>
      <c r="K1124" t="s">
        <v>33</v>
      </c>
      <c r="L1124">
        <v>34</v>
      </c>
      <c r="M1124">
        <v>1</v>
      </c>
      <c r="N1124" t="s">
        <v>44</v>
      </c>
      <c r="O1124">
        <v>4</v>
      </c>
      <c r="P1124">
        <v>1</v>
      </c>
      <c r="Q1124">
        <v>1</v>
      </c>
      <c r="R1124">
        <v>2996</v>
      </c>
      <c r="S1124">
        <v>10</v>
      </c>
      <c r="T1124">
        <v>3</v>
      </c>
      <c r="U1124">
        <v>4</v>
      </c>
      <c r="V1124">
        <v>3</v>
      </c>
      <c r="W1124">
        <v>1</v>
      </c>
      <c r="X1124">
        <v>3</v>
      </c>
      <c r="Y1124">
        <f>IF(HR_data[[#This Row],[Attrition]]= "Yes",1,0)</f>
        <v>0</v>
      </c>
    </row>
    <row r="1125" spans="1:25">
      <c r="A1125">
        <v>1124</v>
      </c>
      <c r="B1125" t="s">
        <v>33</v>
      </c>
      <c r="C1125" t="s">
        <v>34</v>
      </c>
      <c r="D1125" t="s">
        <v>43</v>
      </c>
      <c r="E1125" t="s">
        <v>36</v>
      </c>
      <c r="F1125" t="s">
        <v>28</v>
      </c>
      <c r="G1125">
        <v>1</v>
      </c>
      <c r="H1125" t="s">
        <v>37</v>
      </c>
      <c r="I1125" t="s">
        <v>49</v>
      </c>
      <c r="J1125" t="s">
        <v>48</v>
      </c>
      <c r="K1125" t="s">
        <v>33</v>
      </c>
      <c r="L1125">
        <v>25</v>
      </c>
      <c r="M1125">
        <v>2</v>
      </c>
      <c r="N1125" t="s">
        <v>40</v>
      </c>
      <c r="O1125">
        <v>4</v>
      </c>
      <c r="P1125">
        <v>2</v>
      </c>
      <c r="Q1125">
        <v>3</v>
      </c>
      <c r="R1125">
        <v>5206</v>
      </c>
      <c r="S1125">
        <v>7</v>
      </c>
      <c r="T1125">
        <v>3</v>
      </c>
      <c r="U1125">
        <v>7</v>
      </c>
      <c r="V1125">
        <v>7</v>
      </c>
      <c r="W1125">
        <v>0</v>
      </c>
      <c r="X1125">
        <v>7</v>
      </c>
      <c r="Y1125">
        <f>IF(HR_data[[#This Row],[Attrition]]= "Yes",1,0)</f>
        <v>0</v>
      </c>
    </row>
    <row r="1126" spans="1:25">
      <c r="A1126">
        <v>1125</v>
      </c>
      <c r="B1126" t="s">
        <v>33</v>
      </c>
      <c r="C1126" t="s">
        <v>34</v>
      </c>
      <c r="D1126" t="s">
        <v>35</v>
      </c>
      <c r="E1126" t="s">
        <v>36</v>
      </c>
      <c r="F1126" t="s">
        <v>28</v>
      </c>
      <c r="G1126">
        <v>1</v>
      </c>
      <c r="H1126" t="s">
        <v>37</v>
      </c>
      <c r="I1126" t="s">
        <v>55</v>
      </c>
      <c r="J1126" t="s">
        <v>39</v>
      </c>
      <c r="K1126" t="s">
        <v>33</v>
      </c>
      <c r="L1126">
        <v>49</v>
      </c>
      <c r="M1126">
        <v>2</v>
      </c>
      <c r="N1126" t="s">
        <v>40</v>
      </c>
      <c r="O1126">
        <v>2</v>
      </c>
      <c r="P1126">
        <v>5</v>
      </c>
      <c r="Q1126">
        <v>4</v>
      </c>
      <c r="R1126">
        <v>19161</v>
      </c>
      <c r="S1126">
        <v>28</v>
      </c>
      <c r="T1126">
        <v>3</v>
      </c>
      <c r="U1126">
        <v>5</v>
      </c>
      <c r="V1126">
        <v>4</v>
      </c>
      <c r="W1126">
        <v>4</v>
      </c>
      <c r="X1126">
        <v>3</v>
      </c>
      <c r="Y1126">
        <f>IF(HR_data[[#This Row],[Attrition]]= "Yes",1,0)</f>
        <v>0</v>
      </c>
    </row>
    <row r="1127" spans="1:25">
      <c r="A1127">
        <v>1126</v>
      </c>
      <c r="B1127" t="s">
        <v>33</v>
      </c>
      <c r="C1127" t="s">
        <v>34</v>
      </c>
      <c r="D1127" t="s">
        <v>43</v>
      </c>
      <c r="E1127" t="s">
        <v>36</v>
      </c>
      <c r="F1127" t="s">
        <v>45</v>
      </c>
      <c r="G1127">
        <v>1</v>
      </c>
      <c r="H1127" t="s">
        <v>37</v>
      </c>
      <c r="I1127" t="s">
        <v>42</v>
      </c>
      <c r="J1127" t="s">
        <v>39</v>
      </c>
      <c r="K1127" t="s">
        <v>33</v>
      </c>
      <c r="L1127">
        <v>29</v>
      </c>
      <c r="M1127">
        <v>20</v>
      </c>
      <c r="N1127" t="s">
        <v>40</v>
      </c>
      <c r="O1127">
        <v>4</v>
      </c>
      <c r="P1127">
        <v>1</v>
      </c>
      <c r="Q1127">
        <v>4</v>
      </c>
      <c r="R1127">
        <v>3812</v>
      </c>
      <c r="S1127">
        <v>11</v>
      </c>
      <c r="T1127">
        <v>4</v>
      </c>
      <c r="U1127">
        <v>11</v>
      </c>
      <c r="V1127">
        <v>8</v>
      </c>
      <c r="W1127">
        <v>3</v>
      </c>
      <c r="X1127">
        <v>10</v>
      </c>
      <c r="Y1127">
        <f>IF(HR_data[[#This Row],[Attrition]]= "Yes",1,0)</f>
        <v>0</v>
      </c>
    </row>
    <row r="1128" spans="1:25">
      <c r="A1128">
        <v>1127</v>
      </c>
      <c r="B1128" t="s">
        <v>33</v>
      </c>
      <c r="C1128" t="s">
        <v>34</v>
      </c>
      <c r="D1128" t="s">
        <v>26</v>
      </c>
      <c r="E1128" t="s">
        <v>36</v>
      </c>
      <c r="F1128" t="s">
        <v>28</v>
      </c>
      <c r="G1128">
        <v>1</v>
      </c>
      <c r="H1128" t="s">
        <v>37</v>
      </c>
      <c r="I1128" t="s">
        <v>49</v>
      </c>
      <c r="J1128" t="s">
        <v>39</v>
      </c>
      <c r="K1128" t="s">
        <v>33</v>
      </c>
      <c r="L1128">
        <v>38</v>
      </c>
      <c r="M1128">
        <v>6</v>
      </c>
      <c r="N1128" t="s">
        <v>44</v>
      </c>
      <c r="O1128">
        <v>1</v>
      </c>
      <c r="P1128">
        <v>2</v>
      </c>
      <c r="Q1128">
        <v>3</v>
      </c>
      <c r="R1128">
        <v>5321</v>
      </c>
      <c r="S1128">
        <v>10</v>
      </c>
      <c r="T1128">
        <v>3</v>
      </c>
      <c r="U1128">
        <v>8</v>
      </c>
      <c r="V1128">
        <v>3</v>
      </c>
      <c r="W1128">
        <v>7</v>
      </c>
      <c r="X1128">
        <v>7</v>
      </c>
      <c r="Y1128">
        <f>IF(HR_data[[#This Row],[Attrition]]= "Yes",1,0)</f>
        <v>0</v>
      </c>
    </row>
    <row r="1129" spans="1:25">
      <c r="A1129">
        <v>1128</v>
      </c>
      <c r="B1129" t="s">
        <v>33</v>
      </c>
      <c r="C1129" t="s">
        <v>34</v>
      </c>
      <c r="D1129" t="s">
        <v>43</v>
      </c>
      <c r="E1129" t="s">
        <v>36</v>
      </c>
      <c r="F1129" t="s">
        <v>28</v>
      </c>
      <c r="G1129">
        <v>1</v>
      </c>
      <c r="H1129" t="s">
        <v>37</v>
      </c>
      <c r="I1129" t="s">
        <v>38</v>
      </c>
      <c r="J1129" t="s">
        <v>39</v>
      </c>
      <c r="K1129" t="s">
        <v>33</v>
      </c>
      <c r="L1129">
        <v>32</v>
      </c>
      <c r="M1129">
        <v>10</v>
      </c>
      <c r="N1129" t="s">
        <v>47</v>
      </c>
      <c r="O1129">
        <v>1</v>
      </c>
      <c r="P1129">
        <v>1</v>
      </c>
      <c r="Q1129">
        <v>3</v>
      </c>
      <c r="R1129">
        <v>3433</v>
      </c>
      <c r="S1129">
        <v>10</v>
      </c>
      <c r="T1129">
        <v>2</v>
      </c>
      <c r="U1129">
        <v>5</v>
      </c>
      <c r="V1129">
        <v>2</v>
      </c>
      <c r="W1129">
        <v>1</v>
      </c>
      <c r="X1129">
        <v>3</v>
      </c>
      <c r="Y1129">
        <f>IF(HR_data[[#This Row],[Attrition]]= "Yes",1,0)</f>
        <v>0</v>
      </c>
    </row>
    <row r="1130" spans="1:25">
      <c r="A1130">
        <v>1129</v>
      </c>
      <c r="B1130" t="s">
        <v>33</v>
      </c>
      <c r="C1130" t="s">
        <v>34</v>
      </c>
      <c r="D1130" t="s">
        <v>43</v>
      </c>
      <c r="E1130" t="s">
        <v>36</v>
      </c>
      <c r="F1130" t="s">
        <v>41</v>
      </c>
      <c r="G1130">
        <v>1</v>
      </c>
      <c r="H1130" t="s">
        <v>37</v>
      </c>
      <c r="I1130" t="s">
        <v>42</v>
      </c>
      <c r="J1130" t="s">
        <v>39</v>
      </c>
      <c r="K1130" t="s">
        <v>33</v>
      </c>
      <c r="L1130">
        <v>26</v>
      </c>
      <c r="M1130">
        <v>6</v>
      </c>
      <c r="N1130" t="s">
        <v>47</v>
      </c>
      <c r="O1130">
        <v>3</v>
      </c>
      <c r="P1130">
        <v>1</v>
      </c>
      <c r="Q1130">
        <v>4</v>
      </c>
      <c r="R1130">
        <v>2544</v>
      </c>
      <c r="S1130">
        <v>8</v>
      </c>
      <c r="T1130">
        <v>3</v>
      </c>
      <c r="U1130">
        <v>7</v>
      </c>
      <c r="V1130">
        <v>7</v>
      </c>
      <c r="W1130">
        <v>7</v>
      </c>
      <c r="X1130">
        <v>7</v>
      </c>
      <c r="Y1130">
        <f>IF(HR_data[[#This Row],[Attrition]]= "Yes",1,0)</f>
        <v>0</v>
      </c>
    </row>
    <row r="1131" spans="1:25">
      <c r="A1131">
        <v>1130</v>
      </c>
      <c r="B1131" t="s">
        <v>33</v>
      </c>
      <c r="C1131" t="s">
        <v>34</v>
      </c>
      <c r="D1131" t="s">
        <v>26</v>
      </c>
      <c r="E1131" t="s">
        <v>36</v>
      </c>
      <c r="F1131" t="s">
        <v>45</v>
      </c>
      <c r="G1131">
        <v>1</v>
      </c>
      <c r="H1131" t="s">
        <v>37</v>
      </c>
      <c r="I1131" t="s">
        <v>42</v>
      </c>
      <c r="J1131" t="s">
        <v>39</v>
      </c>
      <c r="K1131" t="s">
        <v>33</v>
      </c>
      <c r="L1131">
        <v>36</v>
      </c>
      <c r="M1131">
        <v>23</v>
      </c>
      <c r="N1131" t="s">
        <v>32</v>
      </c>
      <c r="O1131">
        <v>3</v>
      </c>
      <c r="P1131">
        <v>2</v>
      </c>
      <c r="Q1131">
        <v>4</v>
      </c>
      <c r="R1131">
        <v>2571</v>
      </c>
      <c r="S1131">
        <v>17</v>
      </c>
      <c r="T1131">
        <v>3</v>
      </c>
      <c r="U1131">
        <v>5</v>
      </c>
      <c r="V1131">
        <v>2</v>
      </c>
      <c r="W1131">
        <v>0</v>
      </c>
      <c r="X1131">
        <v>3</v>
      </c>
      <c r="Y1131">
        <f>IF(HR_data[[#This Row],[Attrition]]= "Yes",1,0)</f>
        <v>0</v>
      </c>
    </row>
    <row r="1132" spans="1:25">
      <c r="A1132">
        <v>1131</v>
      </c>
      <c r="B1132" t="s">
        <v>33</v>
      </c>
      <c r="C1132" t="s">
        <v>34</v>
      </c>
      <c r="D1132" t="s">
        <v>43</v>
      </c>
      <c r="E1132" t="s">
        <v>36</v>
      </c>
      <c r="F1132" t="s">
        <v>57</v>
      </c>
      <c r="G1132">
        <v>1</v>
      </c>
      <c r="H1132" t="s">
        <v>37</v>
      </c>
      <c r="I1132" t="s">
        <v>50</v>
      </c>
      <c r="J1132" t="s">
        <v>39</v>
      </c>
      <c r="K1132" t="s">
        <v>33</v>
      </c>
      <c r="L1132">
        <v>34</v>
      </c>
      <c r="M1132">
        <v>10</v>
      </c>
      <c r="N1132" t="s">
        <v>44</v>
      </c>
      <c r="O1132">
        <v>4</v>
      </c>
      <c r="P1132">
        <v>2</v>
      </c>
      <c r="Q1132">
        <v>3</v>
      </c>
      <c r="R1132">
        <v>5063</v>
      </c>
      <c r="S1132">
        <v>8</v>
      </c>
      <c r="T1132">
        <v>2</v>
      </c>
      <c r="U1132">
        <v>8</v>
      </c>
      <c r="V1132">
        <v>2</v>
      </c>
      <c r="W1132">
        <v>7</v>
      </c>
      <c r="X1132">
        <v>7</v>
      </c>
      <c r="Y1132">
        <f>IF(HR_data[[#This Row],[Attrition]]= "Yes",1,0)</f>
        <v>0</v>
      </c>
    </row>
    <row r="1133" spans="1:25">
      <c r="A1133">
        <v>1132</v>
      </c>
      <c r="B1133" t="s">
        <v>33</v>
      </c>
      <c r="C1133" t="s">
        <v>34</v>
      </c>
      <c r="D1133" t="s">
        <v>26</v>
      </c>
      <c r="E1133" t="s">
        <v>36</v>
      </c>
      <c r="F1133" t="s">
        <v>28</v>
      </c>
      <c r="G1133">
        <v>1</v>
      </c>
      <c r="H1133" t="s">
        <v>37</v>
      </c>
      <c r="I1133" t="s">
        <v>38</v>
      </c>
      <c r="J1133" t="s">
        <v>39</v>
      </c>
      <c r="K1133" t="s">
        <v>33</v>
      </c>
      <c r="L1133">
        <v>38</v>
      </c>
      <c r="M1133">
        <v>1</v>
      </c>
      <c r="N1133" t="s">
        <v>47</v>
      </c>
      <c r="O1133">
        <v>4</v>
      </c>
      <c r="P1133">
        <v>2</v>
      </c>
      <c r="Q1133">
        <v>4</v>
      </c>
      <c r="R1133">
        <v>4735</v>
      </c>
      <c r="S1133">
        <v>19</v>
      </c>
      <c r="T1133">
        <v>4</v>
      </c>
      <c r="U1133">
        <v>13</v>
      </c>
      <c r="V1133">
        <v>11</v>
      </c>
      <c r="W1133">
        <v>2</v>
      </c>
      <c r="X1133">
        <v>9</v>
      </c>
      <c r="Y1133">
        <f>IF(HR_data[[#This Row],[Attrition]]= "Yes",1,0)</f>
        <v>0</v>
      </c>
    </row>
    <row r="1134" spans="1:25">
      <c r="A1134">
        <v>1133</v>
      </c>
      <c r="B1134" t="s">
        <v>33</v>
      </c>
      <c r="C1134" t="s">
        <v>34</v>
      </c>
      <c r="D1134" t="s">
        <v>35</v>
      </c>
      <c r="E1134" t="s">
        <v>36</v>
      </c>
      <c r="F1134" t="s">
        <v>45</v>
      </c>
      <c r="G1134">
        <v>1</v>
      </c>
      <c r="H1134" t="s">
        <v>37</v>
      </c>
      <c r="I1134" t="s">
        <v>50</v>
      </c>
      <c r="J1134" t="s">
        <v>31</v>
      </c>
      <c r="K1134" t="s">
        <v>33</v>
      </c>
      <c r="L1134">
        <v>45</v>
      </c>
      <c r="M1134">
        <v>1</v>
      </c>
      <c r="N1134" t="s">
        <v>44</v>
      </c>
      <c r="O1134">
        <v>2</v>
      </c>
      <c r="P1134">
        <v>2</v>
      </c>
      <c r="Q1134">
        <v>3</v>
      </c>
      <c r="R1134">
        <v>5399</v>
      </c>
      <c r="S1134">
        <v>12</v>
      </c>
      <c r="T1134">
        <v>3</v>
      </c>
      <c r="U1134">
        <v>4</v>
      </c>
      <c r="V1134">
        <v>2</v>
      </c>
      <c r="W1134">
        <v>0</v>
      </c>
      <c r="X1134">
        <v>3</v>
      </c>
      <c r="Y1134">
        <f>IF(HR_data[[#This Row],[Attrition]]= "Yes",1,0)</f>
        <v>0</v>
      </c>
    </row>
    <row r="1135" spans="1:25">
      <c r="A1135">
        <v>1134</v>
      </c>
      <c r="B1135" t="s">
        <v>33</v>
      </c>
      <c r="C1135" t="s">
        <v>34</v>
      </c>
      <c r="D1135" t="s">
        <v>26</v>
      </c>
      <c r="E1135" t="s">
        <v>36</v>
      </c>
      <c r="F1135" t="s">
        <v>28</v>
      </c>
      <c r="G1135">
        <v>1</v>
      </c>
      <c r="H1135" t="s">
        <v>37</v>
      </c>
      <c r="I1135" t="s">
        <v>49</v>
      </c>
      <c r="J1135" t="s">
        <v>31</v>
      </c>
      <c r="K1135" t="s">
        <v>33</v>
      </c>
      <c r="L1135">
        <v>35</v>
      </c>
      <c r="M1135">
        <v>18</v>
      </c>
      <c r="N1135" t="s">
        <v>32</v>
      </c>
      <c r="O1135">
        <v>3</v>
      </c>
      <c r="P1135">
        <v>3</v>
      </c>
      <c r="Q1135">
        <v>4</v>
      </c>
      <c r="R1135">
        <v>9362</v>
      </c>
      <c r="S1135">
        <v>10</v>
      </c>
      <c r="T1135">
        <v>3</v>
      </c>
      <c r="U1135">
        <v>2</v>
      </c>
      <c r="V1135">
        <v>2</v>
      </c>
      <c r="W1135">
        <v>2</v>
      </c>
      <c r="X1135">
        <v>2</v>
      </c>
      <c r="Y1135">
        <f>IF(HR_data[[#This Row],[Attrition]]= "Yes",1,0)</f>
        <v>0</v>
      </c>
    </row>
    <row r="1136" spans="1:25">
      <c r="A1136">
        <v>1135</v>
      </c>
      <c r="B1136" t="s">
        <v>33</v>
      </c>
      <c r="C1136" t="s">
        <v>34</v>
      </c>
      <c r="D1136" t="s">
        <v>43</v>
      </c>
      <c r="E1136" t="s">
        <v>36</v>
      </c>
      <c r="F1136" t="s">
        <v>45</v>
      </c>
      <c r="G1136">
        <v>1</v>
      </c>
      <c r="H1136" t="s">
        <v>37</v>
      </c>
      <c r="I1136" t="s">
        <v>38</v>
      </c>
      <c r="J1136" t="s">
        <v>31</v>
      </c>
      <c r="K1136" t="s">
        <v>33</v>
      </c>
      <c r="L1136">
        <v>27</v>
      </c>
      <c r="M1136">
        <v>2</v>
      </c>
      <c r="N1136" t="s">
        <v>47</v>
      </c>
      <c r="O1136">
        <v>4</v>
      </c>
      <c r="P1136">
        <v>1</v>
      </c>
      <c r="Q1136">
        <v>4</v>
      </c>
      <c r="R1136">
        <v>2580</v>
      </c>
      <c r="S1136">
        <v>6</v>
      </c>
      <c r="T1136">
        <v>2</v>
      </c>
      <c r="U1136">
        <v>4</v>
      </c>
      <c r="V1136">
        <v>2</v>
      </c>
      <c r="W1136">
        <v>1</v>
      </c>
      <c r="X1136">
        <v>2</v>
      </c>
      <c r="Y1136">
        <f>IF(HR_data[[#This Row],[Attrition]]= "Yes",1,0)</f>
        <v>0</v>
      </c>
    </row>
    <row r="1137" spans="1:25">
      <c r="A1137">
        <v>1136</v>
      </c>
      <c r="B1137" t="s">
        <v>33</v>
      </c>
      <c r="C1137" t="s">
        <v>34</v>
      </c>
      <c r="D1137" t="s">
        <v>26</v>
      </c>
      <c r="E1137" t="s">
        <v>27</v>
      </c>
      <c r="F1137" t="s">
        <v>28</v>
      </c>
      <c r="G1137">
        <v>1</v>
      </c>
      <c r="H1137" t="s">
        <v>37</v>
      </c>
      <c r="I1137" t="s">
        <v>30</v>
      </c>
      <c r="J1137" t="s">
        <v>48</v>
      </c>
      <c r="K1137" t="s">
        <v>33</v>
      </c>
      <c r="L1137">
        <v>39</v>
      </c>
      <c r="M1137">
        <v>20</v>
      </c>
      <c r="N1137" t="s">
        <v>47</v>
      </c>
      <c r="O1137">
        <v>3</v>
      </c>
      <c r="P1137">
        <v>2</v>
      </c>
      <c r="Q1137">
        <v>4</v>
      </c>
      <c r="R1137">
        <v>4127</v>
      </c>
      <c r="S1137">
        <v>7</v>
      </c>
      <c r="T1137">
        <v>3</v>
      </c>
      <c r="U1137">
        <v>2</v>
      </c>
      <c r="V1137">
        <v>1</v>
      </c>
      <c r="W1137">
        <v>2</v>
      </c>
      <c r="X1137">
        <v>2</v>
      </c>
      <c r="Y1137">
        <f>IF(HR_data[[#This Row],[Attrition]]= "Yes",1,0)</f>
        <v>0</v>
      </c>
    </row>
    <row r="1138" spans="1:25">
      <c r="A1138">
        <v>1137</v>
      </c>
      <c r="B1138" t="s">
        <v>33</v>
      </c>
      <c r="C1138" t="s">
        <v>34</v>
      </c>
      <c r="D1138" t="s">
        <v>26</v>
      </c>
      <c r="E1138" t="s">
        <v>27</v>
      </c>
      <c r="F1138" t="s">
        <v>45</v>
      </c>
      <c r="G1138">
        <v>1</v>
      </c>
      <c r="H1138" t="s">
        <v>37</v>
      </c>
      <c r="I1138" t="s">
        <v>30</v>
      </c>
      <c r="J1138" t="s">
        <v>48</v>
      </c>
      <c r="K1138" t="s">
        <v>33</v>
      </c>
      <c r="L1138">
        <v>37</v>
      </c>
      <c r="M1138">
        <v>1</v>
      </c>
      <c r="N1138" t="s">
        <v>44</v>
      </c>
      <c r="O1138">
        <v>3</v>
      </c>
      <c r="P1138">
        <v>2</v>
      </c>
      <c r="Q1138">
        <v>4</v>
      </c>
      <c r="R1138">
        <v>9525</v>
      </c>
      <c r="S1138">
        <v>6</v>
      </c>
      <c r="T1138">
        <v>2</v>
      </c>
      <c r="U1138">
        <v>6</v>
      </c>
      <c r="V1138">
        <v>3</v>
      </c>
      <c r="W1138">
        <v>1</v>
      </c>
      <c r="X1138">
        <v>3</v>
      </c>
      <c r="Y1138">
        <f>IF(HR_data[[#This Row],[Attrition]]= "Yes",1,0)</f>
        <v>0</v>
      </c>
    </row>
    <row r="1139" spans="1:25">
      <c r="A1139">
        <v>1138</v>
      </c>
      <c r="B1139" t="s">
        <v>33</v>
      </c>
      <c r="C1139" t="s">
        <v>34</v>
      </c>
      <c r="D1139" t="s">
        <v>35</v>
      </c>
      <c r="E1139" t="s">
        <v>27</v>
      </c>
      <c r="F1139" t="s">
        <v>45</v>
      </c>
      <c r="G1139">
        <v>1</v>
      </c>
      <c r="H1139" t="s">
        <v>37</v>
      </c>
      <c r="I1139" t="s">
        <v>30</v>
      </c>
      <c r="J1139" t="s">
        <v>39</v>
      </c>
      <c r="K1139" t="s">
        <v>33</v>
      </c>
      <c r="L1139">
        <v>49</v>
      </c>
      <c r="M1139">
        <v>2</v>
      </c>
      <c r="N1139" t="s">
        <v>47</v>
      </c>
      <c r="O1139">
        <v>4</v>
      </c>
      <c r="P1139">
        <v>2</v>
      </c>
      <c r="Q1139">
        <v>2</v>
      </c>
      <c r="R1139">
        <v>5390</v>
      </c>
      <c r="S1139">
        <v>17</v>
      </c>
      <c r="T1139">
        <v>2</v>
      </c>
      <c r="U1139">
        <v>9</v>
      </c>
      <c r="V1139">
        <v>6</v>
      </c>
      <c r="W1139">
        <v>0</v>
      </c>
      <c r="X1139">
        <v>8</v>
      </c>
      <c r="Y1139">
        <f>IF(HR_data[[#This Row],[Attrition]]= "Yes",1,0)</f>
        <v>0</v>
      </c>
    </row>
    <row r="1140" spans="1:25">
      <c r="A1140">
        <v>1139</v>
      </c>
      <c r="B1140" t="s">
        <v>33</v>
      </c>
      <c r="C1140" t="s">
        <v>34</v>
      </c>
      <c r="D1140" t="s">
        <v>43</v>
      </c>
      <c r="E1140" t="s">
        <v>27</v>
      </c>
      <c r="F1140" t="s">
        <v>45</v>
      </c>
      <c r="G1140">
        <v>1</v>
      </c>
      <c r="H1140" t="s">
        <v>37</v>
      </c>
      <c r="I1140" t="s">
        <v>30</v>
      </c>
      <c r="J1140" t="s">
        <v>39</v>
      </c>
      <c r="K1140" t="s">
        <v>33</v>
      </c>
      <c r="L1140">
        <v>33</v>
      </c>
      <c r="M1140">
        <v>7</v>
      </c>
      <c r="N1140" t="s">
        <v>47</v>
      </c>
      <c r="O1140">
        <v>4</v>
      </c>
      <c r="P1140">
        <v>2</v>
      </c>
      <c r="Q1140">
        <v>1</v>
      </c>
      <c r="R1140">
        <v>4373</v>
      </c>
      <c r="S1140">
        <v>5</v>
      </c>
      <c r="T1140">
        <v>3</v>
      </c>
      <c r="U1140">
        <v>4</v>
      </c>
      <c r="V1140">
        <v>3</v>
      </c>
      <c r="W1140">
        <v>0</v>
      </c>
      <c r="X1140">
        <v>3</v>
      </c>
      <c r="Y1140">
        <f>IF(HR_data[[#This Row],[Attrition]]= "Yes",1,0)</f>
        <v>0</v>
      </c>
    </row>
    <row r="1141" spans="1:25">
      <c r="A1141">
        <v>1140</v>
      </c>
      <c r="B1141" t="s">
        <v>33</v>
      </c>
      <c r="C1141" t="s">
        <v>34</v>
      </c>
      <c r="D1141" t="s">
        <v>43</v>
      </c>
      <c r="E1141" t="s">
        <v>27</v>
      </c>
      <c r="F1141" t="s">
        <v>28</v>
      </c>
      <c r="G1141">
        <v>1</v>
      </c>
      <c r="H1141" t="s">
        <v>37</v>
      </c>
      <c r="I1141" t="s">
        <v>30</v>
      </c>
      <c r="J1141" t="s">
        <v>31</v>
      </c>
      <c r="K1141" t="s">
        <v>33</v>
      </c>
      <c r="L1141">
        <v>28</v>
      </c>
      <c r="M1141">
        <v>7</v>
      </c>
      <c r="N1141" t="s">
        <v>47</v>
      </c>
      <c r="O1141">
        <v>3</v>
      </c>
      <c r="P1141">
        <v>2</v>
      </c>
      <c r="Q1141">
        <v>1</v>
      </c>
      <c r="R1141">
        <v>4898</v>
      </c>
      <c r="S1141">
        <v>5</v>
      </c>
      <c r="T1141">
        <v>3</v>
      </c>
      <c r="U1141">
        <v>4</v>
      </c>
      <c r="V1141">
        <v>2</v>
      </c>
      <c r="W1141">
        <v>1</v>
      </c>
      <c r="X1141">
        <v>3</v>
      </c>
      <c r="Y1141">
        <f>IF(HR_data[[#This Row],[Attrition]]= "Yes",1,0)</f>
        <v>0</v>
      </c>
    </row>
    <row r="1142" spans="1:25">
      <c r="A1142">
        <v>1141</v>
      </c>
      <c r="B1142" t="s">
        <v>33</v>
      </c>
      <c r="C1142" t="s">
        <v>34</v>
      </c>
      <c r="D1142" t="s">
        <v>43</v>
      </c>
      <c r="E1142" t="s">
        <v>27</v>
      </c>
      <c r="F1142" t="s">
        <v>41</v>
      </c>
      <c r="G1142">
        <v>1</v>
      </c>
      <c r="H1142" t="s">
        <v>37</v>
      </c>
      <c r="I1142" t="s">
        <v>30</v>
      </c>
      <c r="J1142" t="s">
        <v>31</v>
      </c>
      <c r="K1142" t="s">
        <v>33</v>
      </c>
      <c r="L1142">
        <v>31</v>
      </c>
      <c r="M1142">
        <v>2</v>
      </c>
      <c r="N1142" t="s">
        <v>44</v>
      </c>
      <c r="O1142">
        <v>4</v>
      </c>
      <c r="P1142">
        <v>2</v>
      </c>
      <c r="Q1142">
        <v>1</v>
      </c>
      <c r="R1142">
        <v>5332</v>
      </c>
      <c r="S1142">
        <v>10</v>
      </c>
      <c r="T1142">
        <v>3</v>
      </c>
      <c r="U1142">
        <v>5</v>
      </c>
      <c r="V1142">
        <v>2</v>
      </c>
      <c r="W1142">
        <v>0</v>
      </c>
      <c r="X1142">
        <v>3</v>
      </c>
      <c r="Y1142">
        <f>IF(HR_data[[#This Row],[Attrition]]= "Yes",1,0)</f>
        <v>0</v>
      </c>
    </row>
    <row r="1143" spans="1:25">
      <c r="A1143">
        <v>1142</v>
      </c>
      <c r="B1143" t="s">
        <v>33</v>
      </c>
      <c r="C1143" t="s">
        <v>34</v>
      </c>
      <c r="D1143" t="s">
        <v>43</v>
      </c>
      <c r="E1143" t="s">
        <v>27</v>
      </c>
      <c r="F1143" t="s">
        <v>56</v>
      </c>
      <c r="G1143">
        <v>1</v>
      </c>
      <c r="H1143" t="s">
        <v>37</v>
      </c>
      <c r="I1143" t="s">
        <v>30</v>
      </c>
      <c r="J1143" t="s">
        <v>31</v>
      </c>
      <c r="K1143" t="s">
        <v>33</v>
      </c>
      <c r="L1143">
        <v>32</v>
      </c>
      <c r="M1143">
        <v>10</v>
      </c>
      <c r="N1143" t="s">
        <v>44</v>
      </c>
      <c r="O1143">
        <v>4</v>
      </c>
      <c r="P1143">
        <v>2</v>
      </c>
      <c r="Q1143">
        <v>4</v>
      </c>
      <c r="R1143">
        <v>4648</v>
      </c>
      <c r="S1143">
        <v>4</v>
      </c>
      <c r="T1143">
        <v>4</v>
      </c>
      <c r="U1143">
        <v>0</v>
      </c>
      <c r="V1143">
        <v>0</v>
      </c>
      <c r="W1143">
        <v>0</v>
      </c>
      <c r="X1143">
        <v>0</v>
      </c>
      <c r="Y1143">
        <f>IF(HR_data[[#This Row],[Attrition]]= "Yes",1,0)</f>
        <v>0</v>
      </c>
    </row>
    <row r="1144" spans="1:25">
      <c r="A1144">
        <v>1143</v>
      </c>
      <c r="B1144" t="s">
        <v>33</v>
      </c>
      <c r="C1144" t="s">
        <v>25</v>
      </c>
      <c r="D1144" t="s">
        <v>26</v>
      </c>
      <c r="E1144" t="s">
        <v>59</v>
      </c>
      <c r="F1144" t="s">
        <v>41</v>
      </c>
      <c r="G1144">
        <v>1</v>
      </c>
      <c r="H1144" t="s">
        <v>37</v>
      </c>
      <c r="I1144" t="s">
        <v>60</v>
      </c>
      <c r="J1144" t="s">
        <v>48</v>
      </c>
      <c r="K1144" t="s">
        <v>33</v>
      </c>
      <c r="L1144">
        <v>37</v>
      </c>
      <c r="M1144">
        <v>8</v>
      </c>
      <c r="N1144" t="s">
        <v>32</v>
      </c>
      <c r="O1144">
        <v>3</v>
      </c>
      <c r="P1144">
        <v>2</v>
      </c>
      <c r="Q1144">
        <v>2</v>
      </c>
      <c r="R1144">
        <v>4071</v>
      </c>
      <c r="S1144">
        <v>19</v>
      </c>
      <c r="T1144">
        <v>2</v>
      </c>
      <c r="U1144">
        <v>10</v>
      </c>
      <c r="V1144">
        <v>0</v>
      </c>
      <c r="W1144">
        <v>4</v>
      </c>
      <c r="X1144">
        <v>7</v>
      </c>
      <c r="Y1144">
        <f>IF(HR_data[[#This Row],[Attrition]]= "Yes",1,0)</f>
        <v>0</v>
      </c>
    </row>
    <row r="1145" spans="1:25">
      <c r="A1145">
        <v>1144</v>
      </c>
      <c r="B1145" t="s">
        <v>33</v>
      </c>
      <c r="C1145" t="s">
        <v>25</v>
      </c>
      <c r="D1145" t="s">
        <v>43</v>
      </c>
      <c r="E1145" t="s">
        <v>59</v>
      </c>
      <c r="F1145" t="s">
        <v>45</v>
      </c>
      <c r="G1145">
        <v>1</v>
      </c>
      <c r="H1145" t="s">
        <v>37</v>
      </c>
      <c r="I1145" t="s">
        <v>60</v>
      </c>
      <c r="J1145" t="s">
        <v>39</v>
      </c>
      <c r="K1145" t="s">
        <v>33</v>
      </c>
      <c r="L1145">
        <v>29</v>
      </c>
      <c r="M1145">
        <v>6</v>
      </c>
      <c r="N1145" t="s">
        <v>40</v>
      </c>
      <c r="O1145">
        <v>4</v>
      </c>
      <c r="P1145">
        <v>1</v>
      </c>
      <c r="Q1145">
        <v>2</v>
      </c>
      <c r="R1145">
        <v>2804</v>
      </c>
      <c r="S1145">
        <v>1</v>
      </c>
      <c r="T1145">
        <v>3</v>
      </c>
      <c r="U1145">
        <v>1</v>
      </c>
      <c r="V1145">
        <v>0</v>
      </c>
      <c r="W1145">
        <v>0</v>
      </c>
      <c r="X1145">
        <v>0</v>
      </c>
      <c r="Y1145">
        <f>IF(HR_data[[#This Row],[Attrition]]= "Yes",1,0)</f>
        <v>0</v>
      </c>
    </row>
    <row r="1146" spans="1:25">
      <c r="A1146">
        <v>1145</v>
      </c>
      <c r="B1146" t="s">
        <v>33</v>
      </c>
      <c r="C1146" t="s">
        <v>25</v>
      </c>
      <c r="D1146" t="s">
        <v>43</v>
      </c>
      <c r="E1146" t="s">
        <v>59</v>
      </c>
      <c r="F1146" t="s">
        <v>41</v>
      </c>
      <c r="G1146">
        <v>1</v>
      </c>
      <c r="H1146" t="s">
        <v>37</v>
      </c>
      <c r="I1146" t="s">
        <v>60</v>
      </c>
      <c r="J1146" t="s">
        <v>31</v>
      </c>
      <c r="K1146" t="s">
        <v>33</v>
      </c>
      <c r="L1146">
        <v>29</v>
      </c>
      <c r="M1146">
        <v>17</v>
      </c>
      <c r="N1146" t="s">
        <v>47</v>
      </c>
      <c r="O1146">
        <v>2</v>
      </c>
      <c r="P1146">
        <v>3</v>
      </c>
      <c r="Q1146">
        <v>1</v>
      </c>
      <c r="R1146">
        <v>7988</v>
      </c>
      <c r="S1146">
        <v>10</v>
      </c>
      <c r="T1146">
        <v>2</v>
      </c>
      <c r="U1146">
        <v>10</v>
      </c>
      <c r="V1146">
        <v>9</v>
      </c>
      <c r="W1146">
        <v>0</v>
      </c>
      <c r="X1146">
        <v>9</v>
      </c>
      <c r="Y1146">
        <f>IF(HR_data[[#This Row],[Attrition]]= "Yes",1,0)</f>
        <v>0</v>
      </c>
    </row>
    <row r="1147" spans="1:25">
      <c r="A1147">
        <v>1146</v>
      </c>
      <c r="B1147" t="s">
        <v>33</v>
      </c>
      <c r="C1147" t="s">
        <v>25</v>
      </c>
      <c r="D1147" t="s">
        <v>26</v>
      </c>
      <c r="E1147" t="s">
        <v>59</v>
      </c>
      <c r="F1147" t="s">
        <v>28</v>
      </c>
      <c r="G1147">
        <v>1</v>
      </c>
      <c r="H1147" t="s">
        <v>37</v>
      </c>
      <c r="I1147" t="s">
        <v>60</v>
      </c>
      <c r="J1147" t="s">
        <v>31</v>
      </c>
      <c r="K1147" t="s">
        <v>33</v>
      </c>
      <c r="L1147">
        <v>43</v>
      </c>
      <c r="M1147">
        <v>2</v>
      </c>
      <c r="N1147" t="s">
        <v>47</v>
      </c>
      <c r="O1147">
        <v>2</v>
      </c>
      <c r="P1147">
        <v>1</v>
      </c>
      <c r="Q1147">
        <v>4</v>
      </c>
      <c r="R1147">
        <v>3539</v>
      </c>
      <c r="S1147">
        <v>10</v>
      </c>
      <c r="T1147">
        <v>3</v>
      </c>
      <c r="U1147">
        <v>9</v>
      </c>
      <c r="V1147">
        <v>7</v>
      </c>
      <c r="W1147">
        <v>1</v>
      </c>
      <c r="X1147">
        <v>8</v>
      </c>
      <c r="Y1147">
        <f>IF(HR_data[[#This Row],[Attrition]]= "Yes",1,0)</f>
        <v>0</v>
      </c>
    </row>
    <row r="1148" spans="1:25">
      <c r="A1148">
        <v>1147</v>
      </c>
      <c r="B1148" t="s">
        <v>33</v>
      </c>
      <c r="C1148" t="s">
        <v>25</v>
      </c>
      <c r="D1148" t="s">
        <v>46</v>
      </c>
      <c r="E1148" t="s">
        <v>36</v>
      </c>
      <c r="F1148" t="s">
        <v>57</v>
      </c>
      <c r="G1148">
        <v>1</v>
      </c>
      <c r="H1148" t="s">
        <v>37</v>
      </c>
      <c r="I1148" t="s">
        <v>38</v>
      </c>
      <c r="J1148" t="s">
        <v>48</v>
      </c>
      <c r="K1148" t="s">
        <v>33</v>
      </c>
      <c r="L1148">
        <v>55</v>
      </c>
      <c r="M1148">
        <v>22</v>
      </c>
      <c r="N1148" t="s">
        <v>47</v>
      </c>
      <c r="O1148">
        <v>1</v>
      </c>
      <c r="P1148">
        <v>1</v>
      </c>
      <c r="Q1148">
        <v>2</v>
      </c>
      <c r="R1148">
        <v>3537</v>
      </c>
      <c r="S1148">
        <v>8</v>
      </c>
      <c r="T1148">
        <v>3</v>
      </c>
      <c r="U1148">
        <v>4</v>
      </c>
      <c r="V1148">
        <v>2</v>
      </c>
      <c r="W1148">
        <v>1</v>
      </c>
      <c r="X1148">
        <v>2</v>
      </c>
      <c r="Y1148">
        <f>IF(HR_data[[#This Row],[Attrition]]= "Yes",1,0)</f>
        <v>0</v>
      </c>
    </row>
    <row r="1149" spans="1:25">
      <c r="A1149">
        <v>1148</v>
      </c>
      <c r="B1149" t="s">
        <v>33</v>
      </c>
      <c r="C1149" t="s">
        <v>25</v>
      </c>
      <c r="D1149" t="s">
        <v>43</v>
      </c>
      <c r="E1149" t="s">
        <v>36</v>
      </c>
      <c r="F1149" t="s">
        <v>28</v>
      </c>
      <c r="G1149">
        <v>1</v>
      </c>
      <c r="H1149" t="s">
        <v>37</v>
      </c>
      <c r="I1149" t="s">
        <v>38</v>
      </c>
      <c r="J1149" t="s">
        <v>48</v>
      </c>
      <c r="K1149" t="s">
        <v>33</v>
      </c>
      <c r="L1149">
        <v>28</v>
      </c>
      <c r="M1149">
        <v>1</v>
      </c>
      <c r="N1149" t="s">
        <v>47</v>
      </c>
      <c r="O1149">
        <v>1</v>
      </c>
      <c r="P1149">
        <v>1</v>
      </c>
      <c r="Q1149">
        <v>3</v>
      </c>
      <c r="R1149">
        <v>1563</v>
      </c>
      <c r="S1149">
        <v>1</v>
      </c>
      <c r="T1149">
        <v>1</v>
      </c>
      <c r="U1149">
        <v>1</v>
      </c>
      <c r="V1149">
        <v>0</v>
      </c>
      <c r="W1149">
        <v>0</v>
      </c>
      <c r="X1149">
        <v>0</v>
      </c>
      <c r="Y1149">
        <f>IF(HR_data[[#This Row],[Attrition]]= "Yes",1,0)</f>
        <v>0</v>
      </c>
    </row>
    <row r="1150" spans="1:25">
      <c r="A1150">
        <v>1149</v>
      </c>
      <c r="B1150" t="s">
        <v>33</v>
      </c>
      <c r="C1150" t="s">
        <v>25</v>
      </c>
      <c r="D1150" t="s">
        <v>26</v>
      </c>
      <c r="E1150" t="s">
        <v>36</v>
      </c>
      <c r="F1150" t="s">
        <v>28</v>
      </c>
      <c r="G1150">
        <v>1</v>
      </c>
      <c r="H1150" t="s">
        <v>37</v>
      </c>
      <c r="I1150" t="s">
        <v>53</v>
      </c>
      <c r="J1150" t="s">
        <v>48</v>
      </c>
      <c r="K1150" t="s">
        <v>33</v>
      </c>
      <c r="L1150">
        <v>40</v>
      </c>
      <c r="M1150">
        <v>1</v>
      </c>
      <c r="N1150" t="s">
        <v>44</v>
      </c>
      <c r="O1150">
        <v>1</v>
      </c>
      <c r="P1150">
        <v>4</v>
      </c>
      <c r="Q1150">
        <v>1</v>
      </c>
      <c r="R1150">
        <v>16823</v>
      </c>
      <c r="S1150">
        <v>22</v>
      </c>
      <c r="T1150">
        <v>3</v>
      </c>
      <c r="U1150">
        <v>19</v>
      </c>
      <c r="V1150">
        <v>7</v>
      </c>
      <c r="W1150">
        <v>11</v>
      </c>
      <c r="X1150">
        <v>16</v>
      </c>
      <c r="Y1150">
        <f>IF(HR_data[[#This Row],[Attrition]]= "Yes",1,0)</f>
        <v>0</v>
      </c>
    </row>
    <row r="1151" spans="1:25">
      <c r="A1151">
        <v>1150</v>
      </c>
      <c r="B1151" t="s">
        <v>33</v>
      </c>
      <c r="C1151" t="s">
        <v>25</v>
      </c>
      <c r="D1151" t="s">
        <v>43</v>
      </c>
      <c r="E1151" t="s">
        <v>36</v>
      </c>
      <c r="F1151" t="s">
        <v>28</v>
      </c>
      <c r="G1151">
        <v>1</v>
      </c>
      <c r="H1151" t="s">
        <v>37</v>
      </c>
      <c r="I1151" t="s">
        <v>42</v>
      </c>
      <c r="J1151" t="s">
        <v>48</v>
      </c>
      <c r="K1151" t="s">
        <v>33</v>
      </c>
      <c r="L1151">
        <v>31</v>
      </c>
      <c r="M1151">
        <v>20</v>
      </c>
      <c r="N1151" t="s">
        <v>47</v>
      </c>
      <c r="O1151">
        <v>2</v>
      </c>
      <c r="P1151">
        <v>2</v>
      </c>
      <c r="Q1151">
        <v>3</v>
      </c>
      <c r="R1151">
        <v>4197</v>
      </c>
      <c r="S1151">
        <v>10</v>
      </c>
      <c r="T1151">
        <v>3</v>
      </c>
      <c r="U1151">
        <v>10</v>
      </c>
      <c r="V1151">
        <v>8</v>
      </c>
      <c r="W1151">
        <v>0</v>
      </c>
      <c r="X1151">
        <v>2</v>
      </c>
      <c r="Y1151">
        <f>IF(HR_data[[#This Row],[Attrition]]= "Yes",1,0)</f>
        <v>0</v>
      </c>
    </row>
    <row r="1152" spans="1:25">
      <c r="A1152">
        <v>1151</v>
      </c>
      <c r="B1152" t="s">
        <v>33</v>
      </c>
      <c r="C1152" t="s">
        <v>25</v>
      </c>
      <c r="D1152" t="s">
        <v>26</v>
      </c>
      <c r="E1152" t="s">
        <v>36</v>
      </c>
      <c r="F1152" t="s">
        <v>45</v>
      </c>
      <c r="G1152">
        <v>1</v>
      </c>
      <c r="H1152" t="s">
        <v>37</v>
      </c>
      <c r="I1152" t="s">
        <v>42</v>
      </c>
      <c r="J1152" t="s">
        <v>48</v>
      </c>
      <c r="K1152" t="s">
        <v>33</v>
      </c>
      <c r="L1152">
        <v>39</v>
      </c>
      <c r="M1152">
        <v>3</v>
      </c>
      <c r="N1152" t="s">
        <v>32</v>
      </c>
      <c r="O1152">
        <v>3</v>
      </c>
      <c r="P1152">
        <v>2</v>
      </c>
      <c r="Q1152">
        <v>3</v>
      </c>
      <c r="R1152">
        <v>3069</v>
      </c>
      <c r="S1152">
        <v>11</v>
      </c>
      <c r="T1152">
        <v>3</v>
      </c>
      <c r="U1152">
        <v>10</v>
      </c>
      <c r="V1152">
        <v>8</v>
      </c>
      <c r="W1152">
        <v>0</v>
      </c>
      <c r="X1152">
        <v>7</v>
      </c>
      <c r="Y1152">
        <f>IF(HR_data[[#This Row],[Attrition]]= "Yes",1,0)</f>
        <v>0</v>
      </c>
    </row>
    <row r="1153" spans="1:25">
      <c r="A1153">
        <v>1152</v>
      </c>
      <c r="B1153" t="s">
        <v>33</v>
      </c>
      <c r="C1153" t="s">
        <v>25</v>
      </c>
      <c r="D1153" t="s">
        <v>26</v>
      </c>
      <c r="E1153" t="s">
        <v>36</v>
      </c>
      <c r="F1153" t="s">
        <v>45</v>
      </c>
      <c r="G1153">
        <v>1</v>
      </c>
      <c r="H1153" t="s">
        <v>37</v>
      </c>
      <c r="I1153" t="s">
        <v>38</v>
      </c>
      <c r="J1153" t="s">
        <v>48</v>
      </c>
      <c r="K1153" t="s">
        <v>33</v>
      </c>
      <c r="L1153">
        <v>40</v>
      </c>
      <c r="M1153">
        <v>2</v>
      </c>
      <c r="N1153" t="s">
        <v>47</v>
      </c>
      <c r="O1153">
        <v>3</v>
      </c>
      <c r="P1153">
        <v>1</v>
      </c>
      <c r="Q1153">
        <v>3</v>
      </c>
      <c r="R1153">
        <v>2345</v>
      </c>
      <c r="S1153">
        <v>8</v>
      </c>
      <c r="T1153">
        <v>4</v>
      </c>
      <c r="U1153">
        <v>3</v>
      </c>
      <c r="V1153">
        <v>1</v>
      </c>
      <c r="W1153">
        <v>1</v>
      </c>
      <c r="X1153">
        <v>2</v>
      </c>
      <c r="Y1153">
        <f>IF(HR_data[[#This Row],[Attrition]]= "Yes",1,0)</f>
        <v>0</v>
      </c>
    </row>
    <row r="1154" spans="1:25">
      <c r="A1154">
        <v>1153</v>
      </c>
      <c r="B1154" t="s">
        <v>33</v>
      </c>
      <c r="C1154" t="s">
        <v>25</v>
      </c>
      <c r="D1154" t="s">
        <v>35</v>
      </c>
      <c r="E1154" t="s">
        <v>36</v>
      </c>
      <c r="F1154" t="s">
        <v>28</v>
      </c>
      <c r="G1154">
        <v>1</v>
      </c>
      <c r="H1154" t="s">
        <v>37</v>
      </c>
      <c r="I1154" t="s">
        <v>49</v>
      </c>
      <c r="J1154" t="s">
        <v>48</v>
      </c>
      <c r="K1154" t="s">
        <v>33</v>
      </c>
      <c r="L1154">
        <v>46</v>
      </c>
      <c r="M1154">
        <v>2</v>
      </c>
      <c r="N1154" t="s">
        <v>32</v>
      </c>
      <c r="O1154">
        <v>4</v>
      </c>
      <c r="P1154">
        <v>3</v>
      </c>
      <c r="Q1154">
        <v>4</v>
      </c>
      <c r="R1154">
        <v>8578</v>
      </c>
      <c r="S1154">
        <v>12</v>
      </c>
      <c r="T1154">
        <v>2</v>
      </c>
      <c r="U1154">
        <v>9</v>
      </c>
      <c r="V1154">
        <v>8</v>
      </c>
      <c r="W1154">
        <v>4</v>
      </c>
      <c r="X1154">
        <v>7</v>
      </c>
      <c r="Y1154">
        <f>IF(HR_data[[#This Row],[Attrition]]= "Yes",1,0)</f>
        <v>0</v>
      </c>
    </row>
    <row r="1155" spans="1:25">
      <c r="A1155">
        <v>1154</v>
      </c>
      <c r="B1155" t="s">
        <v>33</v>
      </c>
      <c r="C1155" t="s">
        <v>25</v>
      </c>
      <c r="D1155" t="s">
        <v>26</v>
      </c>
      <c r="E1155" t="s">
        <v>36</v>
      </c>
      <c r="F1155" t="s">
        <v>57</v>
      </c>
      <c r="G1155">
        <v>1</v>
      </c>
      <c r="H1155" t="s">
        <v>37</v>
      </c>
      <c r="I1155" t="s">
        <v>42</v>
      </c>
      <c r="J1155" t="s">
        <v>48</v>
      </c>
      <c r="K1155" t="s">
        <v>33</v>
      </c>
      <c r="L1155">
        <v>43</v>
      </c>
      <c r="M1155">
        <v>27</v>
      </c>
      <c r="N1155" t="s">
        <v>47</v>
      </c>
      <c r="O1155">
        <v>4</v>
      </c>
      <c r="P1155">
        <v>1</v>
      </c>
      <c r="Q1155">
        <v>2</v>
      </c>
      <c r="R1155">
        <v>4876</v>
      </c>
      <c r="S1155">
        <v>8</v>
      </c>
      <c r="T1155">
        <v>3</v>
      </c>
      <c r="U1155">
        <v>6</v>
      </c>
      <c r="V1155">
        <v>4</v>
      </c>
      <c r="W1155">
        <v>0</v>
      </c>
      <c r="X1155">
        <v>2</v>
      </c>
      <c r="Y1155">
        <f>IF(HR_data[[#This Row],[Attrition]]= "Yes",1,0)</f>
        <v>0</v>
      </c>
    </row>
    <row r="1156" spans="1:25">
      <c r="A1156">
        <v>1155</v>
      </c>
      <c r="B1156" t="s">
        <v>33</v>
      </c>
      <c r="C1156" t="s">
        <v>25</v>
      </c>
      <c r="D1156" t="s">
        <v>26</v>
      </c>
      <c r="E1156" t="s">
        <v>36</v>
      </c>
      <c r="F1156" t="s">
        <v>28</v>
      </c>
      <c r="G1156">
        <v>1</v>
      </c>
      <c r="H1156" t="s">
        <v>37</v>
      </c>
      <c r="I1156" t="s">
        <v>38</v>
      </c>
      <c r="J1156" t="s">
        <v>48</v>
      </c>
      <c r="K1156" t="s">
        <v>33</v>
      </c>
      <c r="L1156">
        <v>38</v>
      </c>
      <c r="M1156">
        <v>9</v>
      </c>
      <c r="N1156" t="s">
        <v>32</v>
      </c>
      <c r="O1156">
        <v>2</v>
      </c>
      <c r="P1156">
        <v>1</v>
      </c>
      <c r="Q1156">
        <v>4</v>
      </c>
      <c r="R1156">
        <v>4771</v>
      </c>
      <c r="S1156">
        <v>10</v>
      </c>
      <c r="T1156">
        <v>4</v>
      </c>
      <c r="U1156">
        <v>5</v>
      </c>
      <c r="V1156">
        <v>2</v>
      </c>
      <c r="W1156">
        <v>0</v>
      </c>
      <c r="X1156">
        <v>3</v>
      </c>
      <c r="Y1156">
        <f>IF(HR_data[[#This Row],[Attrition]]= "Yes",1,0)</f>
        <v>0</v>
      </c>
    </row>
    <row r="1157" spans="1:25">
      <c r="A1157">
        <v>1156</v>
      </c>
      <c r="B1157" t="s">
        <v>33</v>
      </c>
      <c r="C1157" t="s">
        <v>25</v>
      </c>
      <c r="D1157" t="s">
        <v>46</v>
      </c>
      <c r="E1157" t="s">
        <v>36</v>
      </c>
      <c r="F1157" t="s">
        <v>45</v>
      </c>
      <c r="G1157">
        <v>1</v>
      </c>
      <c r="H1157" t="s">
        <v>37</v>
      </c>
      <c r="I1157" t="s">
        <v>55</v>
      </c>
      <c r="J1157" t="s">
        <v>48</v>
      </c>
      <c r="K1157" t="s">
        <v>33</v>
      </c>
      <c r="L1157">
        <v>55</v>
      </c>
      <c r="M1157">
        <v>1</v>
      </c>
      <c r="N1157" t="s">
        <v>44</v>
      </c>
      <c r="O1157">
        <v>2</v>
      </c>
      <c r="P1157">
        <v>4</v>
      </c>
      <c r="Q1157">
        <v>4</v>
      </c>
      <c r="R1157">
        <v>14732</v>
      </c>
      <c r="S1157">
        <v>31</v>
      </c>
      <c r="T1157">
        <v>4</v>
      </c>
      <c r="U1157">
        <v>7</v>
      </c>
      <c r="V1157">
        <v>7</v>
      </c>
      <c r="W1157">
        <v>0</v>
      </c>
      <c r="X1157">
        <v>0</v>
      </c>
      <c r="Y1157">
        <f>IF(HR_data[[#This Row],[Attrition]]= "Yes",1,0)</f>
        <v>0</v>
      </c>
    </row>
    <row r="1158" spans="1:25">
      <c r="A1158">
        <v>1157</v>
      </c>
      <c r="B1158" t="s">
        <v>33</v>
      </c>
      <c r="C1158" t="s">
        <v>25</v>
      </c>
      <c r="D1158" t="s">
        <v>35</v>
      </c>
      <c r="E1158" t="s">
        <v>36</v>
      </c>
      <c r="F1158" t="s">
        <v>28</v>
      </c>
      <c r="G1158">
        <v>1</v>
      </c>
      <c r="H1158" t="s">
        <v>37</v>
      </c>
      <c r="I1158" t="s">
        <v>50</v>
      </c>
      <c r="J1158" t="s">
        <v>48</v>
      </c>
      <c r="K1158" t="s">
        <v>33</v>
      </c>
      <c r="L1158">
        <v>49</v>
      </c>
      <c r="M1158">
        <v>7</v>
      </c>
      <c r="N1158" t="s">
        <v>44</v>
      </c>
      <c r="O1158">
        <v>3</v>
      </c>
      <c r="P1158">
        <v>3</v>
      </c>
      <c r="Q1158">
        <v>2</v>
      </c>
      <c r="R1158">
        <v>10466</v>
      </c>
      <c r="S1158">
        <v>29</v>
      </c>
      <c r="T1158">
        <v>3</v>
      </c>
      <c r="U1158">
        <v>8</v>
      </c>
      <c r="V1158">
        <v>7</v>
      </c>
      <c r="W1158">
        <v>0</v>
      </c>
      <c r="X1158">
        <v>7</v>
      </c>
      <c r="Y1158">
        <f>IF(HR_data[[#This Row],[Attrition]]= "Yes",1,0)</f>
        <v>0</v>
      </c>
    </row>
    <row r="1159" spans="1:25">
      <c r="A1159">
        <v>1158</v>
      </c>
      <c r="B1159" t="s">
        <v>33</v>
      </c>
      <c r="C1159" t="s">
        <v>25</v>
      </c>
      <c r="D1159" t="s">
        <v>43</v>
      </c>
      <c r="E1159" t="s">
        <v>36</v>
      </c>
      <c r="F1159" t="s">
        <v>28</v>
      </c>
      <c r="G1159">
        <v>1</v>
      </c>
      <c r="H1159" t="s">
        <v>37</v>
      </c>
      <c r="I1159" t="s">
        <v>50</v>
      </c>
      <c r="J1159" t="s">
        <v>48</v>
      </c>
      <c r="K1159" t="s">
        <v>33</v>
      </c>
      <c r="L1159">
        <v>29</v>
      </c>
      <c r="M1159">
        <v>29</v>
      </c>
      <c r="N1159" t="s">
        <v>40</v>
      </c>
      <c r="O1159">
        <v>4</v>
      </c>
      <c r="P1159">
        <v>2</v>
      </c>
      <c r="Q1159">
        <v>3</v>
      </c>
      <c r="R1159">
        <v>6384</v>
      </c>
      <c r="S1159">
        <v>11</v>
      </c>
      <c r="T1159">
        <v>3</v>
      </c>
      <c r="U1159">
        <v>7</v>
      </c>
      <c r="V1159">
        <v>0</v>
      </c>
      <c r="W1159">
        <v>1</v>
      </c>
      <c r="X1159">
        <v>6</v>
      </c>
      <c r="Y1159">
        <f>IF(HR_data[[#This Row],[Attrition]]= "Yes",1,0)</f>
        <v>0</v>
      </c>
    </row>
    <row r="1160" spans="1:25">
      <c r="A1160">
        <v>1159</v>
      </c>
      <c r="B1160" t="s">
        <v>33</v>
      </c>
      <c r="C1160" t="s">
        <v>25</v>
      </c>
      <c r="D1160" t="s">
        <v>43</v>
      </c>
      <c r="E1160" t="s">
        <v>36</v>
      </c>
      <c r="F1160" t="s">
        <v>41</v>
      </c>
      <c r="G1160">
        <v>1</v>
      </c>
      <c r="H1160" t="s">
        <v>37</v>
      </c>
      <c r="I1160" t="s">
        <v>42</v>
      </c>
      <c r="J1160" t="s">
        <v>48</v>
      </c>
      <c r="K1160" t="s">
        <v>33</v>
      </c>
      <c r="L1160">
        <v>27</v>
      </c>
      <c r="M1160">
        <v>19</v>
      </c>
      <c r="N1160" t="s">
        <v>47</v>
      </c>
      <c r="O1160">
        <v>4</v>
      </c>
      <c r="P1160">
        <v>1</v>
      </c>
      <c r="Q1160">
        <v>1</v>
      </c>
      <c r="R1160">
        <v>4066</v>
      </c>
      <c r="S1160">
        <v>7</v>
      </c>
      <c r="T1160">
        <v>3</v>
      </c>
      <c r="U1160">
        <v>7</v>
      </c>
      <c r="V1160">
        <v>7</v>
      </c>
      <c r="W1160">
        <v>0</v>
      </c>
      <c r="X1160">
        <v>7</v>
      </c>
      <c r="Y1160">
        <f>IF(HR_data[[#This Row],[Attrition]]= "Yes",1,0)</f>
        <v>0</v>
      </c>
    </row>
    <row r="1161" spans="1:25">
      <c r="A1161">
        <v>1160</v>
      </c>
      <c r="B1161" t="s">
        <v>33</v>
      </c>
      <c r="C1161" t="s">
        <v>25</v>
      </c>
      <c r="D1161" t="s">
        <v>43</v>
      </c>
      <c r="E1161" t="s">
        <v>36</v>
      </c>
      <c r="F1161" t="s">
        <v>45</v>
      </c>
      <c r="G1161">
        <v>1</v>
      </c>
      <c r="H1161" t="s">
        <v>37</v>
      </c>
      <c r="I1161" t="s">
        <v>38</v>
      </c>
      <c r="J1161" t="s">
        <v>48</v>
      </c>
      <c r="K1161" t="s">
        <v>33</v>
      </c>
      <c r="L1161">
        <v>32</v>
      </c>
      <c r="M1161">
        <v>2</v>
      </c>
      <c r="N1161" t="s">
        <v>47</v>
      </c>
      <c r="O1161">
        <v>4</v>
      </c>
      <c r="P1161">
        <v>2</v>
      </c>
      <c r="Q1161">
        <v>2</v>
      </c>
      <c r="R1161">
        <v>5470</v>
      </c>
      <c r="S1161">
        <v>10</v>
      </c>
      <c r="T1161">
        <v>2</v>
      </c>
      <c r="U1161">
        <v>9</v>
      </c>
      <c r="V1161">
        <v>5</v>
      </c>
      <c r="W1161">
        <v>1</v>
      </c>
      <c r="X1161">
        <v>6</v>
      </c>
      <c r="Y1161">
        <f>IF(HR_data[[#This Row],[Attrition]]= "Yes",1,0)</f>
        <v>0</v>
      </c>
    </row>
    <row r="1162" spans="1:25">
      <c r="A1162">
        <v>1161</v>
      </c>
      <c r="B1162" t="s">
        <v>33</v>
      </c>
      <c r="C1162" t="s">
        <v>25</v>
      </c>
      <c r="D1162" t="s">
        <v>35</v>
      </c>
      <c r="E1162" t="s">
        <v>36</v>
      </c>
      <c r="F1162" t="s">
        <v>57</v>
      </c>
      <c r="G1162">
        <v>1</v>
      </c>
      <c r="H1162" t="s">
        <v>37</v>
      </c>
      <c r="I1162" t="s">
        <v>50</v>
      </c>
      <c r="J1162" t="s">
        <v>48</v>
      </c>
      <c r="K1162" t="s">
        <v>33</v>
      </c>
      <c r="L1162">
        <v>45</v>
      </c>
      <c r="M1162">
        <v>1</v>
      </c>
      <c r="N1162" t="s">
        <v>44</v>
      </c>
      <c r="O1162">
        <v>1</v>
      </c>
      <c r="P1162">
        <v>3</v>
      </c>
      <c r="Q1162">
        <v>2</v>
      </c>
      <c r="R1162">
        <v>7441</v>
      </c>
      <c r="S1162">
        <v>10</v>
      </c>
      <c r="T1162">
        <v>3</v>
      </c>
      <c r="U1162">
        <v>10</v>
      </c>
      <c r="V1162">
        <v>8</v>
      </c>
      <c r="W1162">
        <v>7</v>
      </c>
      <c r="X1162">
        <v>7</v>
      </c>
      <c r="Y1162">
        <f>IF(HR_data[[#This Row],[Attrition]]= "Yes",1,0)</f>
        <v>0</v>
      </c>
    </row>
    <row r="1163" spans="1:25">
      <c r="A1163">
        <v>1162</v>
      </c>
      <c r="B1163" t="s">
        <v>33</v>
      </c>
      <c r="C1163" t="s">
        <v>25</v>
      </c>
      <c r="D1163" t="s">
        <v>52</v>
      </c>
      <c r="E1163" t="s">
        <v>36</v>
      </c>
      <c r="F1163" t="s">
        <v>45</v>
      </c>
      <c r="G1163">
        <v>1</v>
      </c>
      <c r="H1163" t="s">
        <v>37</v>
      </c>
      <c r="I1163" t="s">
        <v>42</v>
      </c>
      <c r="J1163" t="s">
        <v>48</v>
      </c>
      <c r="K1163" t="s">
        <v>33</v>
      </c>
      <c r="L1163">
        <v>24</v>
      </c>
      <c r="M1163">
        <v>29</v>
      </c>
      <c r="N1163" t="s">
        <v>40</v>
      </c>
      <c r="O1163">
        <v>2</v>
      </c>
      <c r="P1163">
        <v>1</v>
      </c>
      <c r="Q1163">
        <v>1</v>
      </c>
      <c r="R1163">
        <v>3907</v>
      </c>
      <c r="S1163">
        <v>6</v>
      </c>
      <c r="T1163">
        <v>4</v>
      </c>
      <c r="U1163">
        <v>6</v>
      </c>
      <c r="V1163">
        <v>2</v>
      </c>
      <c r="W1163">
        <v>1</v>
      </c>
      <c r="X1163">
        <v>2</v>
      </c>
      <c r="Y1163">
        <f>IF(HR_data[[#This Row],[Attrition]]= "Yes",1,0)</f>
        <v>0</v>
      </c>
    </row>
    <row r="1164" spans="1:25">
      <c r="A1164">
        <v>1163</v>
      </c>
      <c r="B1164" t="s">
        <v>33</v>
      </c>
      <c r="C1164" t="s">
        <v>25</v>
      </c>
      <c r="D1164" t="s">
        <v>52</v>
      </c>
      <c r="E1164" t="s">
        <v>36</v>
      </c>
      <c r="F1164" t="s">
        <v>57</v>
      </c>
      <c r="G1164">
        <v>1</v>
      </c>
      <c r="H1164" t="s">
        <v>37</v>
      </c>
      <c r="I1164" t="s">
        <v>42</v>
      </c>
      <c r="J1164" t="s">
        <v>48</v>
      </c>
      <c r="K1164" t="s">
        <v>33</v>
      </c>
      <c r="L1164">
        <v>24</v>
      </c>
      <c r="M1164">
        <v>21</v>
      </c>
      <c r="N1164" t="s">
        <v>32</v>
      </c>
      <c r="O1164">
        <v>3</v>
      </c>
      <c r="P1164">
        <v>1</v>
      </c>
      <c r="Q1164">
        <v>1</v>
      </c>
      <c r="R1164">
        <v>2296</v>
      </c>
      <c r="S1164">
        <v>2</v>
      </c>
      <c r="T1164">
        <v>3</v>
      </c>
      <c r="U1164">
        <v>1</v>
      </c>
      <c r="V1164">
        <v>1</v>
      </c>
      <c r="W1164">
        <v>0</v>
      </c>
      <c r="X1164">
        <v>0</v>
      </c>
      <c r="Y1164">
        <f>IF(HR_data[[#This Row],[Attrition]]= "Yes",1,0)</f>
        <v>0</v>
      </c>
    </row>
    <row r="1165" spans="1:25">
      <c r="A1165">
        <v>1164</v>
      </c>
      <c r="B1165" t="s">
        <v>33</v>
      </c>
      <c r="C1165" t="s">
        <v>25</v>
      </c>
      <c r="D1165" t="s">
        <v>26</v>
      </c>
      <c r="E1165" t="s">
        <v>36</v>
      </c>
      <c r="F1165" t="s">
        <v>41</v>
      </c>
      <c r="G1165">
        <v>1</v>
      </c>
      <c r="H1165" t="s">
        <v>37</v>
      </c>
      <c r="I1165" t="s">
        <v>38</v>
      </c>
      <c r="J1165" t="s">
        <v>48</v>
      </c>
      <c r="K1165" t="s">
        <v>33</v>
      </c>
      <c r="L1165">
        <v>39</v>
      </c>
      <c r="M1165">
        <v>19</v>
      </c>
      <c r="N1165" t="s">
        <v>44</v>
      </c>
      <c r="O1165">
        <v>4</v>
      </c>
      <c r="P1165">
        <v>2</v>
      </c>
      <c r="Q1165">
        <v>4</v>
      </c>
      <c r="R1165">
        <v>3902</v>
      </c>
      <c r="S1165">
        <v>7</v>
      </c>
      <c r="T1165">
        <v>3</v>
      </c>
      <c r="U1165">
        <v>2</v>
      </c>
      <c r="V1165">
        <v>2</v>
      </c>
      <c r="W1165">
        <v>2</v>
      </c>
      <c r="X1165">
        <v>2</v>
      </c>
      <c r="Y1165">
        <f>IF(HR_data[[#This Row],[Attrition]]= "Yes",1,0)</f>
        <v>0</v>
      </c>
    </row>
    <row r="1166" spans="1:25">
      <c r="A1166">
        <v>1165</v>
      </c>
      <c r="B1166" t="s">
        <v>33</v>
      </c>
      <c r="C1166" t="s">
        <v>25</v>
      </c>
      <c r="D1166" t="s">
        <v>26</v>
      </c>
      <c r="E1166" t="s">
        <v>36</v>
      </c>
      <c r="F1166" t="s">
        <v>28</v>
      </c>
      <c r="G1166">
        <v>1</v>
      </c>
      <c r="H1166" t="s">
        <v>37</v>
      </c>
      <c r="I1166" t="s">
        <v>53</v>
      </c>
      <c r="J1166" t="s">
        <v>39</v>
      </c>
      <c r="K1166" t="s">
        <v>33</v>
      </c>
      <c r="L1166">
        <v>42</v>
      </c>
      <c r="M1166">
        <v>2</v>
      </c>
      <c r="N1166" t="s">
        <v>47</v>
      </c>
      <c r="O1166">
        <v>1</v>
      </c>
      <c r="P1166">
        <v>5</v>
      </c>
      <c r="Q1166">
        <v>3</v>
      </c>
      <c r="R1166">
        <v>18880</v>
      </c>
      <c r="S1166">
        <v>24</v>
      </c>
      <c r="T1166">
        <v>2</v>
      </c>
      <c r="U1166">
        <v>22</v>
      </c>
      <c r="V1166">
        <v>6</v>
      </c>
      <c r="W1166">
        <v>4</v>
      </c>
      <c r="X1166">
        <v>14</v>
      </c>
      <c r="Y1166">
        <f>IF(HR_data[[#This Row],[Attrition]]= "Yes",1,0)</f>
        <v>0</v>
      </c>
    </row>
    <row r="1167" spans="1:25">
      <c r="A1167">
        <v>1166</v>
      </c>
      <c r="B1167" t="s">
        <v>33</v>
      </c>
      <c r="C1167" t="s">
        <v>25</v>
      </c>
      <c r="D1167" t="s">
        <v>26</v>
      </c>
      <c r="E1167" t="s">
        <v>36</v>
      </c>
      <c r="F1167" t="s">
        <v>45</v>
      </c>
      <c r="G1167">
        <v>1</v>
      </c>
      <c r="H1167" t="s">
        <v>37</v>
      </c>
      <c r="I1167" t="s">
        <v>38</v>
      </c>
      <c r="J1167" t="s">
        <v>39</v>
      </c>
      <c r="K1167" t="s">
        <v>33</v>
      </c>
      <c r="L1167">
        <v>37</v>
      </c>
      <c r="M1167">
        <v>13</v>
      </c>
      <c r="N1167" t="s">
        <v>47</v>
      </c>
      <c r="O1167">
        <v>1</v>
      </c>
      <c r="P1167">
        <v>2</v>
      </c>
      <c r="Q1167">
        <v>4</v>
      </c>
      <c r="R1167">
        <v>4285</v>
      </c>
      <c r="S1167">
        <v>10</v>
      </c>
      <c r="T1167">
        <v>3</v>
      </c>
      <c r="U1167">
        <v>10</v>
      </c>
      <c r="V1167">
        <v>8</v>
      </c>
      <c r="W1167">
        <v>3</v>
      </c>
      <c r="X1167">
        <v>7</v>
      </c>
      <c r="Y1167">
        <f>IF(HR_data[[#This Row],[Attrition]]= "Yes",1,0)</f>
        <v>0</v>
      </c>
    </row>
    <row r="1168" spans="1:25">
      <c r="A1168">
        <v>1167</v>
      </c>
      <c r="B1168" t="s">
        <v>33</v>
      </c>
      <c r="C1168" t="s">
        <v>25</v>
      </c>
      <c r="D1168" t="s">
        <v>43</v>
      </c>
      <c r="E1168" t="s">
        <v>36</v>
      </c>
      <c r="F1168" t="s">
        <v>28</v>
      </c>
      <c r="G1168">
        <v>1</v>
      </c>
      <c r="H1168" t="s">
        <v>37</v>
      </c>
      <c r="I1168" t="s">
        <v>42</v>
      </c>
      <c r="J1168" t="s">
        <v>39</v>
      </c>
      <c r="K1168" t="s">
        <v>33</v>
      </c>
      <c r="L1168">
        <v>27</v>
      </c>
      <c r="M1168">
        <v>11</v>
      </c>
      <c r="N1168" t="s">
        <v>40</v>
      </c>
      <c r="O1168">
        <v>2</v>
      </c>
      <c r="P1168">
        <v>1</v>
      </c>
      <c r="Q1168">
        <v>1</v>
      </c>
      <c r="R1168">
        <v>2099</v>
      </c>
      <c r="S1168">
        <v>6</v>
      </c>
      <c r="T1168">
        <v>4</v>
      </c>
      <c r="U1168">
        <v>5</v>
      </c>
      <c r="V1168">
        <v>0</v>
      </c>
      <c r="W1168">
        <v>1</v>
      </c>
      <c r="X1168">
        <v>4</v>
      </c>
      <c r="Y1168">
        <f>IF(HR_data[[#This Row],[Attrition]]= "Yes",1,0)</f>
        <v>0</v>
      </c>
    </row>
    <row r="1169" spans="1:25">
      <c r="A1169">
        <v>1168</v>
      </c>
      <c r="B1169" t="s">
        <v>33</v>
      </c>
      <c r="C1169" t="s">
        <v>25</v>
      </c>
      <c r="D1169" t="s">
        <v>26</v>
      </c>
      <c r="E1169" t="s">
        <v>36</v>
      </c>
      <c r="F1169" t="s">
        <v>28</v>
      </c>
      <c r="G1169">
        <v>1</v>
      </c>
      <c r="H1169" t="s">
        <v>37</v>
      </c>
      <c r="I1169" t="s">
        <v>38</v>
      </c>
      <c r="J1169" t="s">
        <v>39</v>
      </c>
      <c r="K1169" t="s">
        <v>33</v>
      </c>
      <c r="L1169">
        <v>35</v>
      </c>
      <c r="M1169">
        <v>18</v>
      </c>
      <c r="N1169" t="s">
        <v>58</v>
      </c>
      <c r="O1169">
        <v>2</v>
      </c>
      <c r="P1169">
        <v>2</v>
      </c>
      <c r="Q1169">
        <v>1</v>
      </c>
      <c r="R1169">
        <v>5208</v>
      </c>
      <c r="S1169">
        <v>16</v>
      </c>
      <c r="T1169">
        <v>3</v>
      </c>
      <c r="U1169">
        <v>16</v>
      </c>
      <c r="V1169">
        <v>15</v>
      </c>
      <c r="W1169">
        <v>1</v>
      </c>
      <c r="X1169">
        <v>10</v>
      </c>
      <c r="Y1169">
        <f>IF(HR_data[[#This Row],[Attrition]]= "Yes",1,0)</f>
        <v>0</v>
      </c>
    </row>
    <row r="1170" spans="1:25">
      <c r="A1170">
        <v>1169</v>
      </c>
      <c r="B1170" t="s">
        <v>33</v>
      </c>
      <c r="C1170" t="s">
        <v>25</v>
      </c>
      <c r="D1170" t="s">
        <v>43</v>
      </c>
      <c r="E1170" t="s">
        <v>36</v>
      </c>
      <c r="F1170" t="s">
        <v>45</v>
      </c>
      <c r="G1170">
        <v>1</v>
      </c>
      <c r="H1170" t="s">
        <v>37</v>
      </c>
      <c r="I1170" t="s">
        <v>42</v>
      </c>
      <c r="J1170" t="s">
        <v>39</v>
      </c>
      <c r="K1170" t="s">
        <v>33</v>
      </c>
      <c r="L1170">
        <v>34</v>
      </c>
      <c r="M1170">
        <v>8</v>
      </c>
      <c r="N1170" t="s">
        <v>47</v>
      </c>
      <c r="O1170">
        <v>2</v>
      </c>
      <c r="P1170">
        <v>2</v>
      </c>
      <c r="Q1170">
        <v>3</v>
      </c>
      <c r="R1170">
        <v>4404</v>
      </c>
      <c r="S1170">
        <v>6</v>
      </c>
      <c r="T1170">
        <v>4</v>
      </c>
      <c r="U1170">
        <v>4</v>
      </c>
      <c r="V1170">
        <v>3</v>
      </c>
      <c r="W1170">
        <v>1</v>
      </c>
      <c r="X1170">
        <v>2</v>
      </c>
      <c r="Y1170">
        <f>IF(HR_data[[#This Row],[Attrition]]= "Yes",1,0)</f>
        <v>0</v>
      </c>
    </row>
    <row r="1171" spans="1:25">
      <c r="A1171">
        <v>1170</v>
      </c>
      <c r="B1171" t="s">
        <v>33</v>
      </c>
      <c r="C1171" t="s">
        <v>25</v>
      </c>
      <c r="D1171" t="s">
        <v>35</v>
      </c>
      <c r="E1171" t="s">
        <v>36</v>
      </c>
      <c r="F1171" t="s">
        <v>45</v>
      </c>
      <c r="G1171">
        <v>1</v>
      </c>
      <c r="H1171" t="s">
        <v>37</v>
      </c>
      <c r="I1171" t="s">
        <v>50</v>
      </c>
      <c r="J1171" t="s">
        <v>39</v>
      </c>
      <c r="K1171" t="s">
        <v>33</v>
      </c>
      <c r="L1171">
        <v>53</v>
      </c>
      <c r="M1171">
        <v>24</v>
      </c>
      <c r="N1171" t="s">
        <v>44</v>
      </c>
      <c r="O1171">
        <v>2</v>
      </c>
      <c r="P1171">
        <v>3</v>
      </c>
      <c r="Q1171">
        <v>4</v>
      </c>
      <c r="R1171">
        <v>7005</v>
      </c>
      <c r="S1171">
        <v>11</v>
      </c>
      <c r="T1171">
        <v>3</v>
      </c>
      <c r="U1171">
        <v>4</v>
      </c>
      <c r="V1171">
        <v>3</v>
      </c>
      <c r="W1171">
        <v>1</v>
      </c>
      <c r="X1171">
        <v>2</v>
      </c>
      <c r="Y1171">
        <f>IF(HR_data[[#This Row],[Attrition]]= "Yes",1,0)</f>
        <v>0</v>
      </c>
    </row>
    <row r="1172" spans="1:25">
      <c r="A1172">
        <v>1171</v>
      </c>
      <c r="B1172" t="s">
        <v>33</v>
      </c>
      <c r="C1172" t="s">
        <v>25</v>
      </c>
      <c r="D1172" t="s">
        <v>35</v>
      </c>
      <c r="E1172" t="s">
        <v>36</v>
      </c>
      <c r="F1172" t="s">
        <v>28</v>
      </c>
      <c r="G1172">
        <v>1</v>
      </c>
      <c r="H1172" t="s">
        <v>37</v>
      </c>
      <c r="I1172" t="s">
        <v>55</v>
      </c>
      <c r="J1172" t="s">
        <v>39</v>
      </c>
      <c r="K1172" t="s">
        <v>33</v>
      </c>
      <c r="L1172">
        <v>48</v>
      </c>
      <c r="M1172">
        <v>10</v>
      </c>
      <c r="N1172" t="s">
        <v>47</v>
      </c>
      <c r="O1172">
        <v>4</v>
      </c>
      <c r="P1172">
        <v>5</v>
      </c>
      <c r="Q1172">
        <v>2</v>
      </c>
      <c r="R1172">
        <v>19665</v>
      </c>
      <c r="S1172">
        <v>29</v>
      </c>
      <c r="T1172">
        <v>3</v>
      </c>
      <c r="U1172">
        <v>22</v>
      </c>
      <c r="V1172">
        <v>10</v>
      </c>
      <c r="W1172">
        <v>12</v>
      </c>
      <c r="X1172">
        <v>9</v>
      </c>
      <c r="Y1172">
        <f>IF(HR_data[[#This Row],[Attrition]]= "Yes",1,0)</f>
        <v>0</v>
      </c>
    </row>
    <row r="1173" spans="1:25">
      <c r="A1173">
        <v>1172</v>
      </c>
      <c r="B1173" t="s">
        <v>33</v>
      </c>
      <c r="C1173" t="s">
        <v>25</v>
      </c>
      <c r="D1173" t="s">
        <v>43</v>
      </c>
      <c r="E1173" t="s">
        <v>36</v>
      </c>
      <c r="F1173" t="s">
        <v>45</v>
      </c>
      <c r="G1173">
        <v>1</v>
      </c>
      <c r="H1173" t="s">
        <v>37</v>
      </c>
      <c r="I1173" t="s">
        <v>42</v>
      </c>
      <c r="J1173" t="s">
        <v>39</v>
      </c>
      <c r="K1173" t="s">
        <v>33</v>
      </c>
      <c r="L1173">
        <v>30</v>
      </c>
      <c r="M1173">
        <v>1</v>
      </c>
      <c r="N1173" t="s">
        <v>32</v>
      </c>
      <c r="O1173">
        <v>4</v>
      </c>
      <c r="P1173">
        <v>1</v>
      </c>
      <c r="Q1173">
        <v>2</v>
      </c>
      <c r="R1173">
        <v>3748</v>
      </c>
      <c r="S1173">
        <v>12</v>
      </c>
      <c r="T1173">
        <v>2</v>
      </c>
      <c r="U1173">
        <v>12</v>
      </c>
      <c r="V1173">
        <v>8</v>
      </c>
      <c r="W1173">
        <v>1</v>
      </c>
      <c r="X1173">
        <v>7</v>
      </c>
      <c r="Y1173">
        <f>IF(HR_data[[#This Row],[Attrition]]= "Yes",1,0)</f>
        <v>0</v>
      </c>
    </row>
    <row r="1174" spans="1:25">
      <c r="A1174">
        <v>1173</v>
      </c>
      <c r="B1174" t="s">
        <v>33</v>
      </c>
      <c r="C1174" t="s">
        <v>25</v>
      </c>
      <c r="D1174" t="s">
        <v>43</v>
      </c>
      <c r="E1174" t="s">
        <v>36</v>
      </c>
      <c r="F1174" t="s">
        <v>28</v>
      </c>
      <c r="G1174">
        <v>1</v>
      </c>
      <c r="H1174" t="s">
        <v>37</v>
      </c>
      <c r="I1174" t="s">
        <v>50</v>
      </c>
      <c r="J1174" t="s">
        <v>39</v>
      </c>
      <c r="K1174" t="s">
        <v>33</v>
      </c>
      <c r="L1174">
        <v>29</v>
      </c>
      <c r="M1174">
        <v>1</v>
      </c>
      <c r="N1174" t="s">
        <v>47</v>
      </c>
      <c r="O1174">
        <v>1</v>
      </c>
      <c r="P1174">
        <v>2</v>
      </c>
      <c r="Q1174">
        <v>1</v>
      </c>
      <c r="R1174">
        <v>5373</v>
      </c>
      <c r="S1174">
        <v>6</v>
      </c>
      <c r="T1174">
        <v>2</v>
      </c>
      <c r="U1174">
        <v>5</v>
      </c>
      <c r="V1174">
        <v>3</v>
      </c>
      <c r="W1174">
        <v>0</v>
      </c>
      <c r="X1174">
        <v>2</v>
      </c>
      <c r="Y1174">
        <f>IF(HR_data[[#This Row],[Attrition]]= "Yes",1,0)</f>
        <v>0</v>
      </c>
    </row>
    <row r="1175" spans="1:25">
      <c r="A1175">
        <v>1174</v>
      </c>
      <c r="B1175" t="s">
        <v>33</v>
      </c>
      <c r="C1175" t="s">
        <v>25</v>
      </c>
      <c r="D1175" t="s">
        <v>35</v>
      </c>
      <c r="E1175" t="s">
        <v>36</v>
      </c>
      <c r="F1175" t="s">
        <v>57</v>
      </c>
      <c r="G1175">
        <v>1</v>
      </c>
      <c r="H1175" t="s">
        <v>37</v>
      </c>
      <c r="I1175" t="s">
        <v>50</v>
      </c>
      <c r="J1175" t="s">
        <v>39</v>
      </c>
      <c r="K1175" t="s">
        <v>33</v>
      </c>
      <c r="L1175">
        <v>49</v>
      </c>
      <c r="M1175">
        <v>5</v>
      </c>
      <c r="N1175" t="s">
        <v>44</v>
      </c>
      <c r="O1175">
        <v>1</v>
      </c>
      <c r="P1175">
        <v>2</v>
      </c>
      <c r="Q1175">
        <v>3</v>
      </c>
      <c r="R1175">
        <v>6651</v>
      </c>
      <c r="S1175">
        <v>20</v>
      </c>
      <c r="T1175">
        <v>2</v>
      </c>
      <c r="U1175">
        <v>3</v>
      </c>
      <c r="V1175">
        <v>2</v>
      </c>
      <c r="W1175">
        <v>1</v>
      </c>
      <c r="X1175">
        <v>2</v>
      </c>
      <c r="Y1175">
        <f>IF(HR_data[[#This Row],[Attrition]]= "Yes",1,0)</f>
        <v>0</v>
      </c>
    </row>
    <row r="1176" spans="1:25">
      <c r="A1176">
        <v>1175</v>
      </c>
      <c r="B1176" t="s">
        <v>33</v>
      </c>
      <c r="C1176" t="s">
        <v>25</v>
      </c>
      <c r="D1176" t="s">
        <v>26</v>
      </c>
      <c r="E1176" t="s">
        <v>36</v>
      </c>
      <c r="F1176" t="s">
        <v>28</v>
      </c>
      <c r="G1176">
        <v>1</v>
      </c>
      <c r="H1176" t="s">
        <v>37</v>
      </c>
      <c r="I1176" t="s">
        <v>50</v>
      </c>
      <c r="J1176" t="s">
        <v>39</v>
      </c>
      <c r="K1176" t="s">
        <v>33</v>
      </c>
      <c r="L1176">
        <v>43</v>
      </c>
      <c r="M1176">
        <v>11</v>
      </c>
      <c r="N1176" t="s">
        <v>47</v>
      </c>
      <c r="O1176">
        <v>1</v>
      </c>
      <c r="P1176">
        <v>3</v>
      </c>
      <c r="Q1176">
        <v>3</v>
      </c>
      <c r="R1176">
        <v>7510</v>
      </c>
      <c r="S1176">
        <v>10</v>
      </c>
      <c r="T1176">
        <v>3</v>
      </c>
      <c r="U1176">
        <v>10</v>
      </c>
      <c r="V1176">
        <v>9</v>
      </c>
      <c r="W1176">
        <v>0</v>
      </c>
      <c r="X1176">
        <v>9</v>
      </c>
      <c r="Y1176">
        <f>IF(HR_data[[#This Row],[Attrition]]= "Yes",1,0)</f>
        <v>0</v>
      </c>
    </row>
    <row r="1177" spans="1:25">
      <c r="A1177">
        <v>1176</v>
      </c>
      <c r="B1177" t="s">
        <v>33</v>
      </c>
      <c r="C1177" t="s">
        <v>25</v>
      </c>
      <c r="D1177" t="s">
        <v>43</v>
      </c>
      <c r="E1177" t="s">
        <v>36</v>
      </c>
      <c r="F1177" t="s">
        <v>57</v>
      </c>
      <c r="G1177">
        <v>1</v>
      </c>
      <c r="H1177" t="s">
        <v>37</v>
      </c>
      <c r="I1177" t="s">
        <v>42</v>
      </c>
      <c r="J1177" t="s">
        <v>39</v>
      </c>
      <c r="K1177" t="s">
        <v>33</v>
      </c>
      <c r="L1177">
        <v>25</v>
      </c>
      <c r="M1177">
        <v>1</v>
      </c>
      <c r="N1177" t="s">
        <v>47</v>
      </c>
      <c r="O1177">
        <v>1</v>
      </c>
      <c r="P1177">
        <v>1</v>
      </c>
      <c r="Q1177">
        <v>4</v>
      </c>
      <c r="R1177">
        <v>3229</v>
      </c>
      <c r="S1177">
        <v>7</v>
      </c>
      <c r="T1177">
        <v>2</v>
      </c>
      <c r="U1177">
        <v>3</v>
      </c>
      <c r="V1177">
        <v>2</v>
      </c>
      <c r="W1177">
        <v>0</v>
      </c>
      <c r="X1177">
        <v>2</v>
      </c>
      <c r="Y1177">
        <f>IF(HR_data[[#This Row],[Attrition]]= "Yes",1,0)</f>
        <v>0</v>
      </c>
    </row>
    <row r="1178" spans="1:25">
      <c r="A1178">
        <v>1177</v>
      </c>
      <c r="B1178" t="s">
        <v>33</v>
      </c>
      <c r="C1178" t="s">
        <v>25</v>
      </c>
      <c r="D1178" t="s">
        <v>35</v>
      </c>
      <c r="E1178" t="s">
        <v>36</v>
      </c>
      <c r="F1178" t="s">
        <v>57</v>
      </c>
      <c r="G1178">
        <v>1</v>
      </c>
      <c r="H1178" t="s">
        <v>37</v>
      </c>
      <c r="I1178" t="s">
        <v>38</v>
      </c>
      <c r="J1178" t="s">
        <v>39</v>
      </c>
      <c r="K1178" t="s">
        <v>33</v>
      </c>
      <c r="L1178">
        <v>47</v>
      </c>
      <c r="M1178">
        <v>1</v>
      </c>
      <c r="N1178" t="s">
        <v>47</v>
      </c>
      <c r="O1178">
        <v>1</v>
      </c>
      <c r="P1178">
        <v>1</v>
      </c>
      <c r="Q1178">
        <v>4</v>
      </c>
      <c r="R1178">
        <v>3420</v>
      </c>
      <c r="S1178">
        <v>17</v>
      </c>
      <c r="T1178">
        <v>2</v>
      </c>
      <c r="U1178">
        <v>6</v>
      </c>
      <c r="V1178">
        <v>5</v>
      </c>
      <c r="W1178">
        <v>1</v>
      </c>
      <c r="X1178">
        <v>2</v>
      </c>
      <c r="Y1178">
        <f>IF(HR_data[[#This Row],[Attrition]]= "Yes",1,0)</f>
        <v>0</v>
      </c>
    </row>
    <row r="1179" spans="1:25">
      <c r="A1179">
        <v>1178</v>
      </c>
      <c r="B1179" t="s">
        <v>33</v>
      </c>
      <c r="C1179" t="s">
        <v>25</v>
      </c>
      <c r="D1179" t="s">
        <v>26</v>
      </c>
      <c r="E1179" t="s">
        <v>36</v>
      </c>
      <c r="F1179" t="s">
        <v>45</v>
      </c>
      <c r="G1179">
        <v>1</v>
      </c>
      <c r="H1179" t="s">
        <v>37</v>
      </c>
      <c r="I1179" t="s">
        <v>42</v>
      </c>
      <c r="J1179" t="s">
        <v>39</v>
      </c>
      <c r="K1179" t="s">
        <v>33</v>
      </c>
      <c r="L1179">
        <v>35</v>
      </c>
      <c r="M1179">
        <v>23</v>
      </c>
      <c r="N1179" t="s">
        <v>44</v>
      </c>
      <c r="O1179">
        <v>2</v>
      </c>
      <c r="P1179">
        <v>1</v>
      </c>
      <c r="Q1179">
        <v>3</v>
      </c>
      <c r="R1179">
        <v>2705</v>
      </c>
      <c r="S1179">
        <v>6</v>
      </c>
      <c r="T1179">
        <v>4</v>
      </c>
      <c r="U1179">
        <v>5</v>
      </c>
      <c r="V1179">
        <v>4</v>
      </c>
      <c r="W1179">
        <v>0</v>
      </c>
      <c r="X1179">
        <v>3</v>
      </c>
      <c r="Y1179">
        <f>IF(HR_data[[#This Row],[Attrition]]= "Yes",1,0)</f>
        <v>0</v>
      </c>
    </row>
    <row r="1180" spans="1:25">
      <c r="A1180">
        <v>1179</v>
      </c>
      <c r="B1180" t="s">
        <v>33</v>
      </c>
      <c r="C1180" t="s">
        <v>25</v>
      </c>
      <c r="D1180" t="s">
        <v>43</v>
      </c>
      <c r="E1180" t="s">
        <v>36</v>
      </c>
      <c r="F1180" t="s">
        <v>45</v>
      </c>
      <c r="G1180">
        <v>1</v>
      </c>
      <c r="H1180" t="s">
        <v>37</v>
      </c>
      <c r="I1180" t="s">
        <v>38</v>
      </c>
      <c r="J1180" t="s">
        <v>39</v>
      </c>
      <c r="K1180" t="s">
        <v>33</v>
      </c>
      <c r="L1180">
        <v>30</v>
      </c>
      <c r="M1180">
        <v>7</v>
      </c>
      <c r="N1180" t="s">
        <v>47</v>
      </c>
      <c r="O1180">
        <v>2</v>
      </c>
      <c r="P1180">
        <v>1</v>
      </c>
      <c r="Q1180">
        <v>2</v>
      </c>
      <c r="R1180">
        <v>2141</v>
      </c>
      <c r="S1180">
        <v>6</v>
      </c>
      <c r="T1180">
        <v>2</v>
      </c>
      <c r="U1180">
        <v>6</v>
      </c>
      <c r="V1180">
        <v>4</v>
      </c>
      <c r="W1180">
        <v>1</v>
      </c>
      <c r="X1180">
        <v>1</v>
      </c>
      <c r="Y1180">
        <f>IF(HR_data[[#This Row],[Attrition]]= "Yes",1,0)</f>
        <v>0</v>
      </c>
    </row>
    <row r="1181" spans="1:25">
      <c r="A1181">
        <v>1180</v>
      </c>
      <c r="B1181" t="s">
        <v>33</v>
      </c>
      <c r="C1181" t="s">
        <v>25</v>
      </c>
      <c r="D1181" t="s">
        <v>43</v>
      </c>
      <c r="E1181" t="s">
        <v>36</v>
      </c>
      <c r="F1181" t="s">
        <v>45</v>
      </c>
      <c r="G1181">
        <v>1</v>
      </c>
      <c r="H1181" t="s">
        <v>37</v>
      </c>
      <c r="I1181" t="s">
        <v>42</v>
      </c>
      <c r="J1181" t="s">
        <v>39</v>
      </c>
      <c r="K1181" t="s">
        <v>33</v>
      </c>
      <c r="L1181">
        <v>34</v>
      </c>
      <c r="M1181">
        <v>5</v>
      </c>
      <c r="N1181" t="s">
        <v>32</v>
      </c>
      <c r="O1181">
        <v>2</v>
      </c>
      <c r="P1181">
        <v>2</v>
      </c>
      <c r="Q1181">
        <v>4</v>
      </c>
      <c r="R1181">
        <v>3986</v>
      </c>
      <c r="S1181">
        <v>15</v>
      </c>
      <c r="T1181">
        <v>4</v>
      </c>
      <c r="U1181">
        <v>15</v>
      </c>
      <c r="V1181">
        <v>10</v>
      </c>
      <c r="W1181">
        <v>4</v>
      </c>
      <c r="X1181">
        <v>13</v>
      </c>
      <c r="Y1181">
        <f>IF(HR_data[[#This Row],[Attrition]]= "Yes",1,0)</f>
        <v>0</v>
      </c>
    </row>
    <row r="1182" spans="1:25">
      <c r="A1182">
        <v>1181</v>
      </c>
      <c r="B1182" t="s">
        <v>33</v>
      </c>
      <c r="C1182" t="s">
        <v>25</v>
      </c>
      <c r="D1182" t="s">
        <v>43</v>
      </c>
      <c r="E1182" t="s">
        <v>36</v>
      </c>
      <c r="F1182" t="s">
        <v>57</v>
      </c>
      <c r="G1182">
        <v>1</v>
      </c>
      <c r="H1182" t="s">
        <v>37</v>
      </c>
      <c r="I1182" t="s">
        <v>38</v>
      </c>
      <c r="J1182" t="s">
        <v>39</v>
      </c>
      <c r="K1182" t="s">
        <v>33</v>
      </c>
      <c r="L1182">
        <v>27</v>
      </c>
      <c r="M1182">
        <v>2</v>
      </c>
      <c r="N1182" t="s">
        <v>44</v>
      </c>
      <c r="O1182">
        <v>2</v>
      </c>
      <c r="P1182">
        <v>1</v>
      </c>
      <c r="Q1182">
        <v>2</v>
      </c>
      <c r="R1182">
        <v>2226</v>
      </c>
      <c r="S1182">
        <v>6</v>
      </c>
      <c r="T1182">
        <v>2</v>
      </c>
      <c r="U1182">
        <v>5</v>
      </c>
      <c r="V1182">
        <v>3</v>
      </c>
      <c r="W1182">
        <v>1</v>
      </c>
      <c r="X1182">
        <v>2</v>
      </c>
      <c r="Y1182">
        <f>IF(HR_data[[#This Row],[Attrition]]= "Yes",1,0)</f>
        <v>0</v>
      </c>
    </row>
    <row r="1183" spans="1:25">
      <c r="A1183">
        <v>1182</v>
      </c>
      <c r="B1183" t="s">
        <v>33</v>
      </c>
      <c r="C1183" t="s">
        <v>25</v>
      </c>
      <c r="D1183" t="s">
        <v>43</v>
      </c>
      <c r="E1183" t="s">
        <v>36</v>
      </c>
      <c r="F1183" t="s">
        <v>28</v>
      </c>
      <c r="G1183">
        <v>1</v>
      </c>
      <c r="H1183" t="s">
        <v>37</v>
      </c>
      <c r="I1183" t="s">
        <v>42</v>
      </c>
      <c r="J1183" t="s">
        <v>39</v>
      </c>
      <c r="K1183" t="s">
        <v>33</v>
      </c>
      <c r="L1183">
        <v>31</v>
      </c>
      <c r="M1183">
        <v>2</v>
      </c>
      <c r="N1183" t="s">
        <v>44</v>
      </c>
      <c r="O1183">
        <v>2</v>
      </c>
      <c r="P1183">
        <v>1</v>
      </c>
      <c r="Q1183">
        <v>3</v>
      </c>
      <c r="R1183">
        <v>3477</v>
      </c>
      <c r="S1183">
        <v>6</v>
      </c>
      <c r="T1183">
        <v>4</v>
      </c>
      <c r="U1183">
        <v>5</v>
      </c>
      <c r="V1183">
        <v>2</v>
      </c>
      <c r="W1183">
        <v>0</v>
      </c>
      <c r="X1183">
        <v>3</v>
      </c>
      <c r="Y1183">
        <f>IF(HR_data[[#This Row],[Attrition]]= "Yes",1,0)</f>
        <v>0</v>
      </c>
    </row>
    <row r="1184" spans="1:25">
      <c r="A1184">
        <v>1183</v>
      </c>
      <c r="B1184" t="s">
        <v>33</v>
      </c>
      <c r="C1184" t="s">
        <v>25</v>
      </c>
      <c r="D1184" t="s">
        <v>43</v>
      </c>
      <c r="E1184" t="s">
        <v>36</v>
      </c>
      <c r="F1184" t="s">
        <v>28</v>
      </c>
      <c r="G1184">
        <v>1</v>
      </c>
      <c r="H1184" t="s">
        <v>37</v>
      </c>
      <c r="I1184" t="s">
        <v>38</v>
      </c>
      <c r="J1184" t="s">
        <v>39</v>
      </c>
      <c r="K1184" t="s">
        <v>33</v>
      </c>
      <c r="L1184">
        <v>30</v>
      </c>
      <c r="M1184">
        <v>16</v>
      </c>
      <c r="N1184" t="s">
        <v>40</v>
      </c>
      <c r="O1184">
        <v>2</v>
      </c>
      <c r="P1184">
        <v>1</v>
      </c>
      <c r="Q1184">
        <v>4</v>
      </c>
      <c r="R1184">
        <v>2862</v>
      </c>
      <c r="S1184">
        <v>10</v>
      </c>
      <c r="T1184">
        <v>2</v>
      </c>
      <c r="U1184">
        <v>10</v>
      </c>
      <c r="V1184">
        <v>0</v>
      </c>
      <c r="W1184">
        <v>0</v>
      </c>
      <c r="X1184">
        <v>8</v>
      </c>
      <c r="Y1184">
        <f>IF(HR_data[[#This Row],[Attrition]]= "Yes",1,0)</f>
        <v>0</v>
      </c>
    </row>
    <row r="1185" spans="1:25">
      <c r="A1185">
        <v>1184</v>
      </c>
      <c r="B1185" t="s">
        <v>33</v>
      </c>
      <c r="C1185" t="s">
        <v>25</v>
      </c>
      <c r="D1185" t="s">
        <v>43</v>
      </c>
      <c r="E1185" t="s">
        <v>36</v>
      </c>
      <c r="F1185" t="s">
        <v>28</v>
      </c>
      <c r="G1185">
        <v>1</v>
      </c>
      <c r="H1185" t="s">
        <v>37</v>
      </c>
      <c r="I1185" t="s">
        <v>38</v>
      </c>
      <c r="J1185" t="s">
        <v>39</v>
      </c>
      <c r="K1185" t="s">
        <v>33</v>
      </c>
      <c r="L1185">
        <v>34</v>
      </c>
      <c r="M1185">
        <v>1</v>
      </c>
      <c r="N1185" t="s">
        <v>44</v>
      </c>
      <c r="O1185">
        <v>2</v>
      </c>
      <c r="P1185">
        <v>2</v>
      </c>
      <c r="Q1185">
        <v>4</v>
      </c>
      <c r="R1185">
        <v>5484</v>
      </c>
      <c r="S1185">
        <v>9</v>
      </c>
      <c r="T1185">
        <v>2</v>
      </c>
      <c r="U1185">
        <v>2</v>
      </c>
      <c r="V1185">
        <v>2</v>
      </c>
      <c r="W1185">
        <v>2</v>
      </c>
      <c r="X1185">
        <v>1</v>
      </c>
      <c r="Y1185">
        <f>IF(HR_data[[#This Row],[Attrition]]= "Yes",1,0)</f>
        <v>0</v>
      </c>
    </row>
    <row r="1186" spans="1:25">
      <c r="A1186">
        <v>1185</v>
      </c>
      <c r="B1186" t="s">
        <v>33</v>
      </c>
      <c r="C1186" t="s">
        <v>25</v>
      </c>
      <c r="D1186" t="s">
        <v>26</v>
      </c>
      <c r="E1186" t="s">
        <v>36</v>
      </c>
      <c r="F1186" t="s">
        <v>28</v>
      </c>
      <c r="G1186">
        <v>1</v>
      </c>
      <c r="H1186" t="s">
        <v>37</v>
      </c>
      <c r="I1186" t="s">
        <v>50</v>
      </c>
      <c r="J1186" t="s">
        <v>39</v>
      </c>
      <c r="K1186" t="s">
        <v>33</v>
      </c>
      <c r="L1186">
        <v>44</v>
      </c>
      <c r="M1186">
        <v>1</v>
      </c>
      <c r="N1186" t="s">
        <v>44</v>
      </c>
      <c r="O1186">
        <v>2</v>
      </c>
      <c r="P1186">
        <v>2</v>
      </c>
      <c r="Q1186">
        <v>1</v>
      </c>
      <c r="R1186">
        <v>5033</v>
      </c>
      <c r="S1186">
        <v>10</v>
      </c>
      <c r="T1186">
        <v>3</v>
      </c>
      <c r="U1186">
        <v>2</v>
      </c>
      <c r="V1186">
        <v>0</v>
      </c>
      <c r="W1186">
        <v>2</v>
      </c>
      <c r="X1186">
        <v>2</v>
      </c>
      <c r="Y1186">
        <f>IF(HR_data[[#This Row],[Attrition]]= "Yes",1,0)</f>
        <v>0</v>
      </c>
    </row>
    <row r="1187" spans="1:25">
      <c r="A1187">
        <v>1186</v>
      </c>
      <c r="B1187" t="s">
        <v>33</v>
      </c>
      <c r="C1187" t="s">
        <v>25</v>
      </c>
      <c r="D1187" t="s">
        <v>26</v>
      </c>
      <c r="E1187" t="s">
        <v>36</v>
      </c>
      <c r="F1187" t="s">
        <v>45</v>
      </c>
      <c r="G1187">
        <v>1</v>
      </c>
      <c r="H1187" t="s">
        <v>37</v>
      </c>
      <c r="I1187" t="s">
        <v>42</v>
      </c>
      <c r="J1187" t="s">
        <v>39</v>
      </c>
      <c r="K1187" t="s">
        <v>33</v>
      </c>
      <c r="L1187">
        <v>42</v>
      </c>
      <c r="M1187">
        <v>2</v>
      </c>
      <c r="N1187" t="s">
        <v>47</v>
      </c>
      <c r="O1187">
        <v>3</v>
      </c>
      <c r="P1187">
        <v>1</v>
      </c>
      <c r="Q1187">
        <v>2</v>
      </c>
      <c r="R1187">
        <v>4841</v>
      </c>
      <c r="S1187">
        <v>4</v>
      </c>
      <c r="T1187">
        <v>3</v>
      </c>
      <c r="U1187">
        <v>1</v>
      </c>
      <c r="V1187">
        <v>0</v>
      </c>
      <c r="W1187">
        <v>0</v>
      </c>
      <c r="X1187">
        <v>0</v>
      </c>
      <c r="Y1187">
        <f>IF(HR_data[[#This Row],[Attrition]]= "Yes",1,0)</f>
        <v>0</v>
      </c>
    </row>
    <row r="1188" spans="1:25">
      <c r="A1188">
        <v>1187</v>
      </c>
      <c r="B1188" t="s">
        <v>33</v>
      </c>
      <c r="C1188" t="s">
        <v>25</v>
      </c>
      <c r="D1188" t="s">
        <v>26</v>
      </c>
      <c r="E1188" t="s">
        <v>36</v>
      </c>
      <c r="F1188" t="s">
        <v>28</v>
      </c>
      <c r="G1188">
        <v>1</v>
      </c>
      <c r="H1188" t="s">
        <v>37</v>
      </c>
      <c r="I1188" t="s">
        <v>42</v>
      </c>
      <c r="J1188" t="s">
        <v>39</v>
      </c>
      <c r="K1188" t="s">
        <v>33</v>
      </c>
      <c r="L1188">
        <v>35</v>
      </c>
      <c r="M1188">
        <v>7</v>
      </c>
      <c r="N1188" t="s">
        <v>32</v>
      </c>
      <c r="O1188">
        <v>3</v>
      </c>
      <c r="P1188">
        <v>1</v>
      </c>
      <c r="Q1188">
        <v>4</v>
      </c>
      <c r="R1188">
        <v>2690</v>
      </c>
      <c r="S1188">
        <v>1</v>
      </c>
      <c r="T1188">
        <v>2</v>
      </c>
      <c r="U1188">
        <v>1</v>
      </c>
      <c r="V1188">
        <v>0</v>
      </c>
      <c r="W1188">
        <v>0</v>
      </c>
      <c r="X1188">
        <v>1</v>
      </c>
      <c r="Y1188">
        <f>IF(HR_data[[#This Row],[Attrition]]= "Yes",1,0)</f>
        <v>0</v>
      </c>
    </row>
    <row r="1189" spans="1:25">
      <c r="A1189">
        <v>1188</v>
      </c>
      <c r="B1189" t="s">
        <v>33</v>
      </c>
      <c r="C1189" t="s">
        <v>25</v>
      </c>
      <c r="D1189" t="s">
        <v>26</v>
      </c>
      <c r="E1189" t="s">
        <v>36</v>
      </c>
      <c r="F1189" t="s">
        <v>45</v>
      </c>
      <c r="G1189">
        <v>1</v>
      </c>
      <c r="H1189" t="s">
        <v>37</v>
      </c>
      <c r="I1189" t="s">
        <v>55</v>
      </c>
      <c r="J1189" t="s">
        <v>39</v>
      </c>
      <c r="K1189" t="s">
        <v>33</v>
      </c>
      <c r="L1189">
        <v>42</v>
      </c>
      <c r="M1189">
        <v>6</v>
      </c>
      <c r="N1189" t="s">
        <v>47</v>
      </c>
      <c r="O1189">
        <v>3</v>
      </c>
      <c r="P1189">
        <v>3</v>
      </c>
      <c r="Q1189">
        <v>1</v>
      </c>
      <c r="R1189">
        <v>13348</v>
      </c>
      <c r="S1189">
        <v>18</v>
      </c>
      <c r="T1189">
        <v>4</v>
      </c>
      <c r="U1189">
        <v>13</v>
      </c>
      <c r="V1189">
        <v>7</v>
      </c>
      <c r="W1189">
        <v>5</v>
      </c>
      <c r="X1189">
        <v>7</v>
      </c>
      <c r="Y1189">
        <f>IF(HR_data[[#This Row],[Attrition]]= "Yes",1,0)</f>
        <v>0</v>
      </c>
    </row>
    <row r="1190" spans="1:25">
      <c r="A1190">
        <v>1189</v>
      </c>
      <c r="B1190" t="s">
        <v>33</v>
      </c>
      <c r="C1190" t="s">
        <v>25</v>
      </c>
      <c r="D1190" t="s">
        <v>43</v>
      </c>
      <c r="E1190" t="s">
        <v>36</v>
      </c>
      <c r="F1190" t="s">
        <v>28</v>
      </c>
      <c r="G1190">
        <v>1</v>
      </c>
      <c r="H1190" t="s">
        <v>37</v>
      </c>
      <c r="I1190" t="s">
        <v>38</v>
      </c>
      <c r="J1190" t="s">
        <v>39</v>
      </c>
      <c r="K1190" t="s">
        <v>33</v>
      </c>
      <c r="L1190">
        <v>28</v>
      </c>
      <c r="M1190">
        <v>1</v>
      </c>
      <c r="N1190" t="s">
        <v>47</v>
      </c>
      <c r="O1190">
        <v>3</v>
      </c>
      <c r="P1190">
        <v>1</v>
      </c>
      <c r="Q1190">
        <v>4</v>
      </c>
      <c r="R1190">
        <v>2044</v>
      </c>
      <c r="S1190">
        <v>5</v>
      </c>
      <c r="T1190">
        <v>4</v>
      </c>
      <c r="U1190">
        <v>5</v>
      </c>
      <c r="V1190">
        <v>3</v>
      </c>
      <c r="W1190">
        <v>0</v>
      </c>
      <c r="X1190">
        <v>3</v>
      </c>
      <c r="Y1190">
        <f>IF(HR_data[[#This Row],[Attrition]]= "Yes",1,0)</f>
        <v>0</v>
      </c>
    </row>
    <row r="1191" spans="1:25">
      <c r="A1191">
        <v>1190</v>
      </c>
      <c r="B1191" t="s">
        <v>33</v>
      </c>
      <c r="C1191" t="s">
        <v>25</v>
      </c>
      <c r="D1191" t="s">
        <v>43</v>
      </c>
      <c r="E1191" t="s">
        <v>36</v>
      </c>
      <c r="F1191" t="s">
        <v>28</v>
      </c>
      <c r="G1191">
        <v>1</v>
      </c>
      <c r="H1191" t="s">
        <v>37</v>
      </c>
      <c r="I1191" t="s">
        <v>50</v>
      </c>
      <c r="J1191" t="s">
        <v>39</v>
      </c>
      <c r="K1191" t="s">
        <v>33</v>
      </c>
      <c r="L1191">
        <v>30</v>
      </c>
      <c r="M1191">
        <v>16</v>
      </c>
      <c r="N1191" t="s">
        <v>47</v>
      </c>
      <c r="O1191">
        <v>3</v>
      </c>
      <c r="P1191">
        <v>2</v>
      </c>
      <c r="Q1191">
        <v>3</v>
      </c>
      <c r="R1191">
        <v>5294</v>
      </c>
      <c r="S1191">
        <v>10</v>
      </c>
      <c r="T1191">
        <v>3</v>
      </c>
      <c r="U1191">
        <v>7</v>
      </c>
      <c r="V1191">
        <v>0</v>
      </c>
      <c r="W1191">
        <v>1</v>
      </c>
      <c r="X1191">
        <v>7</v>
      </c>
      <c r="Y1191">
        <f>IF(HR_data[[#This Row],[Attrition]]= "Yes",1,0)</f>
        <v>0</v>
      </c>
    </row>
    <row r="1192" spans="1:25">
      <c r="A1192">
        <v>1191</v>
      </c>
      <c r="B1192" t="s">
        <v>33</v>
      </c>
      <c r="C1192" t="s">
        <v>25</v>
      </c>
      <c r="D1192" t="s">
        <v>52</v>
      </c>
      <c r="E1192" t="s">
        <v>36</v>
      </c>
      <c r="F1192" t="s">
        <v>45</v>
      </c>
      <c r="G1192">
        <v>1</v>
      </c>
      <c r="H1192" t="s">
        <v>37</v>
      </c>
      <c r="I1192" t="s">
        <v>38</v>
      </c>
      <c r="J1192" t="s">
        <v>39</v>
      </c>
      <c r="K1192" t="s">
        <v>33</v>
      </c>
      <c r="L1192">
        <v>24</v>
      </c>
      <c r="M1192">
        <v>9</v>
      </c>
      <c r="N1192" t="s">
        <v>47</v>
      </c>
      <c r="O1192">
        <v>3</v>
      </c>
      <c r="P1192">
        <v>1</v>
      </c>
      <c r="Q1192">
        <v>3</v>
      </c>
      <c r="R1192">
        <v>4401</v>
      </c>
      <c r="S1192">
        <v>5</v>
      </c>
      <c r="T1192">
        <v>3</v>
      </c>
      <c r="U1192">
        <v>5</v>
      </c>
      <c r="V1192">
        <v>3</v>
      </c>
      <c r="W1192">
        <v>0</v>
      </c>
      <c r="X1192">
        <v>4</v>
      </c>
      <c r="Y1192">
        <f>IF(HR_data[[#This Row],[Attrition]]= "Yes",1,0)</f>
        <v>0</v>
      </c>
    </row>
    <row r="1193" spans="1:25">
      <c r="A1193">
        <v>1192</v>
      </c>
      <c r="B1193" t="s">
        <v>33</v>
      </c>
      <c r="C1193" t="s">
        <v>25</v>
      </c>
      <c r="D1193" t="s">
        <v>26</v>
      </c>
      <c r="E1193" t="s">
        <v>36</v>
      </c>
      <c r="F1193" t="s">
        <v>45</v>
      </c>
      <c r="G1193">
        <v>1</v>
      </c>
      <c r="H1193" t="s">
        <v>37</v>
      </c>
      <c r="I1193" t="s">
        <v>50</v>
      </c>
      <c r="J1193" t="s">
        <v>39</v>
      </c>
      <c r="K1193" t="s">
        <v>33</v>
      </c>
      <c r="L1193">
        <v>39</v>
      </c>
      <c r="M1193">
        <v>6</v>
      </c>
      <c r="N1193" t="s">
        <v>40</v>
      </c>
      <c r="O1193">
        <v>4</v>
      </c>
      <c r="P1193">
        <v>3</v>
      </c>
      <c r="Q1193">
        <v>1</v>
      </c>
      <c r="R1193">
        <v>9991</v>
      </c>
      <c r="S1193">
        <v>9</v>
      </c>
      <c r="T1193">
        <v>3</v>
      </c>
      <c r="U1193">
        <v>7</v>
      </c>
      <c r="V1193">
        <v>7</v>
      </c>
      <c r="W1193">
        <v>1</v>
      </c>
      <c r="X1193">
        <v>7</v>
      </c>
      <c r="Y1193">
        <f>IF(HR_data[[#This Row],[Attrition]]= "Yes",1,0)</f>
        <v>0</v>
      </c>
    </row>
    <row r="1194" spans="1:25">
      <c r="A1194">
        <v>1193</v>
      </c>
      <c r="B1194" t="s">
        <v>33</v>
      </c>
      <c r="C1194" t="s">
        <v>25</v>
      </c>
      <c r="D1194" t="s">
        <v>26</v>
      </c>
      <c r="E1194" t="s">
        <v>36</v>
      </c>
      <c r="F1194" t="s">
        <v>28</v>
      </c>
      <c r="G1194">
        <v>1</v>
      </c>
      <c r="H1194" t="s">
        <v>37</v>
      </c>
      <c r="I1194" t="s">
        <v>55</v>
      </c>
      <c r="J1194" t="s">
        <v>39</v>
      </c>
      <c r="K1194" t="s">
        <v>33</v>
      </c>
      <c r="L1194">
        <v>44</v>
      </c>
      <c r="M1194">
        <v>28</v>
      </c>
      <c r="N1194" t="s">
        <v>47</v>
      </c>
      <c r="O1194">
        <v>4</v>
      </c>
      <c r="P1194">
        <v>4</v>
      </c>
      <c r="Q1194">
        <v>1</v>
      </c>
      <c r="R1194">
        <v>16328</v>
      </c>
      <c r="S1194">
        <v>24</v>
      </c>
      <c r="T1194">
        <v>4</v>
      </c>
      <c r="U1194">
        <v>20</v>
      </c>
      <c r="V1194">
        <v>6</v>
      </c>
      <c r="W1194">
        <v>14</v>
      </c>
      <c r="X1194">
        <v>17</v>
      </c>
      <c r="Y1194">
        <f>IF(HR_data[[#This Row],[Attrition]]= "Yes",1,0)</f>
        <v>0</v>
      </c>
    </row>
    <row r="1195" spans="1:25">
      <c r="A1195">
        <v>1194</v>
      </c>
      <c r="B1195" t="s">
        <v>33</v>
      </c>
      <c r="C1195" t="s">
        <v>25</v>
      </c>
      <c r="D1195" t="s">
        <v>26</v>
      </c>
      <c r="E1195" t="s">
        <v>36</v>
      </c>
      <c r="F1195" t="s">
        <v>28</v>
      </c>
      <c r="G1195">
        <v>1</v>
      </c>
      <c r="H1195" t="s">
        <v>37</v>
      </c>
      <c r="I1195" t="s">
        <v>49</v>
      </c>
      <c r="J1195" t="s">
        <v>39</v>
      </c>
      <c r="K1195" t="s">
        <v>33</v>
      </c>
      <c r="L1195">
        <v>35</v>
      </c>
      <c r="M1195">
        <v>27</v>
      </c>
      <c r="N1195" t="s">
        <v>44</v>
      </c>
      <c r="O1195">
        <v>4</v>
      </c>
      <c r="P1195">
        <v>2</v>
      </c>
      <c r="Q1195">
        <v>3</v>
      </c>
      <c r="R1195">
        <v>6883</v>
      </c>
      <c r="S1195">
        <v>17</v>
      </c>
      <c r="T1195">
        <v>3</v>
      </c>
      <c r="U1195">
        <v>7</v>
      </c>
      <c r="V1195">
        <v>7</v>
      </c>
      <c r="W1195">
        <v>0</v>
      </c>
      <c r="X1195">
        <v>7</v>
      </c>
      <c r="Y1195">
        <f>IF(HR_data[[#This Row],[Attrition]]= "Yes",1,0)</f>
        <v>0</v>
      </c>
    </row>
    <row r="1196" spans="1:25">
      <c r="A1196">
        <v>1195</v>
      </c>
      <c r="B1196" t="s">
        <v>33</v>
      </c>
      <c r="C1196" t="s">
        <v>25</v>
      </c>
      <c r="D1196" t="s">
        <v>43</v>
      </c>
      <c r="E1196" t="s">
        <v>36</v>
      </c>
      <c r="F1196" t="s">
        <v>28</v>
      </c>
      <c r="G1196">
        <v>1</v>
      </c>
      <c r="H1196" t="s">
        <v>37</v>
      </c>
      <c r="I1196" t="s">
        <v>38</v>
      </c>
      <c r="J1196" t="s">
        <v>39</v>
      </c>
      <c r="K1196" t="s">
        <v>33</v>
      </c>
      <c r="L1196">
        <v>33</v>
      </c>
      <c r="M1196">
        <v>8</v>
      </c>
      <c r="N1196" t="s">
        <v>44</v>
      </c>
      <c r="O1196">
        <v>4</v>
      </c>
      <c r="P1196">
        <v>1</v>
      </c>
      <c r="Q1196">
        <v>1</v>
      </c>
      <c r="R1196">
        <v>3143</v>
      </c>
      <c r="S1196">
        <v>14</v>
      </c>
      <c r="T1196">
        <v>3</v>
      </c>
      <c r="U1196">
        <v>10</v>
      </c>
      <c r="V1196">
        <v>8</v>
      </c>
      <c r="W1196">
        <v>7</v>
      </c>
      <c r="X1196">
        <v>6</v>
      </c>
      <c r="Y1196">
        <f>IF(HR_data[[#This Row],[Attrition]]= "Yes",1,0)</f>
        <v>0</v>
      </c>
    </row>
    <row r="1197" spans="1:25">
      <c r="A1197">
        <v>1196</v>
      </c>
      <c r="B1197" t="s">
        <v>33</v>
      </c>
      <c r="C1197" t="s">
        <v>25</v>
      </c>
      <c r="D1197" t="s">
        <v>52</v>
      </c>
      <c r="E1197" t="s">
        <v>36</v>
      </c>
      <c r="F1197" t="s">
        <v>57</v>
      </c>
      <c r="G1197">
        <v>1</v>
      </c>
      <c r="H1197" t="s">
        <v>37</v>
      </c>
      <c r="I1197" t="s">
        <v>38</v>
      </c>
      <c r="J1197" t="s">
        <v>39</v>
      </c>
      <c r="K1197" t="s">
        <v>33</v>
      </c>
      <c r="L1197">
        <v>23</v>
      </c>
      <c r="M1197">
        <v>10</v>
      </c>
      <c r="N1197" t="s">
        <v>47</v>
      </c>
      <c r="O1197">
        <v>4</v>
      </c>
      <c r="P1197">
        <v>1</v>
      </c>
      <c r="Q1197">
        <v>3</v>
      </c>
      <c r="R1197">
        <v>2073</v>
      </c>
      <c r="S1197">
        <v>4</v>
      </c>
      <c r="T1197">
        <v>3</v>
      </c>
      <c r="U1197">
        <v>2</v>
      </c>
      <c r="V1197">
        <v>2</v>
      </c>
      <c r="W1197">
        <v>2</v>
      </c>
      <c r="X1197">
        <v>2</v>
      </c>
      <c r="Y1197">
        <f>IF(HR_data[[#This Row],[Attrition]]= "Yes",1,0)</f>
        <v>0</v>
      </c>
    </row>
    <row r="1198" spans="1:25">
      <c r="A1198">
        <v>1197</v>
      </c>
      <c r="B1198" t="s">
        <v>33</v>
      </c>
      <c r="C1198" t="s">
        <v>25</v>
      </c>
      <c r="D1198" t="s">
        <v>26</v>
      </c>
      <c r="E1198" t="s">
        <v>36</v>
      </c>
      <c r="F1198" t="s">
        <v>28</v>
      </c>
      <c r="G1198">
        <v>1</v>
      </c>
      <c r="H1198" t="s">
        <v>37</v>
      </c>
      <c r="I1198" t="s">
        <v>50</v>
      </c>
      <c r="J1198" t="s">
        <v>39</v>
      </c>
      <c r="K1198" t="s">
        <v>33</v>
      </c>
      <c r="L1198">
        <v>36</v>
      </c>
      <c r="M1198">
        <v>26</v>
      </c>
      <c r="N1198" t="s">
        <v>44</v>
      </c>
      <c r="O1198">
        <v>1</v>
      </c>
      <c r="P1198">
        <v>2</v>
      </c>
      <c r="Q1198">
        <v>3</v>
      </c>
      <c r="R1198">
        <v>5347</v>
      </c>
      <c r="S1198">
        <v>10</v>
      </c>
      <c r="T1198">
        <v>2</v>
      </c>
      <c r="U1198">
        <v>3</v>
      </c>
      <c r="V1198">
        <v>2</v>
      </c>
      <c r="W1198">
        <v>0</v>
      </c>
      <c r="X1198">
        <v>2</v>
      </c>
      <c r="Y1198">
        <f>IF(HR_data[[#This Row],[Attrition]]= "Yes",1,0)</f>
        <v>0</v>
      </c>
    </row>
    <row r="1199" spans="1:25">
      <c r="A1199">
        <v>1198</v>
      </c>
      <c r="B1199" t="s">
        <v>33</v>
      </c>
      <c r="C1199" t="s">
        <v>25</v>
      </c>
      <c r="D1199" t="s">
        <v>26</v>
      </c>
      <c r="E1199" t="s">
        <v>36</v>
      </c>
      <c r="F1199" t="s">
        <v>28</v>
      </c>
      <c r="G1199">
        <v>1</v>
      </c>
      <c r="H1199" t="s">
        <v>37</v>
      </c>
      <c r="I1199" t="s">
        <v>42</v>
      </c>
      <c r="J1199" t="s">
        <v>39</v>
      </c>
      <c r="K1199" t="s">
        <v>33</v>
      </c>
      <c r="L1199">
        <v>40</v>
      </c>
      <c r="M1199">
        <v>1</v>
      </c>
      <c r="N1199" t="s">
        <v>44</v>
      </c>
      <c r="O1199">
        <v>1</v>
      </c>
      <c r="P1199">
        <v>1</v>
      </c>
      <c r="Q1199">
        <v>4</v>
      </c>
      <c r="R1199">
        <v>2406</v>
      </c>
      <c r="S1199">
        <v>8</v>
      </c>
      <c r="T1199">
        <v>2</v>
      </c>
      <c r="U1199">
        <v>1</v>
      </c>
      <c r="V1199">
        <v>0</v>
      </c>
      <c r="W1199">
        <v>0</v>
      </c>
      <c r="X1199">
        <v>0</v>
      </c>
      <c r="Y1199">
        <f>IF(HR_data[[#This Row],[Attrition]]= "Yes",1,0)</f>
        <v>0</v>
      </c>
    </row>
    <row r="1200" spans="1:25">
      <c r="A1200">
        <v>1199</v>
      </c>
      <c r="B1200" t="s">
        <v>33</v>
      </c>
      <c r="C1200" t="s">
        <v>25</v>
      </c>
      <c r="D1200" t="s">
        <v>26</v>
      </c>
      <c r="E1200" t="s">
        <v>36</v>
      </c>
      <c r="F1200" t="s">
        <v>45</v>
      </c>
      <c r="G1200">
        <v>1</v>
      </c>
      <c r="H1200" t="s">
        <v>37</v>
      </c>
      <c r="I1200" t="s">
        <v>50</v>
      </c>
      <c r="J1200" t="s">
        <v>39</v>
      </c>
      <c r="K1200" t="s">
        <v>33</v>
      </c>
      <c r="L1200">
        <v>42</v>
      </c>
      <c r="M1200">
        <v>13</v>
      </c>
      <c r="N1200" t="s">
        <v>47</v>
      </c>
      <c r="O1200">
        <v>2</v>
      </c>
      <c r="P1200">
        <v>2</v>
      </c>
      <c r="Q1200">
        <v>1</v>
      </c>
      <c r="R1200">
        <v>5538</v>
      </c>
      <c r="S1200">
        <v>10</v>
      </c>
      <c r="T1200">
        <v>2</v>
      </c>
      <c r="U1200">
        <v>0</v>
      </c>
      <c r="V1200">
        <v>0</v>
      </c>
      <c r="W1200">
        <v>0</v>
      </c>
      <c r="X1200">
        <v>0</v>
      </c>
      <c r="Y1200">
        <f>IF(HR_data[[#This Row],[Attrition]]= "Yes",1,0)</f>
        <v>0</v>
      </c>
    </row>
    <row r="1201" spans="1:25">
      <c r="A1201">
        <v>1200</v>
      </c>
      <c r="B1201" t="s">
        <v>33</v>
      </c>
      <c r="C1201" t="s">
        <v>25</v>
      </c>
      <c r="D1201" t="s">
        <v>26</v>
      </c>
      <c r="E1201" t="s">
        <v>36</v>
      </c>
      <c r="F1201" t="s">
        <v>28</v>
      </c>
      <c r="G1201">
        <v>1</v>
      </c>
      <c r="H1201" t="s">
        <v>37</v>
      </c>
      <c r="I1201" t="s">
        <v>42</v>
      </c>
      <c r="J1201" t="s">
        <v>39</v>
      </c>
      <c r="K1201" t="s">
        <v>33</v>
      </c>
      <c r="L1201">
        <v>35</v>
      </c>
      <c r="M1201">
        <v>28</v>
      </c>
      <c r="N1201" t="s">
        <v>47</v>
      </c>
      <c r="O1201">
        <v>2</v>
      </c>
      <c r="P1201">
        <v>2</v>
      </c>
      <c r="Q1201">
        <v>3</v>
      </c>
      <c r="R1201">
        <v>3407</v>
      </c>
      <c r="S1201">
        <v>10</v>
      </c>
      <c r="T1201">
        <v>2</v>
      </c>
      <c r="U1201">
        <v>10</v>
      </c>
      <c r="V1201">
        <v>9</v>
      </c>
      <c r="W1201">
        <v>6</v>
      </c>
      <c r="X1201">
        <v>8</v>
      </c>
      <c r="Y1201">
        <f>IF(HR_data[[#This Row],[Attrition]]= "Yes",1,0)</f>
        <v>0</v>
      </c>
    </row>
    <row r="1202" spans="1:25">
      <c r="A1202">
        <v>1201</v>
      </c>
      <c r="B1202" t="s">
        <v>33</v>
      </c>
      <c r="C1202" t="s">
        <v>25</v>
      </c>
      <c r="D1202" t="s">
        <v>43</v>
      </c>
      <c r="E1202" t="s">
        <v>36</v>
      </c>
      <c r="F1202" t="s">
        <v>28</v>
      </c>
      <c r="G1202">
        <v>1</v>
      </c>
      <c r="H1202" t="s">
        <v>37</v>
      </c>
      <c r="I1202" t="s">
        <v>49</v>
      </c>
      <c r="J1202" t="s">
        <v>39</v>
      </c>
      <c r="K1202" t="s">
        <v>33</v>
      </c>
      <c r="L1202">
        <v>28</v>
      </c>
      <c r="M1202">
        <v>29</v>
      </c>
      <c r="N1202" t="s">
        <v>40</v>
      </c>
      <c r="O1202">
        <v>3</v>
      </c>
      <c r="P1202">
        <v>2</v>
      </c>
      <c r="Q1202">
        <v>2</v>
      </c>
      <c r="R1202">
        <v>6549</v>
      </c>
      <c r="S1202">
        <v>8</v>
      </c>
      <c r="T1202">
        <v>2</v>
      </c>
      <c r="U1202">
        <v>8</v>
      </c>
      <c r="V1202">
        <v>6</v>
      </c>
      <c r="W1202">
        <v>1</v>
      </c>
      <c r="X1202">
        <v>7</v>
      </c>
      <c r="Y1202">
        <f>IF(HR_data[[#This Row],[Attrition]]= "Yes",1,0)</f>
        <v>0</v>
      </c>
    </row>
    <row r="1203" spans="1:25">
      <c r="A1203">
        <v>1202</v>
      </c>
      <c r="B1203" t="s">
        <v>33</v>
      </c>
      <c r="C1203" t="s">
        <v>25</v>
      </c>
      <c r="D1203" t="s">
        <v>43</v>
      </c>
      <c r="E1203" t="s">
        <v>36</v>
      </c>
      <c r="F1203" t="s">
        <v>28</v>
      </c>
      <c r="G1203">
        <v>1</v>
      </c>
      <c r="H1203" t="s">
        <v>37</v>
      </c>
      <c r="I1203" t="s">
        <v>38</v>
      </c>
      <c r="J1203" t="s">
        <v>39</v>
      </c>
      <c r="K1203" t="s">
        <v>33</v>
      </c>
      <c r="L1203">
        <v>29</v>
      </c>
      <c r="M1203">
        <v>9</v>
      </c>
      <c r="N1203" t="s">
        <v>47</v>
      </c>
      <c r="O1203">
        <v>3</v>
      </c>
      <c r="P1203">
        <v>1</v>
      </c>
      <c r="Q1203">
        <v>3</v>
      </c>
      <c r="R1203">
        <v>2451</v>
      </c>
      <c r="S1203">
        <v>5</v>
      </c>
      <c r="T1203">
        <v>2</v>
      </c>
      <c r="U1203">
        <v>1</v>
      </c>
      <c r="V1203">
        <v>0</v>
      </c>
      <c r="W1203">
        <v>0</v>
      </c>
      <c r="X1203">
        <v>0</v>
      </c>
      <c r="Y1203">
        <f>IF(HR_data[[#This Row],[Attrition]]= "Yes",1,0)</f>
        <v>0</v>
      </c>
    </row>
    <row r="1204" spans="1:25">
      <c r="A1204">
        <v>1203</v>
      </c>
      <c r="B1204" t="s">
        <v>33</v>
      </c>
      <c r="C1204" t="s">
        <v>25</v>
      </c>
      <c r="D1204" t="s">
        <v>26</v>
      </c>
      <c r="E1204" t="s">
        <v>36</v>
      </c>
      <c r="F1204" t="s">
        <v>45</v>
      </c>
      <c r="G1204">
        <v>1</v>
      </c>
      <c r="H1204" t="s">
        <v>37</v>
      </c>
      <c r="I1204" t="s">
        <v>49</v>
      </c>
      <c r="J1204" t="s">
        <v>39</v>
      </c>
      <c r="K1204" t="s">
        <v>33</v>
      </c>
      <c r="L1204">
        <v>39</v>
      </c>
      <c r="M1204">
        <v>10</v>
      </c>
      <c r="N1204" t="s">
        <v>58</v>
      </c>
      <c r="O1204">
        <v>2</v>
      </c>
      <c r="P1204">
        <v>2</v>
      </c>
      <c r="Q1204">
        <v>1</v>
      </c>
      <c r="R1204">
        <v>5377</v>
      </c>
      <c r="S1204">
        <v>10</v>
      </c>
      <c r="T1204">
        <v>3</v>
      </c>
      <c r="U1204">
        <v>7</v>
      </c>
      <c r="V1204">
        <v>7</v>
      </c>
      <c r="W1204">
        <v>7</v>
      </c>
      <c r="X1204">
        <v>7</v>
      </c>
      <c r="Y1204">
        <f>IF(HR_data[[#This Row],[Attrition]]= "Yes",1,0)</f>
        <v>0</v>
      </c>
    </row>
    <row r="1205" spans="1:25">
      <c r="A1205">
        <v>1204</v>
      </c>
      <c r="B1205" t="s">
        <v>33</v>
      </c>
      <c r="C1205" t="s">
        <v>25</v>
      </c>
      <c r="D1205" t="s">
        <v>43</v>
      </c>
      <c r="E1205" t="s">
        <v>36</v>
      </c>
      <c r="F1205" t="s">
        <v>45</v>
      </c>
      <c r="G1205">
        <v>1</v>
      </c>
      <c r="H1205" t="s">
        <v>37</v>
      </c>
      <c r="I1205" t="s">
        <v>42</v>
      </c>
      <c r="J1205" t="s">
        <v>39</v>
      </c>
      <c r="K1205" t="s">
        <v>33</v>
      </c>
      <c r="L1205">
        <v>33</v>
      </c>
      <c r="M1205">
        <v>21</v>
      </c>
      <c r="N1205" t="s">
        <v>47</v>
      </c>
      <c r="O1205">
        <v>2</v>
      </c>
      <c r="P1205">
        <v>1</v>
      </c>
      <c r="Q1205">
        <v>2</v>
      </c>
      <c r="R1205">
        <v>2028</v>
      </c>
      <c r="S1205">
        <v>14</v>
      </c>
      <c r="T1205">
        <v>3</v>
      </c>
      <c r="U1205">
        <v>14</v>
      </c>
      <c r="V1205">
        <v>11</v>
      </c>
      <c r="W1205">
        <v>2</v>
      </c>
      <c r="X1205">
        <v>13</v>
      </c>
      <c r="Y1205">
        <f>IF(HR_data[[#This Row],[Attrition]]= "Yes",1,0)</f>
        <v>0</v>
      </c>
    </row>
    <row r="1206" spans="1:25">
      <c r="A1206">
        <v>1205</v>
      </c>
      <c r="B1206" t="s">
        <v>33</v>
      </c>
      <c r="C1206" t="s">
        <v>25</v>
      </c>
      <c r="D1206" t="s">
        <v>46</v>
      </c>
      <c r="E1206" t="s">
        <v>36</v>
      </c>
      <c r="F1206" t="s">
        <v>45</v>
      </c>
      <c r="G1206">
        <v>1</v>
      </c>
      <c r="H1206" t="s">
        <v>37</v>
      </c>
      <c r="I1206" t="s">
        <v>55</v>
      </c>
      <c r="J1206" t="s">
        <v>39</v>
      </c>
      <c r="K1206" t="s">
        <v>33</v>
      </c>
      <c r="L1206">
        <v>55</v>
      </c>
      <c r="M1206">
        <v>2</v>
      </c>
      <c r="N1206" t="s">
        <v>47</v>
      </c>
      <c r="O1206">
        <v>3</v>
      </c>
      <c r="P1206">
        <v>5</v>
      </c>
      <c r="Q1206">
        <v>1</v>
      </c>
      <c r="R1206">
        <v>19038</v>
      </c>
      <c r="S1206">
        <v>34</v>
      </c>
      <c r="T1206">
        <v>3</v>
      </c>
      <c r="U1206">
        <v>1</v>
      </c>
      <c r="V1206">
        <v>0</v>
      </c>
      <c r="W1206">
        <v>0</v>
      </c>
      <c r="X1206">
        <v>0</v>
      </c>
      <c r="Y1206">
        <f>IF(HR_data[[#This Row],[Attrition]]= "Yes",1,0)</f>
        <v>0</v>
      </c>
    </row>
    <row r="1207" spans="1:25">
      <c r="A1207">
        <v>1206</v>
      </c>
      <c r="B1207" t="s">
        <v>33</v>
      </c>
      <c r="C1207" t="s">
        <v>25</v>
      </c>
      <c r="D1207" t="s">
        <v>26</v>
      </c>
      <c r="E1207" t="s">
        <v>36</v>
      </c>
      <c r="F1207" t="s">
        <v>28</v>
      </c>
      <c r="G1207">
        <v>1</v>
      </c>
      <c r="H1207" t="s">
        <v>37</v>
      </c>
      <c r="I1207" t="s">
        <v>49</v>
      </c>
      <c r="J1207" t="s">
        <v>39</v>
      </c>
      <c r="K1207" t="s">
        <v>33</v>
      </c>
      <c r="L1207">
        <v>37</v>
      </c>
      <c r="M1207">
        <v>19</v>
      </c>
      <c r="N1207" t="s">
        <v>47</v>
      </c>
      <c r="O1207">
        <v>3</v>
      </c>
      <c r="P1207">
        <v>2</v>
      </c>
      <c r="Q1207">
        <v>3</v>
      </c>
      <c r="R1207">
        <v>5768</v>
      </c>
      <c r="S1207">
        <v>9</v>
      </c>
      <c r="T1207">
        <v>2</v>
      </c>
      <c r="U1207">
        <v>4</v>
      </c>
      <c r="V1207">
        <v>3</v>
      </c>
      <c r="W1207">
        <v>0</v>
      </c>
      <c r="X1207">
        <v>2</v>
      </c>
      <c r="Y1207">
        <f>IF(HR_data[[#This Row],[Attrition]]= "Yes",1,0)</f>
        <v>0</v>
      </c>
    </row>
    <row r="1208" spans="1:25">
      <c r="A1208">
        <v>1207</v>
      </c>
      <c r="B1208" t="s">
        <v>33</v>
      </c>
      <c r="C1208" t="s">
        <v>25</v>
      </c>
      <c r="D1208" t="s">
        <v>43</v>
      </c>
      <c r="E1208" t="s">
        <v>36</v>
      </c>
      <c r="F1208" t="s">
        <v>45</v>
      </c>
      <c r="G1208">
        <v>1</v>
      </c>
      <c r="H1208" t="s">
        <v>37</v>
      </c>
      <c r="I1208" t="s">
        <v>42</v>
      </c>
      <c r="J1208" t="s">
        <v>39</v>
      </c>
      <c r="K1208" t="s">
        <v>33</v>
      </c>
      <c r="L1208">
        <v>26</v>
      </c>
      <c r="M1208">
        <v>17</v>
      </c>
      <c r="N1208" t="s">
        <v>44</v>
      </c>
      <c r="O1208">
        <v>4</v>
      </c>
      <c r="P1208">
        <v>1</v>
      </c>
      <c r="Q1208">
        <v>3</v>
      </c>
      <c r="R1208">
        <v>2305</v>
      </c>
      <c r="S1208">
        <v>3</v>
      </c>
      <c r="T1208">
        <v>4</v>
      </c>
      <c r="U1208">
        <v>3</v>
      </c>
      <c r="V1208">
        <v>2</v>
      </c>
      <c r="W1208">
        <v>0</v>
      </c>
      <c r="X1208">
        <v>2</v>
      </c>
      <c r="Y1208">
        <f>IF(HR_data[[#This Row],[Attrition]]= "Yes",1,0)</f>
        <v>0</v>
      </c>
    </row>
    <row r="1209" spans="1:25">
      <c r="A1209">
        <v>1208</v>
      </c>
      <c r="B1209" t="s">
        <v>33</v>
      </c>
      <c r="C1209" t="s">
        <v>25</v>
      </c>
      <c r="D1209" t="s">
        <v>26</v>
      </c>
      <c r="E1209" t="s">
        <v>36</v>
      </c>
      <c r="F1209" t="s">
        <v>28</v>
      </c>
      <c r="G1209">
        <v>1</v>
      </c>
      <c r="H1209" t="s">
        <v>37</v>
      </c>
      <c r="I1209" t="s">
        <v>42</v>
      </c>
      <c r="J1209" t="s">
        <v>31</v>
      </c>
      <c r="K1209" t="s">
        <v>33</v>
      </c>
      <c r="L1209">
        <v>36</v>
      </c>
      <c r="M1209">
        <v>4</v>
      </c>
      <c r="N1209" t="s">
        <v>44</v>
      </c>
      <c r="O1209">
        <v>1</v>
      </c>
      <c r="P1209">
        <v>2</v>
      </c>
      <c r="Q1209">
        <v>4</v>
      </c>
      <c r="R1209">
        <v>5810</v>
      </c>
      <c r="S1209">
        <v>10</v>
      </c>
      <c r="T1209">
        <v>2</v>
      </c>
      <c r="U1209">
        <v>10</v>
      </c>
      <c r="V1209">
        <v>4</v>
      </c>
      <c r="W1209">
        <v>1</v>
      </c>
      <c r="X1209">
        <v>8</v>
      </c>
      <c r="Y1209">
        <f>IF(HR_data[[#This Row],[Attrition]]= "Yes",1,0)</f>
        <v>0</v>
      </c>
    </row>
    <row r="1210" spans="1:25">
      <c r="A1210">
        <v>1209</v>
      </c>
      <c r="B1210" t="s">
        <v>33</v>
      </c>
      <c r="C1210" t="s">
        <v>25</v>
      </c>
      <c r="D1210" t="s">
        <v>26</v>
      </c>
      <c r="E1210" t="s">
        <v>36</v>
      </c>
      <c r="F1210" t="s">
        <v>28</v>
      </c>
      <c r="G1210">
        <v>1</v>
      </c>
      <c r="H1210" t="s">
        <v>37</v>
      </c>
      <c r="I1210" t="s">
        <v>42</v>
      </c>
      <c r="J1210" t="s">
        <v>31</v>
      </c>
      <c r="K1210" t="s">
        <v>33</v>
      </c>
      <c r="L1210">
        <v>36</v>
      </c>
      <c r="M1210">
        <v>7</v>
      </c>
      <c r="N1210" t="s">
        <v>47</v>
      </c>
      <c r="O1210">
        <v>1</v>
      </c>
      <c r="P1210">
        <v>1</v>
      </c>
      <c r="Q1210">
        <v>2</v>
      </c>
      <c r="R1210">
        <v>2013</v>
      </c>
      <c r="S1210">
        <v>15</v>
      </c>
      <c r="T1210">
        <v>3</v>
      </c>
      <c r="U1210">
        <v>4</v>
      </c>
      <c r="V1210">
        <v>3</v>
      </c>
      <c r="W1210">
        <v>1</v>
      </c>
      <c r="X1210">
        <v>3</v>
      </c>
      <c r="Y1210">
        <f>IF(HR_data[[#This Row],[Attrition]]= "Yes",1,0)</f>
        <v>0</v>
      </c>
    </row>
    <row r="1211" spans="1:25">
      <c r="A1211">
        <v>1210</v>
      </c>
      <c r="B1211" t="s">
        <v>33</v>
      </c>
      <c r="C1211" t="s">
        <v>25</v>
      </c>
      <c r="D1211" t="s">
        <v>52</v>
      </c>
      <c r="E1211" t="s">
        <v>36</v>
      </c>
      <c r="F1211" t="s">
        <v>28</v>
      </c>
      <c r="G1211">
        <v>1</v>
      </c>
      <c r="H1211" t="s">
        <v>37</v>
      </c>
      <c r="I1211" t="s">
        <v>42</v>
      </c>
      <c r="J1211" t="s">
        <v>31</v>
      </c>
      <c r="K1211" t="s">
        <v>33</v>
      </c>
      <c r="L1211">
        <v>23</v>
      </c>
      <c r="M1211">
        <v>20</v>
      </c>
      <c r="N1211" t="s">
        <v>40</v>
      </c>
      <c r="O1211">
        <v>1</v>
      </c>
      <c r="P1211">
        <v>2</v>
      </c>
      <c r="Q1211">
        <v>3</v>
      </c>
      <c r="R1211">
        <v>2272</v>
      </c>
      <c r="S1211">
        <v>5</v>
      </c>
      <c r="T1211">
        <v>3</v>
      </c>
      <c r="U1211">
        <v>4</v>
      </c>
      <c r="V1211">
        <v>3</v>
      </c>
      <c r="W1211">
        <v>1</v>
      </c>
      <c r="X1211">
        <v>2</v>
      </c>
      <c r="Y1211">
        <f>IF(HR_data[[#This Row],[Attrition]]= "Yes",1,0)</f>
        <v>0</v>
      </c>
    </row>
    <row r="1212" spans="1:25">
      <c r="A1212">
        <v>1211</v>
      </c>
      <c r="B1212" t="s">
        <v>33</v>
      </c>
      <c r="C1212" t="s">
        <v>25</v>
      </c>
      <c r="D1212" t="s">
        <v>43</v>
      </c>
      <c r="E1212" t="s">
        <v>36</v>
      </c>
      <c r="F1212" t="s">
        <v>45</v>
      </c>
      <c r="G1212">
        <v>1</v>
      </c>
      <c r="H1212" t="s">
        <v>37</v>
      </c>
      <c r="I1212" t="s">
        <v>38</v>
      </c>
      <c r="J1212" t="s">
        <v>31</v>
      </c>
      <c r="K1212" t="s">
        <v>33</v>
      </c>
      <c r="L1212">
        <v>34</v>
      </c>
      <c r="M1212">
        <v>7</v>
      </c>
      <c r="N1212" t="s">
        <v>44</v>
      </c>
      <c r="O1212">
        <v>1</v>
      </c>
      <c r="P1212">
        <v>1</v>
      </c>
      <c r="Q1212">
        <v>4</v>
      </c>
      <c r="R1212">
        <v>2972</v>
      </c>
      <c r="S1212">
        <v>1</v>
      </c>
      <c r="T1212">
        <v>1</v>
      </c>
      <c r="U1212">
        <v>1</v>
      </c>
      <c r="V1212">
        <v>0</v>
      </c>
      <c r="W1212">
        <v>0</v>
      </c>
      <c r="X1212">
        <v>0</v>
      </c>
      <c r="Y1212">
        <f>IF(HR_data[[#This Row],[Attrition]]= "Yes",1,0)</f>
        <v>0</v>
      </c>
    </row>
    <row r="1213" spans="1:25">
      <c r="A1213">
        <v>1212</v>
      </c>
      <c r="B1213" t="s">
        <v>33</v>
      </c>
      <c r="C1213" t="s">
        <v>25</v>
      </c>
      <c r="D1213" t="s">
        <v>26</v>
      </c>
      <c r="E1213" t="s">
        <v>36</v>
      </c>
      <c r="F1213" t="s">
        <v>28</v>
      </c>
      <c r="G1213">
        <v>1</v>
      </c>
      <c r="H1213" t="s">
        <v>37</v>
      </c>
      <c r="I1213" t="s">
        <v>38</v>
      </c>
      <c r="J1213" t="s">
        <v>31</v>
      </c>
      <c r="K1213" t="s">
        <v>33</v>
      </c>
      <c r="L1213">
        <v>39</v>
      </c>
      <c r="M1213">
        <v>24</v>
      </c>
      <c r="N1213" t="s">
        <v>40</v>
      </c>
      <c r="O1213">
        <v>1</v>
      </c>
      <c r="P1213">
        <v>2</v>
      </c>
      <c r="Q1213">
        <v>4</v>
      </c>
      <c r="R1213">
        <v>4108</v>
      </c>
      <c r="S1213">
        <v>18</v>
      </c>
      <c r="T1213">
        <v>3</v>
      </c>
      <c r="U1213">
        <v>7</v>
      </c>
      <c r="V1213">
        <v>7</v>
      </c>
      <c r="W1213">
        <v>1</v>
      </c>
      <c r="X1213">
        <v>7</v>
      </c>
      <c r="Y1213">
        <f>IF(HR_data[[#This Row],[Attrition]]= "Yes",1,0)</f>
        <v>0</v>
      </c>
    </row>
    <row r="1214" spans="1:25">
      <c r="A1214">
        <v>1213</v>
      </c>
      <c r="B1214" t="s">
        <v>33</v>
      </c>
      <c r="C1214" t="s">
        <v>25</v>
      </c>
      <c r="D1214" t="s">
        <v>52</v>
      </c>
      <c r="E1214" t="s">
        <v>36</v>
      </c>
      <c r="F1214" t="s">
        <v>28</v>
      </c>
      <c r="G1214">
        <v>1</v>
      </c>
      <c r="H1214" t="s">
        <v>37</v>
      </c>
      <c r="I1214" t="s">
        <v>50</v>
      </c>
      <c r="J1214" t="s">
        <v>31</v>
      </c>
      <c r="K1214" t="s">
        <v>33</v>
      </c>
      <c r="L1214">
        <v>24</v>
      </c>
      <c r="M1214">
        <v>1</v>
      </c>
      <c r="N1214" t="s">
        <v>32</v>
      </c>
      <c r="O1214">
        <v>2</v>
      </c>
      <c r="P1214">
        <v>2</v>
      </c>
      <c r="Q1214">
        <v>3</v>
      </c>
      <c r="R1214">
        <v>4617</v>
      </c>
      <c r="S1214">
        <v>4</v>
      </c>
      <c r="T1214">
        <v>2</v>
      </c>
      <c r="U1214">
        <v>4</v>
      </c>
      <c r="V1214">
        <v>3</v>
      </c>
      <c r="W1214">
        <v>1</v>
      </c>
      <c r="X1214">
        <v>2</v>
      </c>
      <c r="Y1214">
        <f>IF(HR_data[[#This Row],[Attrition]]= "Yes",1,0)</f>
        <v>0</v>
      </c>
    </row>
    <row r="1215" spans="1:25">
      <c r="A1215">
        <v>1214</v>
      </c>
      <c r="B1215" t="s">
        <v>33</v>
      </c>
      <c r="C1215" t="s">
        <v>25</v>
      </c>
      <c r="D1215" t="s">
        <v>26</v>
      </c>
      <c r="E1215" t="s">
        <v>36</v>
      </c>
      <c r="F1215" t="s">
        <v>45</v>
      </c>
      <c r="G1215">
        <v>1</v>
      </c>
      <c r="H1215" t="s">
        <v>37</v>
      </c>
      <c r="I1215" t="s">
        <v>38</v>
      </c>
      <c r="J1215" t="s">
        <v>31</v>
      </c>
      <c r="K1215" t="s">
        <v>33</v>
      </c>
      <c r="L1215">
        <v>35</v>
      </c>
      <c r="M1215">
        <v>9</v>
      </c>
      <c r="N1215" t="s">
        <v>44</v>
      </c>
      <c r="O1215">
        <v>2</v>
      </c>
      <c r="P1215">
        <v>2</v>
      </c>
      <c r="Q1215">
        <v>3</v>
      </c>
      <c r="R1215">
        <v>5098</v>
      </c>
      <c r="S1215">
        <v>10</v>
      </c>
      <c r="T1215">
        <v>3</v>
      </c>
      <c r="U1215">
        <v>10</v>
      </c>
      <c r="V1215">
        <v>7</v>
      </c>
      <c r="W1215">
        <v>0</v>
      </c>
      <c r="X1215">
        <v>8</v>
      </c>
      <c r="Y1215">
        <f>IF(HR_data[[#This Row],[Attrition]]= "Yes",1,0)</f>
        <v>0</v>
      </c>
    </row>
    <row r="1216" spans="1:25">
      <c r="A1216">
        <v>1215</v>
      </c>
      <c r="B1216" t="s">
        <v>33</v>
      </c>
      <c r="C1216" t="s">
        <v>25</v>
      </c>
      <c r="D1216" t="s">
        <v>26</v>
      </c>
      <c r="E1216" t="s">
        <v>36</v>
      </c>
      <c r="F1216" t="s">
        <v>28</v>
      </c>
      <c r="G1216">
        <v>1</v>
      </c>
      <c r="H1216" t="s">
        <v>37</v>
      </c>
      <c r="I1216" t="s">
        <v>50</v>
      </c>
      <c r="J1216" t="s">
        <v>31</v>
      </c>
      <c r="K1216" t="s">
        <v>33</v>
      </c>
      <c r="L1216">
        <v>41</v>
      </c>
      <c r="M1216">
        <v>5</v>
      </c>
      <c r="N1216" t="s">
        <v>47</v>
      </c>
      <c r="O1216">
        <v>2</v>
      </c>
      <c r="P1216">
        <v>2</v>
      </c>
      <c r="Q1216">
        <v>2</v>
      </c>
      <c r="R1216">
        <v>6870</v>
      </c>
      <c r="S1216">
        <v>11</v>
      </c>
      <c r="T1216">
        <v>1</v>
      </c>
      <c r="U1216">
        <v>3</v>
      </c>
      <c r="V1216">
        <v>2</v>
      </c>
      <c r="W1216">
        <v>1</v>
      </c>
      <c r="X1216">
        <v>2</v>
      </c>
      <c r="Y1216">
        <f>IF(HR_data[[#This Row],[Attrition]]= "Yes",1,0)</f>
        <v>0</v>
      </c>
    </row>
    <row r="1217" spans="1:25">
      <c r="A1217">
        <v>1216</v>
      </c>
      <c r="B1217" t="s">
        <v>33</v>
      </c>
      <c r="C1217" t="s">
        <v>25</v>
      </c>
      <c r="D1217" t="s">
        <v>26</v>
      </c>
      <c r="E1217" t="s">
        <v>36</v>
      </c>
      <c r="F1217" t="s">
        <v>28</v>
      </c>
      <c r="G1217">
        <v>1</v>
      </c>
      <c r="H1217" t="s">
        <v>37</v>
      </c>
      <c r="I1217" t="s">
        <v>38</v>
      </c>
      <c r="J1217" t="s">
        <v>31</v>
      </c>
      <c r="K1217" t="s">
        <v>33</v>
      </c>
      <c r="L1217">
        <v>40</v>
      </c>
      <c r="M1217">
        <v>2</v>
      </c>
      <c r="N1217" t="s">
        <v>44</v>
      </c>
      <c r="O1217">
        <v>3</v>
      </c>
      <c r="P1217">
        <v>1</v>
      </c>
      <c r="Q1217">
        <v>3</v>
      </c>
      <c r="R1217">
        <v>2809</v>
      </c>
      <c r="S1217">
        <v>8</v>
      </c>
      <c r="T1217">
        <v>3</v>
      </c>
      <c r="U1217">
        <v>2</v>
      </c>
      <c r="V1217">
        <v>2</v>
      </c>
      <c r="W1217">
        <v>2</v>
      </c>
      <c r="X1217">
        <v>2</v>
      </c>
      <c r="Y1217">
        <f>IF(HR_data[[#This Row],[Attrition]]= "Yes",1,0)</f>
        <v>0</v>
      </c>
    </row>
    <row r="1218" spans="1:25">
      <c r="A1218">
        <v>1217</v>
      </c>
      <c r="B1218" t="s">
        <v>33</v>
      </c>
      <c r="C1218" t="s">
        <v>25</v>
      </c>
      <c r="D1218" t="s">
        <v>43</v>
      </c>
      <c r="E1218" t="s">
        <v>36</v>
      </c>
      <c r="F1218" t="s">
        <v>45</v>
      </c>
      <c r="G1218">
        <v>1</v>
      </c>
      <c r="H1218" t="s">
        <v>37</v>
      </c>
      <c r="I1218" t="s">
        <v>42</v>
      </c>
      <c r="J1218" t="s">
        <v>31</v>
      </c>
      <c r="K1218" t="s">
        <v>33</v>
      </c>
      <c r="L1218">
        <v>26</v>
      </c>
      <c r="M1218">
        <v>1</v>
      </c>
      <c r="N1218" t="s">
        <v>47</v>
      </c>
      <c r="O1218">
        <v>3</v>
      </c>
      <c r="P1218">
        <v>1</v>
      </c>
      <c r="Q1218">
        <v>1</v>
      </c>
      <c r="R1218">
        <v>2867</v>
      </c>
      <c r="S1218">
        <v>8</v>
      </c>
      <c r="T1218">
        <v>2</v>
      </c>
      <c r="U1218">
        <v>7</v>
      </c>
      <c r="V1218">
        <v>7</v>
      </c>
      <c r="W1218">
        <v>7</v>
      </c>
      <c r="X1218">
        <v>6</v>
      </c>
      <c r="Y1218">
        <f>IF(HR_data[[#This Row],[Attrition]]= "Yes",1,0)</f>
        <v>0</v>
      </c>
    </row>
    <row r="1219" spans="1:25">
      <c r="A1219">
        <v>1218</v>
      </c>
      <c r="B1219" t="s">
        <v>33</v>
      </c>
      <c r="C1219" t="s">
        <v>25</v>
      </c>
      <c r="D1219" t="s">
        <v>35</v>
      </c>
      <c r="E1219" t="s">
        <v>36</v>
      </c>
      <c r="F1219" t="s">
        <v>28</v>
      </c>
      <c r="G1219">
        <v>1</v>
      </c>
      <c r="H1219" t="s">
        <v>37</v>
      </c>
      <c r="I1219" t="s">
        <v>50</v>
      </c>
      <c r="J1219" t="s">
        <v>31</v>
      </c>
      <c r="K1219" t="s">
        <v>33</v>
      </c>
      <c r="L1219">
        <v>46</v>
      </c>
      <c r="M1219">
        <v>13</v>
      </c>
      <c r="N1219" t="s">
        <v>44</v>
      </c>
      <c r="O1219">
        <v>3</v>
      </c>
      <c r="P1219">
        <v>2</v>
      </c>
      <c r="Q1219">
        <v>2</v>
      </c>
      <c r="R1219">
        <v>5562</v>
      </c>
      <c r="S1219">
        <v>19</v>
      </c>
      <c r="T1219">
        <v>3</v>
      </c>
      <c r="U1219">
        <v>10</v>
      </c>
      <c r="V1219">
        <v>7</v>
      </c>
      <c r="W1219">
        <v>0</v>
      </c>
      <c r="X1219">
        <v>9</v>
      </c>
      <c r="Y1219">
        <f>IF(HR_data[[#This Row],[Attrition]]= "Yes",1,0)</f>
        <v>0</v>
      </c>
    </row>
    <row r="1220" spans="1:25">
      <c r="A1220">
        <v>1219</v>
      </c>
      <c r="B1220" t="s">
        <v>33</v>
      </c>
      <c r="C1220" t="s">
        <v>25</v>
      </c>
      <c r="D1220" t="s">
        <v>35</v>
      </c>
      <c r="E1220" t="s">
        <v>36</v>
      </c>
      <c r="F1220" t="s">
        <v>28</v>
      </c>
      <c r="G1220">
        <v>1</v>
      </c>
      <c r="H1220" t="s">
        <v>37</v>
      </c>
      <c r="I1220" t="s">
        <v>53</v>
      </c>
      <c r="J1220" t="s">
        <v>31</v>
      </c>
      <c r="K1220" t="s">
        <v>33</v>
      </c>
      <c r="L1220">
        <v>49</v>
      </c>
      <c r="M1220">
        <v>1</v>
      </c>
      <c r="N1220" t="s">
        <v>47</v>
      </c>
      <c r="O1220">
        <v>3</v>
      </c>
      <c r="P1220">
        <v>4</v>
      </c>
      <c r="Q1220">
        <v>3</v>
      </c>
      <c r="R1220">
        <v>15379</v>
      </c>
      <c r="S1220">
        <v>23</v>
      </c>
      <c r="T1220">
        <v>3</v>
      </c>
      <c r="U1220">
        <v>8</v>
      </c>
      <c r="V1220">
        <v>7</v>
      </c>
      <c r="W1220">
        <v>0</v>
      </c>
      <c r="X1220">
        <v>0</v>
      </c>
      <c r="Y1220">
        <f>IF(HR_data[[#This Row],[Attrition]]= "Yes",1,0)</f>
        <v>0</v>
      </c>
    </row>
    <row r="1221" spans="1:25">
      <c r="A1221">
        <v>1220</v>
      </c>
      <c r="B1221" t="s">
        <v>33</v>
      </c>
      <c r="C1221" t="s">
        <v>25</v>
      </c>
      <c r="D1221" t="s">
        <v>52</v>
      </c>
      <c r="E1221" t="s">
        <v>36</v>
      </c>
      <c r="F1221" t="s">
        <v>45</v>
      </c>
      <c r="G1221">
        <v>1</v>
      </c>
      <c r="H1221" t="s">
        <v>37</v>
      </c>
      <c r="I1221" t="s">
        <v>38</v>
      </c>
      <c r="J1221" t="s">
        <v>31</v>
      </c>
      <c r="K1221" t="s">
        <v>33</v>
      </c>
      <c r="L1221">
        <v>21</v>
      </c>
      <c r="M1221">
        <v>5</v>
      </c>
      <c r="N1221" t="s">
        <v>40</v>
      </c>
      <c r="O1221">
        <v>3</v>
      </c>
      <c r="P1221">
        <v>1</v>
      </c>
      <c r="Q1221">
        <v>4</v>
      </c>
      <c r="R1221">
        <v>3117</v>
      </c>
      <c r="S1221">
        <v>3</v>
      </c>
      <c r="T1221">
        <v>3</v>
      </c>
      <c r="U1221">
        <v>2</v>
      </c>
      <c r="V1221">
        <v>2</v>
      </c>
      <c r="W1221">
        <v>2</v>
      </c>
      <c r="X1221">
        <v>2</v>
      </c>
      <c r="Y1221">
        <f>IF(HR_data[[#This Row],[Attrition]]= "Yes",1,0)</f>
        <v>0</v>
      </c>
    </row>
    <row r="1222" spans="1:25">
      <c r="A1222">
        <v>1221</v>
      </c>
      <c r="B1222" t="s">
        <v>33</v>
      </c>
      <c r="C1222" t="s">
        <v>25</v>
      </c>
      <c r="D1222" t="s">
        <v>43</v>
      </c>
      <c r="E1222" t="s">
        <v>36</v>
      </c>
      <c r="F1222" t="s">
        <v>41</v>
      </c>
      <c r="G1222">
        <v>1</v>
      </c>
      <c r="H1222" t="s">
        <v>37</v>
      </c>
      <c r="I1222" t="s">
        <v>42</v>
      </c>
      <c r="J1222" t="s">
        <v>31</v>
      </c>
      <c r="K1222" t="s">
        <v>33</v>
      </c>
      <c r="L1222">
        <v>26</v>
      </c>
      <c r="M1222">
        <v>7</v>
      </c>
      <c r="N1222" t="s">
        <v>47</v>
      </c>
      <c r="O1222">
        <v>3</v>
      </c>
      <c r="P1222">
        <v>1</v>
      </c>
      <c r="Q1222">
        <v>1</v>
      </c>
      <c r="R1222">
        <v>3578</v>
      </c>
      <c r="S1222">
        <v>8</v>
      </c>
      <c r="T1222">
        <v>3</v>
      </c>
      <c r="U1222">
        <v>7</v>
      </c>
      <c r="V1222">
        <v>7</v>
      </c>
      <c r="W1222">
        <v>0</v>
      </c>
      <c r="X1222">
        <v>7</v>
      </c>
      <c r="Y1222">
        <f>IF(HR_data[[#This Row],[Attrition]]= "Yes",1,0)</f>
        <v>0</v>
      </c>
    </row>
    <row r="1223" spans="1:25">
      <c r="A1223">
        <v>1222</v>
      </c>
      <c r="B1223" t="s">
        <v>33</v>
      </c>
      <c r="C1223" t="s">
        <v>25</v>
      </c>
      <c r="D1223" t="s">
        <v>26</v>
      </c>
      <c r="E1223" t="s">
        <v>36</v>
      </c>
      <c r="F1223" t="s">
        <v>45</v>
      </c>
      <c r="G1223">
        <v>1</v>
      </c>
      <c r="H1223" t="s">
        <v>37</v>
      </c>
      <c r="I1223" t="s">
        <v>42</v>
      </c>
      <c r="J1223" t="s">
        <v>31</v>
      </c>
      <c r="K1223" t="s">
        <v>33</v>
      </c>
      <c r="L1223">
        <v>35</v>
      </c>
      <c r="M1223">
        <v>1</v>
      </c>
      <c r="N1223" t="s">
        <v>47</v>
      </c>
      <c r="O1223">
        <v>4</v>
      </c>
      <c r="P1223">
        <v>1</v>
      </c>
      <c r="Q1223">
        <v>1</v>
      </c>
      <c r="R1223">
        <v>2450</v>
      </c>
      <c r="S1223">
        <v>3</v>
      </c>
      <c r="T1223">
        <v>3</v>
      </c>
      <c r="U1223">
        <v>3</v>
      </c>
      <c r="V1223">
        <v>0</v>
      </c>
      <c r="W1223">
        <v>1</v>
      </c>
      <c r="X1223">
        <v>2</v>
      </c>
      <c r="Y1223">
        <f>IF(HR_data[[#This Row],[Attrition]]= "Yes",1,0)</f>
        <v>0</v>
      </c>
    </row>
    <row r="1224" spans="1:25">
      <c r="A1224">
        <v>1223</v>
      </c>
      <c r="B1224" t="s">
        <v>33</v>
      </c>
      <c r="C1224" t="s">
        <v>25</v>
      </c>
      <c r="D1224" t="s">
        <v>43</v>
      </c>
      <c r="E1224" t="s">
        <v>36</v>
      </c>
      <c r="F1224" t="s">
        <v>28</v>
      </c>
      <c r="G1224">
        <v>1</v>
      </c>
      <c r="H1224" t="s">
        <v>37</v>
      </c>
      <c r="I1224" t="s">
        <v>49</v>
      </c>
      <c r="J1224" t="s">
        <v>31</v>
      </c>
      <c r="K1224" t="s">
        <v>33</v>
      </c>
      <c r="L1224">
        <v>33</v>
      </c>
      <c r="M1224">
        <v>25</v>
      </c>
      <c r="N1224" t="s">
        <v>47</v>
      </c>
      <c r="O1224">
        <v>4</v>
      </c>
      <c r="P1224">
        <v>2</v>
      </c>
      <c r="Q1224">
        <v>2</v>
      </c>
      <c r="R1224">
        <v>4320</v>
      </c>
      <c r="S1224">
        <v>5</v>
      </c>
      <c r="T1224">
        <v>3</v>
      </c>
      <c r="U1224">
        <v>5</v>
      </c>
      <c r="V1224">
        <v>3</v>
      </c>
      <c r="W1224">
        <v>0</v>
      </c>
      <c r="X1224">
        <v>2</v>
      </c>
      <c r="Y1224">
        <f>IF(HR_data[[#This Row],[Attrition]]= "Yes",1,0)</f>
        <v>0</v>
      </c>
    </row>
    <row r="1225" spans="1:25">
      <c r="A1225">
        <v>1224</v>
      </c>
      <c r="B1225" t="s">
        <v>33</v>
      </c>
      <c r="C1225" t="s">
        <v>25</v>
      </c>
      <c r="D1225" t="s">
        <v>43</v>
      </c>
      <c r="E1225" t="s">
        <v>36</v>
      </c>
      <c r="F1225" t="s">
        <v>28</v>
      </c>
      <c r="G1225">
        <v>1</v>
      </c>
      <c r="H1225" t="s">
        <v>37</v>
      </c>
      <c r="I1225" t="s">
        <v>42</v>
      </c>
      <c r="J1225" t="s">
        <v>31</v>
      </c>
      <c r="K1225" t="s">
        <v>33</v>
      </c>
      <c r="L1225">
        <v>29</v>
      </c>
      <c r="M1225">
        <v>7</v>
      </c>
      <c r="N1225" t="s">
        <v>47</v>
      </c>
      <c r="O1225">
        <v>4</v>
      </c>
      <c r="P1225">
        <v>1</v>
      </c>
      <c r="Q1225">
        <v>1</v>
      </c>
      <c r="R1225">
        <v>2062</v>
      </c>
      <c r="S1225">
        <v>11</v>
      </c>
      <c r="T1225">
        <v>3</v>
      </c>
      <c r="U1225">
        <v>3</v>
      </c>
      <c r="V1225">
        <v>2</v>
      </c>
      <c r="W1225">
        <v>1</v>
      </c>
      <c r="X1225">
        <v>2</v>
      </c>
      <c r="Y1225">
        <f>IF(HR_data[[#This Row],[Attrition]]= "Yes",1,0)</f>
        <v>0</v>
      </c>
    </row>
    <row r="1226" spans="1:25">
      <c r="A1226">
        <v>1225</v>
      </c>
      <c r="B1226" t="s">
        <v>33</v>
      </c>
      <c r="C1226" t="s">
        <v>25</v>
      </c>
      <c r="D1226" t="s">
        <v>43</v>
      </c>
      <c r="E1226" t="s">
        <v>36</v>
      </c>
      <c r="F1226" t="s">
        <v>57</v>
      </c>
      <c r="G1226">
        <v>1</v>
      </c>
      <c r="H1226" t="s">
        <v>37</v>
      </c>
      <c r="I1226" t="s">
        <v>38</v>
      </c>
      <c r="J1226" t="s">
        <v>31</v>
      </c>
      <c r="K1226" t="s">
        <v>33</v>
      </c>
      <c r="L1226">
        <v>32</v>
      </c>
      <c r="M1226">
        <v>2</v>
      </c>
      <c r="N1226" t="s">
        <v>47</v>
      </c>
      <c r="O1226">
        <v>4</v>
      </c>
      <c r="P1226">
        <v>1</v>
      </c>
      <c r="Q1226">
        <v>1</v>
      </c>
      <c r="R1226">
        <v>2439</v>
      </c>
      <c r="S1226">
        <v>4</v>
      </c>
      <c r="T1226">
        <v>3</v>
      </c>
      <c r="U1226">
        <v>4</v>
      </c>
      <c r="V1226">
        <v>2</v>
      </c>
      <c r="W1226">
        <v>1</v>
      </c>
      <c r="X1226">
        <v>2</v>
      </c>
      <c r="Y1226">
        <f>IF(HR_data[[#This Row],[Attrition]]= "Yes",1,0)</f>
        <v>0</v>
      </c>
    </row>
    <row r="1227" spans="1:25">
      <c r="A1227">
        <v>1226</v>
      </c>
      <c r="B1227" t="s">
        <v>33</v>
      </c>
      <c r="C1227" t="s">
        <v>25</v>
      </c>
      <c r="D1227" t="s">
        <v>26</v>
      </c>
      <c r="E1227" t="s">
        <v>36</v>
      </c>
      <c r="F1227" t="s">
        <v>28</v>
      </c>
      <c r="G1227">
        <v>1</v>
      </c>
      <c r="H1227" t="s">
        <v>37</v>
      </c>
      <c r="I1227" t="s">
        <v>38</v>
      </c>
      <c r="J1227" t="s">
        <v>31</v>
      </c>
      <c r="K1227" t="s">
        <v>33</v>
      </c>
      <c r="L1227">
        <v>44</v>
      </c>
      <c r="M1227">
        <v>20</v>
      </c>
      <c r="N1227" t="s">
        <v>47</v>
      </c>
      <c r="O1227">
        <v>4</v>
      </c>
      <c r="P1227">
        <v>1</v>
      </c>
      <c r="Q1227">
        <v>2</v>
      </c>
      <c r="R1227">
        <v>3420</v>
      </c>
      <c r="S1227">
        <v>6</v>
      </c>
      <c r="T1227">
        <v>2</v>
      </c>
      <c r="U1227">
        <v>5</v>
      </c>
      <c r="V1227">
        <v>2</v>
      </c>
      <c r="W1227">
        <v>1</v>
      </c>
      <c r="X1227">
        <v>3</v>
      </c>
      <c r="Y1227">
        <f>IF(HR_data[[#This Row],[Attrition]]= "Yes",1,0)</f>
        <v>0</v>
      </c>
    </row>
    <row r="1228" spans="1:25">
      <c r="A1228">
        <v>1227</v>
      </c>
      <c r="B1228" t="s">
        <v>33</v>
      </c>
      <c r="C1228" t="s">
        <v>25</v>
      </c>
      <c r="D1228" t="s">
        <v>26</v>
      </c>
      <c r="E1228" t="s">
        <v>36</v>
      </c>
      <c r="F1228" t="s">
        <v>28</v>
      </c>
      <c r="G1228">
        <v>1</v>
      </c>
      <c r="H1228" t="s">
        <v>37</v>
      </c>
      <c r="I1228" t="s">
        <v>42</v>
      </c>
      <c r="J1228" t="s">
        <v>31</v>
      </c>
      <c r="K1228" t="s">
        <v>33</v>
      </c>
      <c r="L1228">
        <v>42</v>
      </c>
      <c r="M1228">
        <v>8</v>
      </c>
      <c r="N1228" t="s">
        <v>47</v>
      </c>
      <c r="O1228">
        <v>4</v>
      </c>
      <c r="P1228">
        <v>1</v>
      </c>
      <c r="Q1228">
        <v>3</v>
      </c>
      <c r="R1228">
        <v>3968</v>
      </c>
      <c r="S1228">
        <v>8</v>
      </c>
      <c r="T1228">
        <v>3</v>
      </c>
      <c r="U1228">
        <v>0</v>
      </c>
      <c r="V1228">
        <v>0</v>
      </c>
      <c r="W1228">
        <v>0</v>
      </c>
      <c r="X1228">
        <v>0</v>
      </c>
      <c r="Y1228">
        <f>IF(HR_data[[#This Row],[Attrition]]= "Yes",1,0)</f>
        <v>0</v>
      </c>
    </row>
    <row r="1229" spans="1:25">
      <c r="A1229">
        <v>1228</v>
      </c>
      <c r="B1229" t="s">
        <v>33</v>
      </c>
      <c r="C1229" t="s">
        <v>25</v>
      </c>
      <c r="D1229" t="s">
        <v>52</v>
      </c>
      <c r="E1229" t="s">
        <v>36</v>
      </c>
      <c r="F1229" t="s">
        <v>28</v>
      </c>
      <c r="G1229">
        <v>1</v>
      </c>
      <c r="H1229" t="s">
        <v>37</v>
      </c>
      <c r="I1229" t="s">
        <v>38</v>
      </c>
      <c r="J1229" t="s">
        <v>31</v>
      </c>
      <c r="K1229" t="s">
        <v>33</v>
      </c>
      <c r="L1229">
        <v>22</v>
      </c>
      <c r="M1229">
        <v>1</v>
      </c>
      <c r="N1229" t="s">
        <v>32</v>
      </c>
      <c r="O1229">
        <v>4</v>
      </c>
      <c r="P1229">
        <v>1</v>
      </c>
      <c r="Q1229">
        <v>3</v>
      </c>
      <c r="R1229">
        <v>3375</v>
      </c>
      <c r="S1229">
        <v>4</v>
      </c>
      <c r="T1229">
        <v>4</v>
      </c>
      <c r="U1229">
        <v>3</v>
      </c>
      <c r="V1229">
        <v>2</v>
      </c>
      <c r="W1229">
        <v>1</v>
      </c>
      <c r="X1229">
        <v>2</v>
      </c>
      <c r="Y1229">
        <f>IF(HR_data[[#This Row],[Attrition]]= "Yes",1,0)</f>
        <v>0</v>
      </c>
    </row>
    <row r="1230" spans="1:25">
      <c r="A1230">
        <v>1229</v>
      </c>
      <c r="B1230" t="s">
        <v>33</v>
      </c>
      <c r="C1230" t="s">
        <v>25</v>
      </c>
      <c r="D1230" t="s">
        <v>52</v>
      </c>
      <c r="E1230" t="s">
        <v>36</v>
      </c>
      <c r="F1230" t="s">
        <v>41</v>
      </c>
      <c r="G1230">
        <v>1</v>
      </c>
      <c r="H1230" t="s">
        <v>37</v>
      </c>
      <c r="I1230" t="s">
        <v>42</v>
      </c>
      <c r="J1230" t="s">
        <v>31</v>
      </c>
      <c r="K1230" t="s">
        <v>33</v>
      </c>
      <c r="L1230">
        <v>23</v>
      </c>
      <c r="M1230">
        <v>12</v>
      </c>
      <c r="N1230" t="s">
        <v>32</v>
      </c>
      <c r="O1230">
        <v>4</v>
      </c>
      <c r="P1230">
        <v>1</v>
      </c>
      <c r="Q1230">
        <v>4</v>
      </c>
      <c r="R1230">
        <v>2647</v>
      </c>
      <c r="S1230">
        <v>5</v>
      </c>
      <c r="T1230">
        <v>4</v>
      </c>
      <c r="U1230">
        <v>5</v>
      </c>
      <c r="V1230">
        <v>2</v>
      </c>
      <c r="W1230">
        <v>1</v>
      </c>
      <c r="X1230">
        <v>4</v>
      </c>
      <c r="Y1230">
        <f>IF(HR_data[[#This Row],[Attrition]]= "Yes",1,0)</f>
        <v>0</v>
      </c>
    </row>
    <row r="1231" spans="1:25">
      <c r="A1231">
        <v>1230</v>
      </c>
      <c r="B1231" t="s">
        <v>33</v>
      </c>
      <c r="C1231" t="s">
        <v>25</v>
      </c>
      <c r="D1231" t="s">
        <v>35</v>
      </c>
      <c r="E1231" t="s">
        <v>36</v>
      </c>
      <c r="F1231" t="s">
        <v>45</v>
      </c>
      <c r="G1231">
        <v>1</v>
      </c>
      <c r="H1231" t="s">
        <v>37</v>
      </c>
      <c r="I1231" t="s">
        <v>55</v>
      </c>
      <c r="J1231" t="s">
        <v>31</v>
      </c>
      <c r="K1231" t="s">
        <v>33</v>
      </c>
      <c r="L1231">
        <v>53</v>
      </c>
      <c r="M1231">
        <v>2</v>
      </c>
      <c r="N1231" t="s">
        <v>47</v>
      </c>
      <c r="O1231">
        <v>4</v>
      </c>
      <c r="P1231">
        <v>4</v>
      </c>
      <c r="Q1231">
        <v>2</v>
      </c>
      <c r="R1231">
        <v>16598</v>
      </c>
      <c r="S1231">
        <v>35</v>
      </c>
      <c r="T1231">
        <v>2</v>
      </c>
      <c r="U1231">
        <v>9</v>
      </c>
      <c r="V1231">
        <v>8</v>
      </c>
      <c r="W1231">
        <v>8</v>
      </c>
      <c r="X1231">
        <v>8</v>
      </c>
      <c r="Y1231">
        <f>IF(HR_data[[#This Row],[Attrition]]= "Yes",1,0)</f>
        <v>0</v>
      </c>
    </row>
    <row r="1232" spans="1:25">
      <c r="A1232">
        <v>1231</v>
      </c>
      <c r="B1232" t="s">
        <v>33</v>
      </c>
      <c r="C1232" t="s">
        <v>25</v>
      </c>
      <c r="D1232" t="s">
        <v>43</v>
      </c>
      <c r="E1232" t="s">
        <v>27</v>
      </c>
      <c r="F1232" t="s">
        <v>28</v>
      </c>
      <c r="G1232">
        <v>1</v>
      </c>
      <c r="H1232" t="s">
        <v>37</v>
      </c>
      <c r="I1232" t="s">
        <v>30</v>
      </c>
      <c r="J1232" t="s">
        <v>48</v>
      </c>
      <c r="K1232" t="s">
        <v>33</v>
      </c>
      <c r="L1232">
        <v>31</v>
      </c>
      <c r="M1232">
        <v>8</v>
      </c>
      <c r="N1232" t="s">
        <v>32</v>
      </c>
      <c r="O1232">
        <v>1</v>
      </c>
      <c r="P1232">
        <v>3</v>
      </c>
      <c r="Q1232">
        <v>4</v>
      </c>
      <c r="R1232">
        <v>10793</v>
      </c>
      <c r="S1232">
        <v>13</v>
      </c>
      <c r="T1232">
        <v>3</v>
      </c>
      <c r="U1232">
        <v>13</v>
      </c>
      <c r="V1232">
        <v>7</v>
      </c>
      <c r="W1232">
        <v>9</v>
      </c>
      <c r="X1232">
        <v>9</v>
      </c>
      <c r="Y1232">
        <f>IF(HR_data[[#This Row],[Attrition]]= "Yes",1,0)</f>
        <v>0</v>
      </c>
    </row>
    <row r="1233" spans="1:25">
      <c r="A1233">
        <v>1232</v>
      </c>
      <c r="B1233" t="s">
        <v>33</v>
      </c>
      <c r="C1233" t="s">
        <v>25</v>
      </c>
      <c r="D1233" t="s">
        <v>43</v>
      </c>
      <c r="E1233" t="s">
        <v>27</v>
      </c>
      <c r="F1233" t="s">
        <v>56</v>
      </c>
      <c r="G1233">
        <v>1</v>
      </c>
      <c r="H1233" t="s">
        <v>37</v>
      </c>
      <c r="I1233" t="s">
        <v>30</v>
      </c>
      <c r="J1233" t="s">
        <v>48</v>
      </c>
      <c r="K1233" t="s">
        <v>33</v>
      </c>
      <c r="L1233">
        <v>30</v>
      </c>
      <c r="M1233">
        <v>15</v>
      </c>
      <c r="N1233" t="s">
        <v>32</v>
      </c>
      <c r="O1233">
        <v>3</v>
      </c>
      <c r="P1233">
        <v>3</v>
      </c>
      <c r="Q1233">
        <v>1</v>
      </c>
      <c r="R1233">
        <v>7140</v>
      </c>
      <c r="S1233">
        <v>12</v>
      </c>
      <c r="T1233">
        <v>3</v>
      </c>
      <c r="U1233">
        <v>7</v>
      </c>
      <c r="V1233">
        <v>7</v>
      </c>
      <c r="W1233">
        <v>1</v>
      </c>
      <c r="X1233">
        <v>7</v>
      </c>
      <c r="Y1233">
        <f>IF(HR_data[[#This Row],[Attrition]]= "Yes",1,0)</f>
        <v>0</v>
      </c>
    </row>
    <row r="1234" spans="1:25">
      <c r="A1234">
        <v>1233</v>
      </c>
      <c r="B1234" t="s">
        <v>33</v>
      </c>
      <c r="C1234" t="s">
        <v>25</v>
      </c>
      <c r="D1234" t="s">
        <v>26</v>
      </c>
      <c r="E1234" t="s">
        <v>27</v>
      </c>
      <c r="F1234" t="s">
        <v>28</v>
      </c>
      <c r="G1234">
        <v>1</v>
      </c>
      <c r="H1234" t="s">
        <v>37</v>
      </c>
      <c r="I1234" t="s">
        <v>30</v>
      </c>
      <c r="J1234" t="s">
        <v>48</v>
      </c>
      <c r="K1234" t="s">
        <v>33</v>
      </c>
      <c r="L1234">
        <v>41</v>
      </c>
      <c r="M1234">
        <v>3</v>
      </c>
      <c r="N1234" t="s">
        <v>47</v>
      </c>
      <c r="O1234">
        <v>3</v>
      </c>
      <c r="P1234">
        <v>2</v>
      </c>
      <c r="Q1234">
        <v>2</v>
      </c>
      <c r="R1234">
        <v>8938</v>
      </c>
      <c r="S1234">
        <v>14</v>
      </c>
      <c r="T1234">
        <v>3</v>
      </c>
      <c r="U1234">
        <v>5</v>
      </c>
      <c r="V1234">
        <v>4</v>
      </c>
      <c r="W1234">
        <v>0</v>
      </c>
      <c r="X1234">
        <v>4</v>
      </c>
      <c r="Y1234">
        <f>IF(HR_data[[#This Row],[Attrition]]= "Yes",1,0)</f>
        <v>0</v>
      </c>
    </row>
    <row r="1235" spans="1:25">
      <c r="A1235">
        <v>1234</v>
      </c>
      <c r="B1235" t="s">
        <v>33</v>
      </c>
      <c r="C1235" t="s">
        <v>25</v>
      </c>
      <c r="D1235" t="s">
        <v>43</v>
      </c>
      <c r="E1235" t="s">
        <v>27</v>
      </c>
      <c r="F1235" t="s">
        <v>45</v>
      </c>
      <c r="G1235">
        <v>1</v>
      </c>
      <c r="H1235" t="s">
        <v>37</v>
      </c>
      <c r="I1235" t="s">
        <v>30</v>
      </c>
      <c r="J1235" t="s">
        <v>48</v>
      </c>
      <c r="K1235" t="s">
        <v>33</v>
      </c>
      <c r="L1235">
        <v>34</v>
      </c>
      <c r="M1235">
        <v>13</v>
      </c>
      <c r="N1235" t="s">
        <v>44</v>
      </c>
      <c r="O1235">
        <v>4</v>
      </c>
      <c r="P1235">
        <v>3</v>
      </c>
      <c r="Q1235">
        <v>3</v>
      </c>
      <c r="R1235">
        <v>8628</v>
      </c>
      <c r="S1235">
        <v>9</v>
      </c>
      <c r="T1235">
        <v>2</v>
      </c>
      <c r="U1235">
        <v>8</v>
      </c>
      <c r="V1235">
        <v>7</v>
      </c>
      <c r="W1235">
        <v>1</v>
      </c>
      <c r="X1235">
        <v>1</v>
      </c>
      <c r="Y1235">
        <f>IF(HR_data[[#This Row],[Attrition]]= "Yes",1,0)</f>
        <v>0</v>
      </c>
    </row>
    <row r="1236" spans="1:25">
      <c r="A1236">
        <v>1235</v>
      </c>
      <c r="B1236" t="s">
        <v>33</v>
      </c>
      <c r="C1236" t="s">
        <v>25</v>
      </c>
      <c r="D1236" t="s">
        <v>43</v>
      </c>
      <c r="E1236" t="s">
        <v>27</v>
      </c>
      <c r="F1236" t="s">
        <v>28</v>
      </c>
      <c r="G1236">
        <v>1</v>
      </c>
      <c r="H1236" t="s">
        <v>37</v>
      </c>
      <c r="I1236" t="s">
        <v>30</v>
      </c>
      <c r="J1236" t="s">
        <v>48</v>
      </c>
      <c r="K1236" t="s">
        <v>33</v>
      </c>
      <c r="L1236">
        <v>29</v>
      </c>
      <c r="M1236">
        <v>19</v>
      </c>
      <c r="N1236" t="s">
        <v>47</v>
      </c>
      <c r="O1236">
        <v>3</v>
      </c>
      <c r="P1236">
        <v>2</v>
      </c>
      <c r="Q1236">
        <v>3</v>
      </c>
      <c r="R1236">
        <v>8620</v>
      </c>
      <c r="S1236">
        <v>10</v>
      </c>
      <c r="T1236">
        <v>3</v>
      </c>
      <c r="U1236">
        <v>10</v>
      </c>
      <c r="V1236">
        <v>7</v>
      </c>
      <c r="W1236">
        <v>0</v>
      </c>
      <c r="X1236">
        <v>4</v>
      </c>
      <c r="Y1236">
        <f>IF(HR_data[[#This Row],[Attrition]]= "Yes",1,0)</f>
        <v>0</v>
      </c>
    </row>
    <row r="1237" spans="1:25">
      <c r="A1237">
        <v>1236</v>
      </c>
      <c r="B1237" t="s">
        <v>33</v>
      </c>
      <c r="C1237" t="s">
        <v>25</v>
      </c>
      <c r="D1237" t="s">
        <v>43</v>
      </c>
      <c r="E1237" t="s">
        <v>27</v>
      </c>
      <c r="F1237" t="s">
        <v>45</v>
      </c>
      <c r="G1237">
        <v>1</v>
      </c>
      <c r="H1237" t="s">
        <v>37</v>
      </c>
      <c r="I1237" t="s">
        <v>30</v>
      </c>
      <c r="J1237" t="s">
        <v>48</v>
      </c>
      <c r="K1237" t="s">
        <v>33</v>
      </c>
      <c r="L1237">
        <v>33</v>
      </c>
      <c r="M1237">
        <v>2</v>
      </c>
      <c r="N1237" t="s">
        <v>44</v>
      </c>
      <c r="O1237">
        <v>4</v>
      </c>
      <c r="P1237">
        <v>2</v>
      </c>
      <c r="Q1237">
        <v>4</v>
      </c>
      <c r="R1237">
        <v>5505</v>
      </c>
      <c r="S1237">
        <v>6</v>
      </c>
      <c r="T1237">
        <v>3</v>
      </c>
      <c r="U1237">
        <v>6</v>
      </c>
      <c r="V1237">
        <v>2</v>
      </c>
      <c r="W1237">
        <v>0</v>
      </c>
      <c r="X1237">
        <v>4</v>
      </c>
      <c r="Y1237">
        <f>IF(HR_data[[#This Row],[Attrition]]= "Yes",1,0)</f>
        <v>0</v>
      </c>
    </row>
    <row r="1238" spans="1:25">
      <c r="A1238">
        <v>1237</v>
      </c>
      <c r="B1238" t="s">
        <v>33</v>
      </c>
      <c r="C1238" t="s">
        <v>25</v>
      </c>
      <c r="D1238" t="s">
        <v>35</v>
      </c>
      <c r="E1238" t="s">
        <v>27</v>
      </c>
      <c r="F1238" t="s">
        <v>56</v>
      </c>
      <c r="G1238">
        <v>1</v>
      </c>
      <c r="H1238" t="s">
        <v>37</v>
      </c>
      <c r="I1238" t="s">
        <v>30</v>
      </c>
      <c r="J1238" t="s">
        <v>48</v>
      </c>
      <c r="K1238" t="s">
        <v>33</v>
      </c>
      <c r="L1238">
        <v>48</v>
      </c>
      <c r="M1238">
        <v>7</v>
      </c>
      <c r="N1238" t="s">
        <v>47</v>
      </c>
      <c r="O1238">
        <v>3</v>
      </c>
      <c r="P1238">
        <v>2</v>
      </c>
      <c r="Q1238">
        <v>1</v>
      </c>
      <c r="R1238">
        <v>5486</v>
      </c>
      <c r="S1238">
        <v>15</v>
      </c>
      <c r="T1238">
        <v>3</v>
      </c>
      <c r="U1238">
        <v>2</v>
      </c>
      <c r="V1238">
        <v>2</v>
      </c>
      <c r="W1238">
        <v>2</v>
      </c>
      <c r="X1238">
        <v>2</v>
      </c>
      <c r="Y1238">
        <f>IF(HR_data[[#This Row],[Attrition]]= "Yes",1,0)</f>
        <v>0</v>
      </c>
    </row>
    <row r="1239" spans="1:25">
      <c r="A1239">
        <v>1238</v>
      </c>
      <c r="B1239" t="s">
        <v>33</v>
      </c>
      <c r="C1239" t="s">
        <v>25</v>
      </c>
      <c r="D1239" t="s">
        <v>26</v>
      </c>
      <c r="E1239" t="s">
        <v>27</v>
      </c>
      <c r="F1239" t="s">
        <v>45</v>
      </c>
      <c r="G1239">
        <v>1</v>
      </c>
      <c r="H1239" t="s">
        <v>37</v>
      </c>
      <c r="I1239" t="s">
        <v>30</v>
      </c>
      <c r="J1239" t="s">
        <v>39</v>
      </c>
      <c r="K1239" t="s">
        <v>33</v>
      </c>
      <c r="L1239">
        <v>40</v>
      </c>
      <c r="M1239">
        <v>9</v>
      </c>
      <c r="N1239" t="s">
        <v>32</v>
      </c>
      <c r="O1239">
        <v>1</v>
      </c>
      <c r="P1239">
        <v>2</v>
      </c>
      <c r="Q1239">
        <v>1</v>
      </c>
      <c r="R1239">
        <v>5473</v>
      </c>
      <c r="S1239">
        <v>9</v>
      </c>
      <c r="T1239">
        <v>4</v>
      </c>
      <c r="U1239">
        <v>8</v>
      </c>
      <c r="V1239">
        <v>4</v>
      </c>
      <c r="W1239">
        <v>7</v>
      </c>
      <c r="X1239">
        <v>1</v>
      </c>
      <c r="Y1239">
        <f>IF(HR_data[[#This Row],[Attrition]]= "Yes",1,0)</f>
        <v>0</v>
      </c>
    </row>
    <row r="1240" spans="1:25">
      <c r="A1240">
        <v>1239</v>
      </c>
      <c r="B1240" t="s">
        <v>33</v>
      </c>
      <c r="C1240" t="s">
        <v>25</v>
      </c>
      <c r="D1240" t="s">
        <v>43</v>
      </c>
      <c r="E1240" t="s">
        <v>27</v>
      </c>
      <c r="F1240" t="s">
        <v>28</v>
      </c>
      <c r="G1240">
        <v>1</v>
      </c>
      <c r="H1240" t="s">
        <v>37</v>
      </c>
      <c r="I1240" t="s">
        <v>30</v>
      </c>
      <c r="J1240" t="s">
        <v>39</v>
      </c>
      <c r="K1240" t="s">
        <v>33</v>
      </c>
      <c r="L1240">
        <v>33</v>
      </c>
      <c r="M1240">
        <v>8</v>
      </c>
      <c r="N1240" t="s">
        <v>44</v>
      </c>
      <c r="O1240">
        <v>1</v>
      </c>
      <c r="P1240">
        <v>2</v>
      </c>
      <c r="Q1240">
        <v>1</v>
      </c>
      <c r="R1240">
        <v>6392</v>
      </c>
      <c r="S1240">
        <v>8</v>
      </c>
      <c r="T1240">
        <v>1</v>
      </c>
      <c r="U1240">
        <v>2</v>
      </c>
      <c r="V1240">
        <v>2</v>
      </c>
      <c r="W1240">
        <v>2</v>
      </c>
      <c r="X1240">
        <v>2</v>
      </c>
      <c r="Y1240">
        <f>IF(HR_data[[#This Row],[Attrition]]= "Yes",1,0)</f>
        <v>0</v>
      </c>
    </row>
    <row r="1241" spans="1:25">
      <c r="A1241">
        <v>1240</v>
      </c>
      <c r="B1241" t="s">
        <v>33</v>
      </c>
      <c r="C1241" t="s">
        <v>25</v>
      </c>
      <c r="D1241" t="s">
        <v>43</v>
      </c>
      <c r="E1241" t="s">
        <v>27</v>
      </c>
      <c r="F1241" t="s">
        <v>28</v>
      </c>
      <c r="G1241">
        <v>1</v>
      </c>
      <c r="H1241" t="s">
        <v>37</v>
      </c>
      <c r="I1241" t="s">
        <v>54</v>
      </c>
      <c r="J1241" t="s">
        <v>39</v>
      </c>
      <c r="K1241" t="s">
        <v>33</v>
      </c>
      <c r="L1241">
        <v>31</v>
      </c>
      <c r="M1241">
        <v>2</v>
      </c>
      <c r="N1241" t="s">
        <v>32</v>
      </c>
      <c r="O1241">
        <v>1</v>
      </c>
      <c r="P1241">
        <v>1</v>
      </c>
      <c r="Q1241">
        <v>3</v>
      </c>
      <c r="R1241">
        <v>3067</v>
      </c>
      <c r="S1241">
        <v>3</v>
      </c>
      <c r="T1241">
        <v>3</v>
      </c>
      <c r="U1241">
        <v>2</v>
      </c>
      <c r="V1241">
        <v>2</v>
      </c>
      <c r="W1241">
        <v>1</v>
      </c>
      <c r="X1241">
        <v>2</v>
      </c>
      <c r="Y1241">
        <f>IF(HR_data[[#This Row],[Attrition]]= "Yes",1,0)</f>
        <v>0</v>
      </c>
    </row>
    <row r="1242" spans="1:25">
      <c r="A1242">
        <v>1241</v>
      </c>
      <c r="B1242" t="s">
        <v>33</v>
      </c>
      <c r="C1242" t="s">
        <v>25</v>
      </c>
      <c r="D1242" t="s">
        <v>43</v>
      </c>
      <c r="E1242" t="s">
        <v>27</v>
      </c>
      <c r="F1242" t="s">
        <v>57</v>
      </c>
      <c r="G1242">
        <v>1</v>
      </c>
      <c r="H1242" t="s">
        <v>37</v>
      </c>
      <c r="I1242" t="s">
        <v>30</v>
      </c>
      <c r="J1242" t="s">
        <v>39</v>
      </c>
      <c r="K1242" t="s">
        <v>33</v>
      </c>
      <c r="L1242">
        <v>31</v>
      </c>
      <c r="M1242">
        <v>5</v>
      </c>
      <c r="N1242" t="s">
        <v>47</v>
      </c>
      <c r="O1242">
        <v>1</v>
      </c>
      <c r="P1242">
        <v>2</v>
      </c>
      <c r="Q1242">
        <v>3</v>
      </c>
      <c r="R1242">
        <v>8346</v>
      </c>
      <c r="S1242">
        <v>6</v>
      </c>
      <c r="T1242">
        <v>3</v>
      </c>
      <c r="U1242">
        <v>5</v>
      </c>
      <c r="V1242">
        <v>2</v>
      </c>
      <c r="W1242">
        <v>0</v>
      </c>
      <c r="X1242">
        <v>2</v>
      </c>
      <c r="Y1242">
        <f>IF(HR_data[[#This Row],[Attrition]]= "Yes",1,0)</f>
        <v>0</v>
      </c>
    </row>
    <row r="1243" spans="1:25">
      <c r="A1243">
        <v>1242</v>
      </c>
      <c r="B1243" t="s">
        <v>33</v>
      </c>
      <c r="C1243" t="s">
        <v>25</v>
      </c>
      <c r="D1243" t="s">
        <v>43</v>
      </c>
      <c r="E1243" t="s">
        <v>27</v>
      </c>
      <c r="F1243" t="s">
        <v>45</v>
      </c>
      <c r="G1243">
        <v>1</v>
      </c>
      <c r="H1243" t="s">
        <v>37</v>
      </c>
      <c r="I1243" t="s">
        <v>54</v>
      </c>
      <c r="J1243" t="s">
        <v>39</v>
      </c>
      <c r="K1243" t="s">
        <v>33</v>
      </c>
      <c r="L1243">
        <v>32</v>
      </c>
      <c r="M1243">
        <v>1</v>
      </c>
      <c r="N1243" t="s">
        <v>44</v>
      </c>
      <c r="O1243">
        <v>2</v>
      </c>
      <c r="P1243">
        <v>1</v>
      </c>
      <c r="Q1243">
        <v>2</v>
      </c>
      <c r="R1243">
        <v>2269</v>
      </c>
      <c r="S1243">
        <v>3</v>
      </c>
      <c r="T1243">
        <v>3</v>
      </c>
      <c r="U1243">
        <v>2</v>
      </c>
      <c r="V1243">
        <v>2</v>
      </c>
      <c r="W1243">
        <v>2</v>
      </c>
      <c r="X1243">
        <v>2</v>
      </c>
      <c r="Y1243">
        <f>IF(HR_data[[#This Row],[Attrition]]= "Yes",1,0)</f>
        <v>0</v>
      </c>
    </row>
    <row r="1244" spans="1:25">
      <c r="A1244">
        <v>1243</v>
      </c>
      <c r="B1244" t="s">
        <v>33</v>
      </c>
      <c r="C1244" t="s">
        <v>25</v>
      </c>
      <c r="D1244" t="s">
        <v>26</v>
      </c>
      <c r="E1244" t="s">
        <v>27</v>
      </c>
      <c r="F1244" t="s">
        <v>45</v>
      </c>
      <c r="G1244">
        <v>1</v>
      </c>
      <c r="H1244" t="s">
        <v>37</v>
      </c>
      <c r="I1244" t="s">
        <v>30</v>
      </c>
      <c r="J1244" t="s">
        <v>39</v>
      </c>
      <c r="K1244" t="s">
        <v>33</v>
      </c>
      <c r="L1244">
        <v>35</v>
      </c>
      <c r="M1244">
        <v>18</v>
      </c>
      <c r="N1244" t="s">
        <v>44</v>
      </c>
      <c r="O1244">
        <v>2</v>
      </c>
      <c r="P1244">
        <v>2</v>
      </c>
      <c r="Q1244">
        <v>1</v>
      </c>
      <c r="R1244">
        <v>5561</v>
      </c>
      <c r="S1244">
        <v>6</v>
      </c>
      <c r="T1244">
        <v>1</v>
      </c>
      <c r="U1244">
        <v>5</v>
      </c>
      <c r="V1244">
        <v>3</v>
      </c>
      <c r="W1244">
        <v>0</v>
      </c>
      <c r="X1244">
        <v>4</v>
      </c>
      <c r="Y1244">
        <f>IF(HR_data[[#This Row],[Attrition]]= "Yes",1,0)</f>
        <v>0</v>
      </c>
    </row>
    <row r="1245" spans="1:25">
      <c r="A1245">
        <v>1244</v>
      </c>
      <c r="B1245" t="s">
        <v>33</v>
      </c>
      <c r="C1245" t="s">
        <v>25</v>
      </c>
      <c r="D1245" t="s">
        <v>43</v>
      </c>
      <c r="E1245" t="s">
        <v>27</v>
      </c>
      <c r="F1245" t="s">
        <v>57</v>
      </c>
      <c r="G1245">
        <v>1</v>
      </c>
      <c r="H1245" t="s">
        <v>37</v>
      </c>
      <c r="I1245" t="s">
        <v>30</v>
      </c>
      <c r="J1245" t="s">
        <v>39</v>
      </c>
      <c r="K1245" t="s">
        <v>33</v>
      </c>
      <c r="L1245">
        <v>30</v>
      </c>
      <c r="M1245">
        <v>29</v>
      </c>
      <c r="N1245" t="s">
        <v>44</v>
      </c>
      <c r="O1245">
        <v>3</v>
      </c>
      <c r="P1245">
        <v>3</v>
      </c>
      <c r="Q1245">
        <v>2</v>
      </c>
      <c r="R1245">
        <v>9250</v>
      </c>
      <c r="S1245">
        <v>9</v>
      </c>
      <c r="T1245">
        <v>3</v>
      </c>
      <c r="U1245">
        <v>4</v>
      </c>
      <c r="V1245">
        <v>2</v>
      </c>
      <c r="W1245">
        <v>1</v>
      </c>
      <c r="X1245">
        <v>3</v>
      </c>
      <c r="Y1245">
        <f>IF(HR_data[[#This Row],[Attrition]]= "Yes",1,0)</f>
        <v>0</v>
      </c>
    </row>
    <row r="1246" spans="1:25">
      <c r="A1246">
        <v>1245</v>
      </c>
      <c r="B1246" t="s">
        <v>33</v>
      </c>
      <c r="C1246" t="s">
        <v>25</v>
      </c>
      <c r="D1246" t="s">
        <v>26</v>
      </c>
      <c r="E1246" t="s">
        <v>27</v>
      </c>
      <c r="F1246" t="s">
        <v>28</v>
      </c>
      <c r="G1246">
        <v>1</v>
      </c>
      <c r="H1246" t="s">
        <v>37</v>
      </c>
      <c r="I1246" t="s">
        <v>30</v>
      </c>
      <c r="J1246" t="s">
        <v>39</v>
      </c>
      <c r="K1246" t="s">
        <v>33</v>
      </c>
      <c r="L1246">
        <v>38</v>
      </c>
      <c r="M1246">
        <v>14</v>
      </c>
      <c r="N1246" t="s">
        <v>47</v>
      </c>
      <c r="O1246">
        <v>3</v>
      </c>
      <c r="P1246">
        <v>2</v>
      </c>
      <c r="Q1246">
        <v>2</v>
      </c>
      <c r="R1246">
        <v>9924</v>
      </c>
      <c r="S1246">
        <v>10</v>
      </c>
      <c r="T1246">
        <v>3</v>
      </c>
      <c r="U1246">
        <v>9</v>
      </c>
      <c r="V1246">
        <v>8</v>
      </c>
      <c r="W1246">
        <v>7</v>
      </c>
      <c r="X1246">
        <v>7</v>
      </c>
      <c r="Y1246">
        <f>IF(HR_data[[#This Row],[Attrition]]= "Yes",1,0)</f>
        <v>0</v>
      </c>
    </row>
    <row r="1247" spans="1:25">
      <c r="A1247">
        <v>1246</v>
      </c>
      <c r="B1247" t="s">
        <v>33</v>
      </c>
      <c r="C1247" t="s">
        <v>25</v>
      </c>
      <c r="D1247" t="s">
        <v>43</v>
      </c>
      <c r="E1247" t="s">
        <v>27</v>
      </c>
      <c r="F1247" t="s">
        <v>28</v>
      </c>
      <c r="G1247">
        <v>1</v>
      </c>
      <c r="H1247" t="s">
        <v>37</v>
      </c>
      <c r="I1247" t="s">
        <v>30</v>
      </c>
      <c r="J1247" t="s">
        <v>39</v>
      </c>
      <c r="K1247" t="s">
        <v>33</v>
      </c>
      <c r="L1247">
        <v>32</v>
      </c>
      <c r="M1247">
        <v>19</v>
      </c>
      <c r="N1247" t="s">
        <v>47</v>
      </c>
      <c r="O1247">
        <v>4</v>
      </c>
      <c r="P1247">
        <v>3</v>
      </c>
      <c r="Q1247">
        <v>3</v>
      </c>
      <c r="R1247">
        <v>9610</v>
      </c>
      <c r="S1247">
        <v>10</v>
      </c>
      <c r="T1247">
        <v>1</v>
      </c>
      <c r="U1247">
        <v>4</v>
      </c>
      <c r="V1247">
        <v>3</v>
      </c>
      <c r="W1247">
        <v>0</v>
      </c>
      <c r="X1247">
        <v>2</v>
      </c>
      <c r="Y1247">
        <f>IF(HR_data[[#This Row],[Attrition]]= "Yes",1,0)</f>
        <v>0</v>
      </c>
    </row>
    <row r="1248" spans="1:25">
      <c r="A1248">
        <v>1247</v>
      </c>
      <c r="B1248" t="s">
        <v>33</v>
      </c>
      <c r="C1248" t="s">
        <v>25</v>
      </c>
      <c r="D1248" t="s">
        <v>26</v>
      </c>
      <c r="E1248" t="s">
        <v>27</v>
      </c>
      <c r="F1248" t="s">
        <v>28</v>
      </c>
      <c r="G1248">
        <v>1</v>
      </c>
      <c r="H1248" t="s">
        <v>37</v>
      </c>
      <c r="I1248" t="s">
        <v>54</v>
      </c>
      <c r="J1248" t="s">
        <v>39</v>
      </c>
      <c r="K1248" t="s">
        <v>33</v>
      </c>
      <c r="L1248">
        <v>35</v>
      </c>
      <c r="M1248">
        <v>7</v>
      </c>
      <c r="N1248" t="s">
        <v>40</v>
      </c>
      <c r="O1248">
        <v>4</v>
      </c>
      <c r="P1248">
        <v>1</v>
      </c>
      <c r="Q1248">
        <v>3</v>
      </c>
      <c r="R1248">
        <v>2404</v>
      </c>
      <c r="S1248">
        <v>1</v>
      </c>
      <c r="T1248">
        <v>3</v>
      </c>
      <c r="U1248">
        <v>1</v>
      </c>
      <c r="V1248">
        <v>0</v>
      </c>
      <c r="W1248">
        <v>0</v>
      </c>
      <c r="X1248">
        <v>0</v>
      </c>
      <c r="Y1248">
        <f>IF(HR_data[[#This Row],[Attrition]]= "Yes",1,0)</f>
        <v>0</v>
      </c>
    </row>
    <row r="1249" spans="1:25">
      <c r="A1249">
        <v>1248</v>
      </c>
      <c r="B1249" t="s">
        <v>33</v>
      </c>
      <c r="C1249" t="s">
        <v>25</v>
      </c>
      <c r="D1249" t="s">
        <v>43</v>
      </c>
      <c r="E1249" t="s">
        <v>27</v>
      </c>
      <c r="F1249" t="s">
        <v>56</v>
      </c>
      <c r="G1249">
        <v>1</v>
      </c>
      <c r="H1249" t="s">
        <v>37</v>
      </c>
      <c r="I1249" t="s">
        <v>30</v>
      </c>
      <c r="J1249" t="s">
        <v>39</v>
      </c>
      <c r="K1249" t="s">
        <v>33</v>
      </c>
      <c r="L1249">
        <v>32</v>
      </c>
      <c r="M1249">
        <v>7</v>
      </c>
      <c r="N1249" t="s">
        <v>58</v>
      </c>
      <c r="O1249">
        <v>4</v>
      </c>
      <c r="P1249">
        <v>2</v>
      </c>
      <c r="Q1249">
        <v>4</v>
      </c>
      <c r="R1249">
        <v>9204</v>
      </c>
      <c r="S1249">
        <v>7</v>
      </c>
      <c r="T1249">
        <v>2</v>
      </c>
      <c r="U1249">
        <v>4</v>
      </c>
      <c r="V1249">
        <v>3</v>
      </c>
      <c r="W1249">
        <v>0</v>
      </c>
      <c r="X1249">
        <v>3</v>
      </c>
      <c r="Y1249">
        <f>IF(HR_data[[#This Row],[Attrition]]= "Yes",1,0)</f>
        <v>0</v>
      </c>
    </row>
    <row r="1250" spans="1:25">
      <c r="A1250">
        <v>1249</v>
      </c>
      <c r="B1250" t="s">
        <v>33</v>
      </c>
      <c r="C1250" t="s">
        <v>25</v>
      </c>
      <c r="D1250" t="s">
        <v>26</v>
      </c>
      <c r="E1250" t="s">
        <v>27</v>
      </c>
      <c r="F1250" t="s">
        <v>45</v>
      </c>
      <c r="G1250">
        <v>1</v>
      </c>
      <c r="H1250" t="s">
        <v>37</v>
      </c>
      <c r="I1250" t="s">
        <v>30</v>
      </c>
      <c r="J1250" t="s">
        <v>39</v>
      </c>
      <c r="K1250" t="s">
        <v>33</v>
      </c>
      <c r="L1250">
        <v>39</v>
      </c>
      <c r="M1250">
        <v>6</v>
      </c>
      <c r="N1250" t="s">
        <v>47</v>
      </c>
      <c r="O1250">
        <v>4</v>
      </c>
      <c r="P1250">
        <v>3</v>
      </c>
      <c r="Q1250">
        <v>3</v>
      </c>
      <c r="R1250">
        <v>8237</v>
      </c>
      <c r="S1250">
        <v>11</v>
      </c>
      <c r="T1250">
        <v>3</v>
      </c>
      <c r="U1250">
        <v>7</v>
      </c>
      <c r="V1250">
        <v>6</v>
      </c>
      <c r="W1250">
        <v>7</v>
      </c>
      <c r="X1250">
        <v>6</v>
      </c>
      <c r="Y1250">
        <f>IF(HR_data[[#This Row],[Attrition]]= "Yes",1,0)</f>
        <v>0</v>
      </c>
    </row>
    <row r="1251" spans="1:25">
      <c r="A1251">
        <v>1250</v>
      </c>
      <c r="B1251" t="s">
        <v>33</v>
      </c>
      <c r="C1251" t="s">
        <v>25</v>
      </c>
      <c r="D1251" t="s">
        <v>26</v>
      </c>
      <c r="E1251" t="s">
        <v>27</v>
      </c>
      <c r="F1251" t="s">
        <v>56</v>
      </c>
      <c r="G1251">
        <v>1</v>
      </c>
      <c r="H1251" t="s">
        <v>37</v>
      </c>
      <c r="I1251" t="s">
        <v>30</v>
      </c>
      <c r="J1251" t="s">
        <v>39</v>
      </c>
      <c r="K1251" t="s">
        <v>33</v>
      </c>
      <c r="L1251">
        <v>37</v>
      </c>
      <c r="M1251">
        <v>9</v>
      </c>
      <c r="N1251" t="s">
        <v>32</v>
      </c>
      <c r="O1251">
        <v>2</v>
      </c>
      <c r="P1251">
        <v>2</v>
      </c>
      <c r="Q1251">
        <v>2</v>
      </c>
      <c r="R1251">
        <v>4189</v>
      </c>
      <c r="S1251">
        <v>5</v>
      </c>
      <c r="T1251">
        <v>3</v>
      </c>
      <c r="U1251">
        <v>5</v>
      </c>
      <c r="V1251">
        <v>2</v>
      </c>
      <c r="W1251">
        <v>0</v>
      </c>
      <c r="X1251">
        <v>3</v>
      </c>
      <c r="Y1251">
        <f>IF(HR_data[[#This Row],[Attrition]]= "Yes",1,0)</f>
        <v>0</v>
      </c>
    </row>
    <row r="1252" spans="1:25">
      <c r="A1252">
        <v>1251</v>
      </c>
      <c r="B1252" t="s">
        <v>33</v>
      </c>
      <c r="C1252" t="s">
        <v>25</v>
      </c>
      <c r="D1252" t="s">
        <v>26</v>
      </c>
      <c r="E1252" t="s">
        <v>27</v>
      </c>
      <c r="F1252" t="s">
        <v>56</v>
      </c>
      <c r="G1252">
        <v>1</v>
      </c>
      <c r="H1252" t="s">
        <v>37</v>
      </c>
      <c r="I1252" t="s">
        <v>30</v>
      </c>
      <c r="J1252" t="s">
        <v>39</v>
      </c>
      <c r="K1252" t="s">
        <v>33</v>
      </c>
      <c r="L1252">
        <v>36</v>
      </c>
      <c r="M1252">
        <v>17</v>
      </c>
      <c r="N1252" t="s">
        <v>32</v>
      </c>
      <c r="O1252">
        <v>3</v>
      </c>
      <c r="P1252">
        <v>2</v>
      </c>
      <c r="Q1252">
        <v>2</v>
      </c>
      <c r="R1252">
        <v>5507</v>
      </c>
      <c r="S1252">
        <v>12</v>
      </c>
      <c r="T1252">
        <v>1</v>
      </c>
      <c r="U1252">
        <v>4</v>
      </c>
      <c r="V1252">
        <v>2</v>
      </c>
      <c r="W1252">
        <v>1</v>
      </c>
      <c r="X1252">
        <v>3</v>
      </c>
      <c r="Y1252">
        <f>IF(HR_data[[#This Row],[Attrition]]= "Yes",1,0)</f>
        <v>0</v>
      </c>
    </row>
    <row r="1253" spans="1:25">
      <c r="A1253">
        <v>1252</v>
      </c>
      <c r="B1253" t="s">
        <v>33</v>
      </c>
      <c r="C1253" t="s">
        <v>25</v>
      </c>
      <c r="D1253" t="s">
        <v>26</v>
      </c>
      <c r="E1253" t="s">
        <v>27</v>
      </c>
      <c r="F1253" t="s">
        <v>28</v>
      </c>
      <c r="G1253">
        <v>1</v>
      </c>
      <c r="H1253" t="s">
        <v>37</v>
      </c>
      <c r="I1253" t="s">
        <v>30</v>
      </c>
      <c r="J1253" t="s">
        <v>39</v>
      </c>
      <c r="K1253" t="s">
        <v>33</v>
      </c>
      <c r="L1253">
        <v>38</v>
      </c>
      <c r="M1253">
        <v>1</v>
      </c>
      <c r="N1253" t="s">
        <v>44</v>
      </c>
      <c r="O1253">
        <v>4</v>
      </c>
      <c r="P1253">
        <v>2</v>
      </c>
      <c r="Q1253">
        <v>2</v>
      </c>
      <c r="R1253">
        <v>4440</v>
      </c>
      <c r="S1253">
        <v>16</v>
      </c>
      <c r="T1253">
        <v>3</v>
      </c>
      <c r="U1253">
        <v>15</v>
      </c>
      <c r="V1253">
        <v>13</v>
      </c>
      <c r="W1253">
        <v>5</v>
      </c>
      <c r="X1253">
        <v>8</v>
      </c>
      <c r="Y1253">
        <f>IF(HR_data[[#This Row],[Attrition]]= "Yes",1,0)</f>
        <v>0</v>
      </c>
    </row>
    <row r="1254" spans="1:25">
      <c r="A1254">
        <v>1253</v>
      </c>
      <c r="B1254" t="s">
        <v>33</v>
      </c>
      <c r="C1254" t="s">
        <v>25</v>
      </c>
      <c r="D1254" t="s">
        <v>43</v>
      </c>
      <c r="E1254" t="s">
        <v>27</v>
      </c>
      <c r="F1254" t="s">
        <v>28</v>
      </c>
      <c r="G1254">
        <v>1</v>
      </c>
      <c r="H1254" t="s">
        <v>37</v>
      </c>
      <c r="I1254" t="s">
        <v>30</v>
      </c>
      <c r="J1254" t="s">
        <v>39</v>
      </c>
      <c r="K1254" t="s">
        <v>33</v>
      </c>
      <c r="L1254">
        <v>30</v>
      </c>
      <c r="M1254">
        <v>16</v>
      </c>
      <c r="N1254" t="s">
        <v>40</v>
      </c>
      <c r="O1254">
        <v>4</v>
      </c>
      <c r="P1254">
        <v>2</v>
      </c>
      <c r="Q1254">
        <v>3</v>
      </c>
      <c r="R1254">
        <v>5301</v>
      </c>
      <c r="S1254">
        <v>4</v>
      </c>
      <c r="T1254">
        <v>2</v>
      </c>
      <c r="U1254">
        <v>2</v>
      </c>
      <c r="V1254">
        <v>1</v>
      </c>
      <c r="W1254">
        <v>2</v>
      </c>
      <c r="X1254">
        <v>2</v>
      </c>
      <c r="Y1254">
        <f>IF(HR_data[[#This Row],[Attrition]]= "Yes",1,0)</f>
        <v>0</v>
      </c>
    </row>
    <row r="1255" spans="1:25">
      <c r="A1255">
        <v>1254</v>
      </c>
      <c r="B1255" t="s">
        <v>33</v>
      </c>
      <c r="C1255" t="s">
        <v>25</v>
      </c>
      <c r="D1255" t="s">
        <v>26</v>
      </c>
      <c r="E1255" t="s">
        <v>27</v>
      </c>
      <c r="F1255" t="s">
        <v>28</v>
      </c>
      <c r="G1255">
        <v>1</v>
      </c>
      <c r="H1255" t="s">
        <v>37</v>
      </c>
      <c r="I1255" t="s">
        <v>54</v>
      </c>
      <c r="J1255" t="s">
        <v>31</v>
      </c>
      <c r="K1255" t="s">
        <v>33</v>
      </c>
      <c r="L1255">
        <v>38</v>
      </c>
      <c r="M1255">
        <v>1</v>
      </c>
      <c r="N1255" t="s">
        <v>47</v>
      </c>
      <c r="O1255">
        <v>1</v>
      </c>
      <c r="P1255">
        <v>1</v>
      </c>
      <c r="Q1255">
        <v>1</v>
      </c>
      <c r="R1255">
        <v>2858</v>
      </c>
      <c r="S1255">
        <v>20</v>
      </c>
      <c r="T1255">
        <v>2</v>
      </c>
      <c r="U1255">
        <v>1</v>
      </c>
      <c r="V1255">
        <v>0</v>
      </c>
      <c r="W1255">
        <v>0</v>
      </c>
      <c r="X1255">
        <v>0</v>
      </c>
      <c r="Y1255">
        <f>IF(HR_data[[#This Row],[Attrition]]= "Yes",1,0)</f>
        <v>0</v>
      </c>
    </row>
    <row r="1256" spans="1:25">
      <c r="A1256">
        <v>1255</v>
      </c>
      <c r="B1256" t="s">
        <v>33</v>
      </c>
      <c r="C1256" t="s">
        <v>25</v>
      </c>
      <c r="D1256" t="s">
        <v>26</v>
      </c>
      <c r="E1256" t="s">
        <v>27</v>
      </c>
      <c r="F1256" t="s">
        <v>56</v>
      </c>
      <c r="G1256">
        <v>1</v>
      </c>
      <c r="H1256" t="s">
        <v>37</v>
      </c>
      <c r="I1256" t="s">
        <v>30</v>
      </c>
      <c r="J1256" t="s">
        <v>31</v>
      </c>
      <c r="K1256" t="s">
        <v>33</v>
      </c>
      <c r="L1256">
        <v>39</v>
      </c>
      <c r="M1256">
        <v>15</v>
      </c>
      <c r="N1256" t="s">
        <v>44</v>
      </c>
      <c r="O1256">
        <v>2</v>
      </c>
      <c r="P1256">
        <v>4</v>
      </c>
      <c r="Q1256">
        <v>1</v>
      </c>
      <c r="R1256">
        <v>13341</v>
      </c>
      <c r="S1256">
        <v>21</v>
      </c>
      <c r="T1256">
        <v>3</v>
      </c>
      <c r="U1256">
        <v>20</v>
      </c>
      <c r="V1256">
        <v>8</v>
      </c>
      <c r="W1256">
        <v>11</v>
      </c>
      <c r="X1256">
        <v>10</v>
      </c>
      <c r="Y1256">
        <f>IF(HR_data[[#This Row],[Attrition]]= "Yes",1,0)</f>
        <v>0</v>
      </c>
    </row>
    <row r="1257" spans="1:25">
      <c r="A1257">
        <v>1256</v>
      </c>
      <c r="B1257" t="s">
        <v>33</v>
      </c>
      <c r="C1257" t="s">
        <v>25</v>
      </c>
      <c r="D1257" t="s">
        <v>26</v>
      </c>
      <c r="E1257" t="s">
        <v>27</v>
      </c>
      <c r="F1257" t="s">
        <v>45</v>
      </c>
      <c r="G1257">
        <v>1</v>
      </c>
      <c r="H1257" t="s">
        <v>37</v>
      </c>
      <c r="I1257" t="s">
        <v>53</v>
      </c>
      <c r="J1257" t="s">
        <v>31</v>
      </c>
      <c r="K1257" t="s">
        <v>33</v>
      </c>
      <c r="L1257">
        <v>40</v>
      </c>
      <c r="M1257">
        <v>7</v>
      </c>
      <c r="N1257" t="s">
        <v>44</v>
      </c>
      <c r="O1257">
        <v>2</v>
      </c>
      <c r="P1257">
        <v>5</v>
      </c>
      <c r="Q1257">
        <v>2</v>
      </c>
      <c r="R1257">
        <v>19833</v>
      </c>
      <c r="S1257">
        <v>21</v>
      </c>
      <c r="T1257">
        <v>2</v>
      </c>
      <c r="U1257">
        <v>21</v>
      </c>
      <c r="V1257">
        <v>8</v>
      </c>
      <c r="W1257">
        <v>12</v>
      </c>
      <c r="X1257">
        <v>8</v>
      </c>
      <c r="Y1257">
        <f>IF(HR_data[[#This Row],[Attrition]]= "Yes",1,0)</f>
        <v>0</v>
      </c>
    </row>
    <row r="1258" spans="1:25">
      <c r="A1258">
        <v>1257</v>
      </c>
      <c r="B1258" t="s">
        <v>33</v>
      </c>
      <c r="C1258" t="s">
        <v>25</v>
      </c>
      <c r="D1258" t="s">
        <v>43</v>
      </c>
      <c r="E1258" t="s">
        <v>27</v>
      </c>
      <c r="F1258" t="s">
        <v>56</v>
      </c>
      <c r="G1258">
        <v>1</v>
      </c>
      <c r="H1258" t="s">
        <v>37</v>
      </c>
      <c r="I1258" t="s">
        <v>30</v>
      </c>
      <c r="J1258" t="s">
        <v>31</v>
      </c>
      <c r="K1258" t="s">
        <v>33</v>
      </c>
      <c r="L1258">
        <v>33</v>
      </c>
      <c r="M1258">
        <v>10</v>
      </c>
      <c r="N1258" t="s">
        <v>44</v>
      </c>
      <c r="O1258">
        <v>2</v>
      </c>
      <c r="P1258">
        <v>2</v>
      </c>
      <c r="Q1258">
        <v>3</v>
      </c>
      <c r="R1258">
        <v>5487</v>
      </c>
      <c r="S1258">
        <v>10</v>
      </c>
      <c r="T1258">
        <v>2</v>
      </c>
      <c r="U1258">
        <v>10</v>
      </c>
      <c r="V1258">
        <v>4</v>
      </c>
      <c r="W1258">
        <v>0</v>
      </c>
      <c r="X1258">
        <v>9</v>
      </c>
      <c r="Y1258">
        <f>IF(HR_data[[#This Row],[Attrition]]= "Yes",1,0)</f>
        <v>0</v>
      </c>
    </row>
    <row r="1259" spans="1:25">
      <c r="A1259">
        <v>1258</v>
      </c>
      <c r="B1259" t="s">
        <v>33</v>
      </c>
      <c r="C1259" t="s">
        <v>25</v>
      </c>
      <c r="D1259" t="s">
        <v>43</v>
      </c>
      <c r="E1259" t="s">
        <v>27</v>
      </c>
      <c r="F1259" t="s">
        <v>45</v>
      </c>
      <c r="G1259">
        <v>1</v>
      </c>
      <c r="H1259" t="s">
        <v>37</v>
      </c>
      <c r="I1259" t="s">
        <v>30</v>
      </c>
      <c r="J1259" t="s">
        <v>31</v>
      </c>
      <c r="K1259" t="s">
        <v>33</v>
      </c>
      <c r="L1259">
        <v>29</v>
      </c>
      <c r="M1259">
        <v>10</v>
      </c>
      <c r="N1259" t="s">
        <v>47</v>
      </c>
      <c r="O1259">
        <v>3</v>
      </c>
      <c r="P1259">
        <v>2</v>
      </c>
      <c r="Q1259">
        <v>3</v>
      </c>
      <c r="R1259">
        <v>5869</v>
      </c>
      <c r="S1259">
        <v>8</v>
      </c>
      <c r="T1259">
        <v>3</v>
      </c>
      <c r="U1259">
        <v>5</v>
      </c>
      <c r="V1259">
        <v>2</v>
      </c>
      <c r="W1259">
        <v>1</v>
      </c>
      <c r="X1259">
        <v>4</v>
      </c>
      <c r="Y1259">
        <f>IF(HR_data[[#This Row],[Attrition]]= "Yes",1,0)</f>
        <v>0</v>
      </c>
    </row>
    <row r="1260" spans="1:25">
      <c r="A1260">
        <v>1259</v>
      </c>
      <c r="B1260" t="s">
        <v>33</v>
      </c>
      <c r="C1260" t="s">
        <v>25</v>
      </c>
      <c r="D1260" t="s">
        <v>43</v>
      </c>
      <c r="E1260" t="s">
        <v>27</v>
      </c>
      <c r="F1260" t="s">
        <v>45</v>
      </c>
      <c r="G1260">
        <v>1</v>
      </c>
      <c r="H1260" t="s">
        <v>37</v>
      </c>
      <c r="I1260" t="s">
        <v>30</v>
      </c>
      <c r="J1260" t="s">
        <v>31</v>
      </c>
      <c r="K1260" t="s">
        <v>33</v>
      </c>
      <c r="L1260">
        <v>26</v>
      </c>
      <c r="M1260">
        <v>10</v>
      </c>
      <c r="N1260" t="s">
        <v>47</v>
      </c>
      <c r="O1260">
        <v>3</v>
      </c>
      <c r="P1260">
        <v>2</v>
      </c>
      <c r="Q1260">
        <v>4</v>
      </c>
      <c r="R1260">
        <v>4684</v>
      </c>
      <c r="S1260">
        <v>5</v>
      </c>
      <c r="T1260">
        <v>3</v>
      </c>
      <c r="U1260">
        <v>5</v>
      </c>
      <c r="V1260">
        <v>3</v>
      </c>
      <c r="W1260">
        <v>1</v>
      </c>
      <c r="X1260">
        <v>2</v>
      </c>
      <c r="Y1260">
        <f>IF(HR_data[[#This Row],[Attrition]]= "Yes",1,0)</f>
        <v>0</v>
      </c>
    </row>
    <row r="1261" spans="1:25">
      <c r="A1261">
        <v>1260</v>
      </c>
      <c r="B1261" t="s">
        <v>33</v>
      </c>
      <c r="C1261" t="s">
        <v>25</v>
      </c>
      <c r="D1261" t="s">
        <v>43</v>
      </c>
      <c r="E1261" t="s">
        <v>27</v>
      </c>
      <c r="F1261" t="s">
        <v>41</v>
      </c>
      <c r="G1261">
        <v>1</v>
      </c>
      <c r="H1261" t="s">
        <v>37</v>
      </c>
      <c r="I1261" t="s">
        <v>30</v>
      </c>
      <c r="J1261" t="s">
        <v>31</v>
      </c>
      <c r="K1261" t="s">
        <v>33</v>
      </c>
      <c r="L1261">
        <v>34</v>
      </c>
      <c r="M1261">
        <v>3</v>
      </c>
      <c r="N1261" t="s">
        <v>47</v>
      </c>
      <c r="O1261">
        <v>4</v>
      </c>
      <c r="P1261">
        <v>2</v>
      </c>
      <c r="Q1261">
        <v>1</v>
      </c>
      <c r="R1261">
        <v>4759</v>
      </c>
      <c r="S1261">
        <v>15</v>
      </c>
      <c r="T1261">
        <v>3</v>
      </c>
      <c r="U1261">
        <v>13</v>
      </c>
      <c r="V1261">
        <v>9</v>
      </c>
      <c r="W1261">
        <v>3</v>
      </c>
      <c r="X1261">
        <v>12</v>
      </c>
      <c r="Y1261">
        <f>IF(HR_data[[#This Row],[Attrition]]= "Yes",1,0)</f>
        <v>0</v>
      </c>
    </row>
    <row r="1262" spans="1:25">
      <c r="A1262">
        <v>1261</v>
      </c>
      <c r="B1262" t="s">
        <v>33</v>
      </c>
      <c r="C1262" t="s">
        <v>25</v>
      </c>
      <c r="D1262" t="s">
        <v>52</v>
      </c>
      <c r="E1262" t="s">
        <v>27</v>
      </c>
      <c r="F1262" t="s">
        <v>28</v>
      </c>
      <c r="G1262">
        <v>1</v>
      </c>
      <c r="H1262" t="s">
        <v>37</v>
      </c>
      <c r="I1262" t="s">
        <v>54</v>
      </c>
      <c r="J1262" t="s">
        <v>31</v>
      </c>
      <c r="K1262" t="s">
        <v>33</v>
      </c>
      <c r="L1262">
        <v>20</v>
      </c>
      <c r="M1262">
        <v>9</v>
      </c>
      <c r="N1262" t="s">
        <v>40</v>
      </c>
      <c r="O1262">
        <v>4</v>
      </c>
      <c r="P1262">
        <v>1</v>
      </c>
      <c r="Q1262">
        <v>1</v>
      </c>
      <c r="R1262">
        <v>2728</v>
      </c>
      <c r="S1262">
        <v>2</v>
      </c>
      <c r="T1262">
        <v>3</v>
      </c>
      <c r="U1262">
        <v>2</v>
      </c>
      <c r="V1262">
        <v>2</v>
      </c>
      <c r="W1262">
        <v>0</v>
      </c>
      <c r="X1262">
        <v>2</v>
      </c>
      <c r="Y1262">
        <f>IF(HR_data[[#This Row],[Attrition]]= "Yes",1,0)</f>
        <v>0</v>
      </c>
    </row>
    <row r="1263" spans="1:25">
      <c r="A1263">
        <v>1262</v>
      </c>
      <c r="B1263" t="s">
        <v>33</v>
      </c>
      <c r="C1263" t="s">
        <v>25</v>
      </c>
      <c r="D1263" t="s">
        <v>43</v>
      </c>
      <c r="E1263" t="s">
        <v>27</v>
      </c>
      <c r="F1263" t="s">
        <v>45</v>
      </c>
      <c r="G1263">
        <v>1</v>
      </c>
      <c r="H1263" t="s">
        <v>37</v>
      </c>
      <c r="I1263" t="s">
        <v>30</v>
      </c>
      <c r="J1263" t="s">
        <v>31</v>
      </c>
      <c r="K1263" t="s">
        <v>33</v>
      </c>
      <c r="L1263">
        <v>28</v>
      </c>
      <c r="M1263">
        <v>5</v>
      </c>
      <c r="N1263" t="s">
        <v>47</v>
      </c>
      <c r="O1263">
        <v>4</v>
      </c>
      <c r="P1263">
        <v>2</v>
      </c>
      <c r="Q1263">
        <v>1</v>
      </c>
      <c r="R1263">
        <v>8463</v>
      </c>
      <c r="S1263">
        <v>6</v>
      </c>
      <c r="T1263">
        <v>3</v>
      </c>
      <c r="U1263">
        <v>5</v>
      </c>
      <c r="V1263">
        <v>4</v>
      </c>
      <c r="W1263">
        <v>1</v>
      </c>
      <c r="X1263">
        <v>3</v>
      </c>
      <c r="Y1263">
        <f>IF(HR_data[[#This Row],[Attrition]]= "Yes",1,0)</f>
        <v>0</v>
      </c>
    </row>
    <row r="1264" spans="1:25">
      <c r="A1264">
        <v>1263</v>
      </c>
      <c r="B1264" t="s">
        <v>33</v>
      </c>
      <c r="C1264" t="s">
        <v>25</v>
      </c>
      <c r="D1264" t="s">
        <v>26</v>
      </c>
      <c r="E1264" t="s">
        <v>27</v>
      </c>
      <c r="F1264" t="s">
        <v>56</v>
      </c>
      <c r="G1264">
        <v>1</v>
      </c>
      <c r="H1264" t="s">
        <v>37</v>
      </c>
      <c r="I1264" t="s">
        <v>30</v>
      </c>
      <c r="J1264" t="s">
        <v>31</v>
      </c>
      <c r="K1264" t="s">
        <v>33</v>
      </c>
      <c r="L1264">
        <v>41</v>
      </c>
      <c r="M1264">
        <v>6</v>
      </c>
      <c r="N1264" t="s">
        <v>47</v>
      </c>
      <c r="O1264">
        <v>4</v>
      </c>
      <c r="P1264">
        <v>3</v>
      </c>
      <c r="Q1264">
        <v>3</v>
      </c>
      <c r="R1264">
        <v>9241</v>
      </c>
      <c r="S1264">
        <v>10</v>
      </c>
      <c r="T1264">
        <v>3</v>
      </c>
      <c r="U1264">
        <v>10</v>
      </c>
      <c r="V1264">
        <v>8</v>
      </c>
      <c r="W1264">
        <v>8</v>
      </c>
      <c r="X1264">
        <v>7</v>
      </c>
      <c r="Y1264">
        <f>IF(HR_data[[#This Row],[Attrition]]= "Yes",1,0)</f>
        <v>0</v>
      </c>
    </row>
    <row r="1265" spans="1:25">
      <c r="A1265">
        <v>1264</v>
      </c>
      <c r="B1265" t="s">
        <v>33</v>
      </c>
      <c r="C1265" t="s">
        <v>25</v>
      </c>
      <c r="D1265" t="s">
        <v>43</v>
      </c>
      <c r="E1265" t="s">
        <v>27</v>
      </c>
      <c r="F1265" t="s">
        <v>56</v>
      </c>
      <c r="G1265">
        <v>1</v>
      </c>
      <c r="H1265" t="s">
        <v>37</v>
      </c>
      <c r="I1265" t="s">
        <v>30</v>
      </c>
      <c r="J1265" t="s">
        <v>31</v>
      </c>
      <c r="K1265" t="s">
        <v>33</v>
      </c>
      <c r="L1265">
        <v>27</v>
      </c>
      <c r="M1265">
        <v>9</v>
      </c>
      <c r="N1265" t="s">
        <v>47</v>
      </c>
      <c r="O1265">
        <v>4</v>
      </c>
      <c r="P1265">
        <v>2</v>
      </c>
      <c r="Q1265">
        <v>4</v>
      </c>
      <c r="R1265">
        <v>4105</v>
      </c>
      <c r="S1265">
        <v>7</v>
      </c>
      <c r="T1265">
        <v>3</v>
      </c>
      <c r="U1265">
        <v>7</v>
      </c>
      <c r="V1265">
        <v>7</v>
      </c>
      <c r="W1265">
        <v>0</v>
      </c>
      <c r="X1265">
        <v>7</v>
      </c>
      <c r="Y1265">
        <f>IF(HR_data[[#This Row],[Attrition]]= "Yes",1,0)</f>
        <v>0</v>
      </c>
    </row>
    <row r="1266" spans="1:25">
      <c r="A1266">
        <v>1265</v>
      </c>
      <c r="B1266" t="s">
        <v>33</v>
      </c>
      <c r="C1266" t="s">
        <v>25</v>
      </c>
      <c r="D1266" t="s">
        <v>35</v>
      </c>
      <c r="E1266" t="s">
        <v>27</v>
      </c>
      <c r="F1266" t="s">
        <v>28</v>
      </c>
      <c r="G1266">
        <v>1</v>
      </c>
      <c r="H1266" t="s">
        <v>37</v>
      </c>
      <c r="I1266" t="s">
        <v>53</v>
      </c>
      <c r="J1266" t="s">
        <v>31</v>
      </c>
      <c r="K1266" t="s">
        <v>33</v>
      </c>
      <c r="L1266">
        <v>46</v>
      </c>
      <c r="M1266">
        <v>1</v>
      </c>
      <c r="N1266" t="s">
        <v>44</v>
      </c>
      <c r="O1266">
        <v>4</v>
      </c>
      <c r="P1266">
        <v>4</v>
      </c>
      <c r="Q1266">
        <v>1</v>
      </c>
      <c r="R1266">
        <v>17567</v>
      </c>
      <c r="S1266">
        <v>27</v>
      </c>
      <c r="T1266">
        <v>1</v>
      </c>
      <c r="U1266">
        <v>26</v>
      </c>
      <c r="V1266">
        <v>0</v>
      </c>
      <c r="W1266">
        <v>0</v>
      </c>
      <c r="X1266">
        <v>12</v>
      </c>
      <c r="Y1266">
        <f>IF(HR_data[[#This Row],[Attrition]]= "Yes",1,0)</f>
        <v>0</v>
      </c>
    </row>
    <row r="1267" spans="1:25">
      <c r="A1267">
        <v>1266</v>
      </c>
      <c r="B1267" t="s">
        <v>33</v>
      </c>
      <c r="C1267" t="s">
        <v>51</v>
      </c>
      <c r="D1267" t="s">
        <v>52</v>
      </c>
      <c r="E1267" t="s">
        <v>36</v>
      </c>
      <c r="F1267" t="s">
        <v>41</v>
      </c>
      <c r="G1267">
        <v>1</v>
      </c>
      <c r="H1267" t="s">
        <v>29</v>
      </c>
      <c r="I1267" t="s">
        <v>38</v>
      </c>
      <c r="J1267" t="s">
        <v>39</v>
      </c>
      <c r="K1267" t="s">
        <v>24</v>
      </c>
      <c r="L1267">
        <v>22</v>
      </c>
      <c r="M1267">
        <v>26</v>
      </c>
      <c r="N1267" t="s">
        <v>32</v>
      </c>
      <c r="O1267">
        <v>2</v>
      </c>
      <c r="P1267">
        <v>1</v>
      </c>
      <c r="Q1267">
        <v>3</v>
      </c>
      <c r="R1267">
        <v>2814</v>
      </c>
      <c r="S1267">
        <v>4</v>
      </c>
      <c r="T1267">
        <v>2</v>
      </c>
      <c r="U1267">
        <v>4</v>
      </c>
      <c r="V1267">
        <v>2</v>
      </c>
      <c r="W1267">
        <v>1</v>
      </c>
      <c r="X1267">
        <v>3</v>
      </c>
      <c r="Y1267">
        <f>IF(HR_data[[#This Row],[Attrition]]= "Yes",1,0)</f>
        <v>0</v>
      </c>
    </row>
    <row r="1268" spans="1:25">
      <c r="A1268">
        <v>1267</v>
      </c>
      <c r="B1268" t="s">
        <v>33</v>
      </c>
      <c r="C1268" t="s">
        <v>34</v>
      </c>
      <c r="D1268" t="s">
        <v>26</v>
      </c>
      <c r="E1268" t="s">
        <v>36</v>
      </c>
      <c r="F1268" t="s">
        <v>45</v>
      </c>
      <c r="G1268">
        <v>1</v>
      </c>
      <c r="H1268" t="s">
        <v>29</v>
      </c>
      <c r="I1268" t="s">
        <v>38</v>
      </c>
      <c r="J1268" t="s">
        <v>48</v>
      </c>
      <c r="K1268" t="s">
        <v>24</v>
      </c>
      <c r="L1268">
        <v>38</v>
      </c>
      <c r="M1268">
        <v>8</v>
      </c>
      <c r="N1268" t="s">
        <v>47</v>
      </c>
      <c r="O1268">
        <v>4</v>
      </c>
      <c r="P1268">
        <v>2</v>
      </c>
      <c r="Q1268">
        <v>2</v>
      </c>
      <c r="R1268">
        <v>2133</v>
      </c>
      <c r="S1268">
        <v>20</v>
      </c>
      <c r="T1268">
        <v>3</v>
      </c>
      <c r="U1268">
        <v>20</v>
      </c>
      <c r="V1268">
        <v>11</v>
      </c>
      <c r="W1268">
        <v>0</v>
      </c>
      <c r="X1268">
        <v>7</v>
      </c>
      <c r="Y1268">
        <f>IF(HR_data[[#This Row],[Attrition]]= "Yes",1,0)</f>
        <v>0</v>
      </c>
    </row>
    <row r="1269" spans="1:25">
      <c r="A1269">
        <v>1268</v>
      </c>
      <c r="B1269" t="s">
        <v>33</v>
      </c>
      <c r="C1269" t="s">
        <v>34</v>
      </c>
      <c r="D1269" t="s">
        <v>52</v>
      </c>
      <c r="E1269" t="s">
        <v>36</v>
      </c>
      <c r="F1269" t="s">
        <v>57</v>
      </c>
      <c r="G1269">
        <v>1</v>
      </c>
      <c r="H1269" t="s">
        <v>29</v>
      </c>
      <c r="I1269" t="s">
        <v>38</v>
      </c>
      <c r="J1269" t="s">
        <v>31</v>
      </c>
      <c r="K1269" t="s">
        <v>24</v>
      </c>
      <c r="L1269">
        <v>24</v>
      </c>
      <c r="M1269">
        <v>2</v>
      </c>
      <c r="N1269" t="s">
        <v>40</v>
      </c>
      <c r="O1269">
        <v>1</v>
      </c>
      <c r="P1269">
        <v>1</v>
      </c>
      <c r="Q1269">
        <v>4</v>
      </c>
      <c r="R1269">
        <v>3760</v>
      </c>
      <c r="S1269">
        <v>6</v>
      </c>
      <c r="T1269">
        <v>3</v>
      </c>
      <c r="U1269">
        <v>6</v>
      </c>
      <c r="V1269">
        <v>3</v>
      </c>
      <c r="W1269">
        <v>1</v>
      </c>
      <c r="X1269">
        <v>3</v>
      </c>
      <c r="Y1269">
        <f>IF(HR_data[[#This Row],[Attrition]]= "Yes",1,0)</f>
        <v>0</v>
      </c>
    </row>
    <row r="1270" spans="1:25">
      <c r="A1270">
        <v>1269</v>
      </c>
      <c r="B1270" t="s">
        <v>33</v>
      </c>
      <c r="C1270" t="s">
        <v>34</v>
      </c>
      <c r="D1270" t="s">
        <v>43</v>
      </c>
      <c r="E1270" t="s">
        <v>36</v>
      </c>
      <c r="F1270" t="s">
        <v>28</v>
      </c>
      <c r="G1270">
        <v>1</v>
      </c>
      <c r="H1270" t="s">
        <v>29</v>
      </c>
      <c r="I1270" t="s">
        <v>42</v>
      </c>
      <c r="J1270" t="s">
        <v>31</v>
      </c>
      <c r="K1270" t="s">
        <v>24</v>
      </c>
      <c r="L1270">
        <v>27</v>
      </c>
      <c r="M1270">
        <v>5</v>
      </c>
      <c r="N1270" t="s">
        <v>32</v>
      </c>
      <c r="O1270">
        <v>4</v>
      </c>
      <c r="P1270">
        <v>1</v>
      </c>
      <c r="Q1270">
        <v>4</v>
      </c>
      <c r="R1270">
        <v>2379</v>
      </c>
      <c r="S1270">
        <v>6</v>
      </c>
      <c r="T1270">
        <v>2</v>
      </c>
      <c r="U1270">
        <v>5</v>
      </c>
      <c r="V1270">
        <v>4</v>
      </c>
      <c r="W1270">
        <v>0</v>
      </c>
      <c r="X1270">
        <v>2</v>
      </c>
      <c r="Y1270">
        <f>IF(HR_data[[#This Row],[Attrition]]= "Yes",1,0)</f>
        <v>0</v>
      </c>
    </row>
    <row r="1271" spans="1:25">
      <c r="A1271">
        <v>1270</v>
      </c>
      <c r="B1271" t="s">
        <v>33</v>
      </c>
      <c r="C1271" t="s">
        <v>25</v>
      </c>
      <c r="D1271" t="s">
        <v>26</v>
      </c>
      <c r="E1271" t="s">
        <v>59</v>
      </c>
      <c r="F1271" t="s">
        <v>28</v>
      </c>
      <c r="G1271">
        <v>1</v>
      </c>
      <c r="H1271" t="s">
        <v>29</v>
      </c>
      <c r="I1271" t="s">
        <v>60</v>
      </c>
      <c r="J1271" t="s">
        <v>48</v>
      </c>
      <c r="K1271" t="s">
        <v>24</v>
      </c>
      <c r="L1271">
        <v>44</v>
      </c>
      <c r="M1271">
        <v>1</v>
      </c>
      <c r="N1271" t="s">
        <v>47</v>
      </c>
      <c r="O1271">
        <v>3</v>
      </c>
      <c r="P1271">
        <v>1</v>
      </c>
      <c r="Q1271">
        <v>4</v>
      </c>
      <c r="R1271">
        <v>3195</v>
      </c>
      <c r="S1271">
        <v>8</v>
      </c>
      <c r="T1271">
        <v>3</v>
      </c>
      <c r="U1271">
        <v>2</v>
      </c>
      <c r="V1271">
        <v>2</v>
      </c>
      <c r="W1271">
        <v>2</v>
      </c>
      <c r="X1271">
        <v>2</v>
      </c>
      <c r="Y1271">
        <f>IF(HR_data[[#This Row],[Attrition]]= "Yes",1,0)</f>
        <v>0</v>
      </c>
    </row>
    <row r="1272" spans="1:25">
      <c r="A1272">
        <v>1271</v>
      </c>
      <c r="B1272" t="s">
        <v>33</v>
      </c>
      <c r="C1272" t="s">
        <v>25</v>
      </c>
      <c r="D1272" t="s">
        <v>26</v>
      </c>
      <c r="E1272" t="s">
        <v>59</v>
      </c>
      <c r="F1272" t="s">
        <v>28</v>
      </c>
      <c r="G1272">
        <v>1</v>
      </c>
      <c r="H1272" t="s">
        <v>29</v>
      </c>
      <c r="I1272" t="s">
        <v>60</v>
      </c>
      <c r="J1272" t="s">
        <v>31</v>
      </c>
      <c r="K1272" t="s">
        <v>24</v>
      </c>
      <c r="L1272">
        <v>35</v>
      </c>
      <c r="M1272">
        <v>26</v>
      </c>
      <c r="N1272" t="s">
        <v>44</v>
      </c>
      <c r="O1272">
        <v>3</v>
      </c>
      <c r="P1272">
        <v>3</v>
      </c>
      <c r="Q1272">
        <v>4</v>
      </c>
      <c r="R1272">
        <v>8837</v>
      </c>
      <c r="S1272">
        <v>9</v>
      </c>
      <c r="T1272">
        <v>3</v>
      </c>
      <c r="U1272">
        <v>9</v>
      </c>
      <c r="V1272">
        <v>0</v>
      </c>
      <c r="W1272">
        <v>1</v>
      </c>
      <c r="X1272">
        <v>7</v>
      </c>
      <c r="Y1272">
        <f>IF(HR_data[[#This Row],[Attrition]]= "Yes",1,0)</f>
        <v>0</v>
      </c>
    </row>
    <row r="1273" spans="1:25">
      <c r="A1273">
        <v>1272</v>
      </c>
      <c r="B1273" t="s">
        <v>33</v>
      </c>
      <c r="C1273" t="s">
        <v>25</v>
      </c>
      <c r="D1273" t="s">
        <v>26</v>
      </c>
      <c r="E1273" t="s">
        <v>36</v>
      </c>
      <c r="F1273" t="s">
        <v>45</v>
      </c>
      <c r="G1273">
        <v>1</v>
      </c>
      <c r="H1273" t="s">
        <v>29</v>
      </c>
      <c r="I1273" t="s">
        <v>55</v>
      </c>
      <c r="J1273" t="s">
        <v>48</v>
      </c>
      <c r="K1273" t="s">
        <v>24</v>
      </c>
      <c r="L1273">
        <v>44</v>
      </c>
      <c r="M1273">
        <v>7</v>
      </c>
      <c r="N1273" t="s">
        <v>47</v>
      </c>
      <c r="O1273">
        <v>2</v>
      </c>
      <c r="P1273">
        <v>5</v>
      </c>
      <c r="Q1273">
        <v>4</v>
      </c>
      <c r="R1273">
        <v>19049</v>
      </c>
      <c r="S1273">
        <v>23</v>
      </c>
      <c r="T1273">
        <v>2</v>
      </c>
      <c r="U1273">
        <v>22</v>
      </c>
      <c r="V1273">
        <v>7</v>
      </c>
      <c r="W1273">
        <v>1</v>
      </c>
      <c r="X1273">
        <v>10</v>
      </c>
      <c r="Y1273">
        <f>IF(HR_data[[#This Row],[Attrition]]= "Yes",1,0)</f>
        <v>0</v>
      </c>
    </row>
    <row r="1274" spans="1:25">
      <c r="A1274">
        <v>1273</v>
      </c>
      <c r="B1274" t="s">
        <v>33</v>
      </c>
      <c r="C1274" t="s">
        <v>25</v>
      </c>
      <c r="D1274" t="s">
        <v>35</v>
      </c>
      <c r="E1274" t="s">
        <v>36</v>
      </c>
      <c r="F1274" t="s">
        <v>28</v>
      </c>
      <c r="G1274">
        <v>1</v>
      </c>
      <c r="H1274" t="s">
        <v>29</v>
      </c>
      <c r="I1274" t="s">
        <v>49</v>
      </c>
      <c r="J1274" t="s">
        <v>48</v>
      </c>
      <c r="K1274" t="s">
        <v>24</v>
      </c>
      <c r="L1274">
        <v>47</v>
      </c>
      <c r="M1274">
        <v>4</v>
      </c>
      <c r="N1274" t="s">
        <v>47</v>
      </c>
      <c r="O1274">
        <v>3</v>
      </c>
      <c r="P1274">
        <v>3</v>
      </c>
      <c r="Q1274">
        <v>2</v>
      </c>
      <c r="R1274">
        <v>10333</v>
      </c>
      <c r="S1274">
        <v>28</v>
      </c>
      <c r="T1274">
        <v>3</v>
      </c>
      <c r="U1274">
        <v>22</v>
      </c>
      <c r="V1274">
        <v>11</v>
      </c>
      <c r="W1274">
        <v>14</v>
      </c>
      <c r="X1274">
        <v>10</v>
      </c>
      <c r="Y1274">
        <f>IF(HR_data[[#This Row],[Attrition]]= "Yes",1,0)</f>
        <v>0</v>
      </c>
    </row>
    <row r="1275" spans="1:25">
      <c r="A1275">
        <v>1274</v>
      </c>
      <c r="B1275" t="s">
        <v>33</v>
      </c>
      <c r="C1275" t="s">
        <v>25</v>
      </c>
      <c r="D1275" t="s">
        <v>35</v>
      </c>
      <c r="E1275" t="s">
        <v>36</v>
      </c>
      <c r="F1275" t="s">
        <v>45</v>
      </c>
      <c r="G1275">
        <v>1</v>
      </c>
      <c r="H1275" t="s">
        <v>29</v>
      </c>
      <c r="I1275" t="s">
        <v>42</v>
      </c>
      <c r="J1275" t="s">
        <v>48</v>
      </c>
      <c r="K1275" t="s">
        <v>24</v>
      </c>
      <c r="L1275">
        <v>49</v>
      </c>
      <c r="M1275">
        <v>16</v>
      </c>
      <c r="N1275" t="s">
        <v>47</v>
      </c>
      <c r="O1275">
        <v>4</v>
      </c>
      <c r="P1275">
        <v>1</v>
      </c>
      <c r="Q1275">
        <v>1</v>
      </c>
      <c r="R1275">
        <v>2587</v>
      </c>
      <c r="S1275">
        <v>17</v>
      </c>
      <c r="T1275">
        <v>2</v>
      </c>
      <c r="U1275">
        <v>2</v>
      </c>
      <c r="V1275">
        <v>2</v>
      </c>
      <c r="W1275">
        <v>2</v>
      </c>
      <c r="X1275">
        <v>2</v>
      </c>
      <c r="Y1275">
        <f>IF(HR_data[[#This Row],[Attrition]]= "Yes",1,0)</f>
        <v>0</v>
      </c>
    </row>
    <row r="1276" spans="1:25">
      <c r="A1276">
        <v>1275</v>
      </c>
      <c r="B1276" t="s">
        <v>33</v>
      </c>
      <c r="C1276" t="s">
        <v>25</v>
      </c>
      <c r="D1276" t="s">
        <v>43</v>
      </c>
      <c r="E1276" t="s">
        <v>36</v>
      </c>
      <c r="F1276" t="s">
        <v>45</v>
      </c>
      <c r="G1276">
        <v>1</v>
      </c>
      <c r="H1276" t="s">
        <v>29</v>
      </c>
      <c r="I1276" t="s">
        <v>42</v>
      </c>
      <c r="J1276" t="s">
        <v>48</v>
      </c>
      <c r="K1276" t="s">
        <v>24</v>
      </c>
      <c r="L1276">
        <v>31</v>
      </c>
      <c r="M1276">
        <v>2</v>
      </c>
      <c r="N1276" t="s">
        <v>40</v>
      </c>
      <c r="O1276">
        <v>4</v>
      </c>
      <c r="P1276">
        <v>1</v>
      </c>
      <c r="Q1276">
        <v>4</v>
      </c>
      <c r="R1276">
        <v>1129</v>
      </c>
      <c r="S1276">
        <v>1</v>
      </c>
      <c r="T1276">
        <v>3</v>
      </c>
      <c r="U1276">
        <v>1</v>
      </c>
      <c r="V1276">
        <v>0</v>
      </c>
      <c r="W1276">
        <v>0</v>
      </c>
      <c r="X1276">
        <v>0</v>
      </c>
      <c r="Y1276">
        <f>IF(HR_data[[#This Row],[Attrition]]= "Yes",1,0)</f>
        <v>0</v>
      </c>
    </row>
    <row r="1277" spans="1:25">
      <c r="A1277">
        <v>1276</v>
      </c>
      <c r="B1277" t="s">
        <v>33</v>
      </c>
      <c r="C1277" t="s">
        <v>25</v>
      </c>
      <c r="D1277" t="s">
        <v>26</v>
      </c>
      <c r="E1277" t="s">
        <v>36</v>
      </c>
      <c r="F1277" t="s">
        <v>41</v>
      </c>
      <c r="G1277">
        <v>1</v>
      </c>
      <c r="H1277" t="s">
        <v>29</v>
      </c>
      <c r="I1277" t="s">
        <v>49</v>
      </c>
      <c r="J1277" t="s">
        <v>39</v>
      </c>
      <c r="K1277" t="s">
        <v>24</v>
      </c>
      <c r="L1277">
        <v>35</v>
      </c>
      <c r="M1277">
        <v>16</v>
      </c>
      <c r="N1277" t="s">
        <v>32</v>
      </c>
      <c r="O1277">
        <v>4</v>
      </c>
      <c r="P1277">
        <v>2</v>
      </c>
      <c r="Q1277">
        <v>2</v>
      </c>
      <c r="R1277">
        <v>4788</v>
      </c>
      <c r="S1277">
        <v>4</v>
      </c>
      <c r="T1277">
        <v>3</v>
      </c>
      <c r="U1277">
        <v>3</v>
      </c>
      <c r="V1277">
        <v>2</v>
      </c>
      <c r="W1277">
        <v>0</v>
      </c>
      <c r="X1277">
        <v>2</v>
      </c>
      <c r="Y1277">
        <f>IF(HR_data[[#This Row],[Attrition]]= "Yes",1,0)</f>
        <v>0</v>
      </c>
    </row>
    <row r="1278" spans="1:25">
      <c r="A1278">
        <v>1277</v>
      </c>
      <c r="B1278" t="s">
        <v>33</v>
      </c>
      <c r="C1278" t="s">
        <v>25</v>
      </c>
      <c r="D1278" t="s">
        <v>43</v>
      </c>
      <c r="E1278" t="s">
        <v>36</v>
      </c>
      <c r="F1278" t="s">
        <v>28</v>
      </c>
      <c r="G1278">
        <v>1</v>
      </c>
      <c r="H1278" t="s">
        <v>29</v>
      </c>
      <c r="I1278" t="s">
        <v>38</v>
      </c>
      <c r="J1278" t="s">
        <v>39</v>
      </c>
      <c r="K1278" t="s">
        <v>24</v>
      </c>
      <c r="L1278">
        <v>26</v>
      </c>
      <c r="M1278">
        <v>1</v>
      </c>
      <c r="N1278" t="s">
        <v>32</v>
      </c>
      <c r="O1278">
        <v>2</v>
      </c>
      <c r="P1278">
        <v>1</v>
      </c>
      <c r="Q1278">
        <v>3</v>
      </c>
      <c r="R1278">
        <v>2933</v>
      </c>
      <c r="S1278">
        <v>1</v>
      </c>
      <c r="T1278">
        <v>2</v>
      </c>
      <c r="U1278">
        <v>1</v>
      </c>
      <c r="V1278">
        <v>0</v>
      </c>
      <c r="W1278">
        <v>1</v>
      </c>
      <c r="X1278">
        <v>0</v>
      </c>
      <c r="Y1278">
        <f>IF(HR_data[[#This Row],[Attrition]]= "Yes",1,0)</f>
        <v>0</v>
      </c>
    </row>
    <row r="1279" spans="1:25">
      <c r="A1279">
        <v>1278</v>
      </c>
      <c r="B1279" t="s">
        <v>33</v>
      </c>
      <c r="C1279" t="s">
        <v>25</v>
      </c>
      <c r="D1279" t="s">
        <v>26</v>
      </c>
      <c r="E1279" t="s">
        <v>36</v>
      </c>
      <c r="F1279" t="s">
        <v>28</v>
      </c>
      <c r="G1279">
        <v>1</v>
      </c>
      <c r="H1279" t="s">
        <v>29</v>
      </c>
      <c r="I1279" t="s">
        <v>49</v>
      </c>
      <c r="J1279" t="s">
        <v>39</v>
      </c>
      <c r="K1279" t="s">
        <v>24</v>
      </c>
      <c r="L1279">
        <v>40</v>
      </c>
      <c r="M1279">
        <v>8</v>
      </c>
      <c r="N1279" t="s">
        <v>32</v>
      </c>
      <c r="O1279">
        <v>2</v>
      </c>
      <c r="P1279">
        <v>2</v>
      </c>
      <c r="Q1279">
        <v>1</v>
      </c>
      <c r="R1279">
        <v>6516</v>
      </c>
      <c r="S1279">
        <v>18</v>
      </c>
      <c r="T1279">
        <v>3</v>
      </c>
      <c r="U1279">
        <v>1</v>
      </c>
      <c r="V1279">
        <v>0</v>
      </c>
      <c r="W1279">
        <v>0</v>
      </c>
      <c r="X1279">
        <v>0</v>
      </c>
      <c r="Y1279">
        <f>IF(HR_data[[#This Row],[Attrition]]= "Yes",1,0)</f>
        <v>0</v>
      </c>
    </row>
    <row r="1280" spans="1:25">
      <c r="A1280">
        <v>1279</v>
      </c>
      <c r="B1280" t="s">
        <v>33</v>
      </c>
      <c r="C1280" t="s">
        <v>25</v>
      </c>
      <c r="D1280" t="s">
        <v>43</v>
      </c>
      <c r="E1280" t="s">
        <v>36</v>
      </c>
      <c r="F1280" t="s">
        <v>45</v>
      </c>
      <c r="G1280">
        <v>1</v>
      </c>
      <c r="H1280" t="s">
        <v>29</v>
      </c>
      <c r="I1280" t="s">
        <v>50</v>
      </c>
      <c r="J1280" t="s">
        <v>39</v>
      </c>
      <c r="K1280" t="s">
        <v>24</v>
      </c>
      <c r="L1280">
        <v>33</v>
      </c>
      <c r="M1280">
        <v>15</v>
      </c>
      <c r="N1280" t="s">
        <v>32</v>
      </c>
      <c r="O1280">
        <v>2</v>
      </c>
      <c r="P1280">
        <v>2</v>
      </c>
      <c r="Q1280">
        <v>4</v>
      </c>
      <c r="R1280">
        <v>4878</v>
      </c>
      <c r="S1280">
        <v>10</v>
      </c>
      <c r="T1280">
        <v>3</v>
      </c>
      <c r="U1280">
        <v>9</v>
      </c>
      <c r="V1280">
        <v>7</v>
      </c>
      <c r="W1280">
        <v>8</v>
      </c>
      <c r="X1280">
        <v>1</v>
      </c>
      <c r="Y1280">
        <f>IF(HR_data[[#This Row],[Attrition]]= "Yes",1,0)</f>
        <v>0</v>
      </c>
    </row>
    <row r="1281" spans="1:25">
      <c r="A1281">
        <v>1280</v>
      </c>
      <c r="B1281" t="s">
        <v>33</v>
      </c>
      <c r="C1281" t="s">
        <v>25</v>
      </c>
      <c r="D1281" t="s">
        <v>35</v>
      </c>
      <c r="E1281" t="s">
        <v>36</v>
      </c>
      <c r="F1281" t="s">
        <v>28</v>
      </c>
      <c r="G1281">
        <v>1</v>
      </c>
      <c r="H1281" t="s">
        <v>29</v>
      </c>
      <c r="I1281" t="s">
        <v>50</v>
      </c>
      <c r="J1281" t="s">
        <v>39</v>
      </c>
      <c r="K1281" t="s">
        <v>24</v>
      </c>
      <c r="L1281">
        <v>49</v>
      </c>
      <c r="M1281">
        <v>6</v>
      </c>
      <c r="N1281" t="s">
        <v>40</v>
      </c>
      <c r="O1281">
        <v>3</v>
      </c>
      <c r="P1281">
        <v>4</v>
      </c>
      <c r="Q1281">
        <v>3</v>
      </c>
      <c r="R1281">
        <v>13966</v>
      </c>
      <c r="S1281">
        <v>30</v>
      </c>
      <c r="T1281">
        <v>3</v>
      </c>
      <c r="U1281">
        <v>15</v>
      </c>
      <c r="V1281">
        <v>11</v>
      </c>
      <c r="W1281">
        <v>2</v>
      </c>
      <c r="X1281">
        <v>12</v>
      </c>
      <c r="Y1281">
        <f>IF(HR_data[[#This Row],[Attrition]]= "Yes",1,0)</f>
        <v>0</v>
      </c>
    </row>
    <row r="1282" spans="1:25">
      <c r="A1282">
        <v>1281</v>
      </c>
      <c r="B1282" t="s">
        <v>33</v>
      </c>
      <c r="C1282" t="s">
        <v>25</v>
      </c>
      <c r="D1282" t="s">
        <v>26</v>
      </c>
      <c r="E1282" t="s">
        <v>36</v>
      </c>
      <c r="F1282" t="s">
        <v>28</v>
      </c>
      <c r="G1282">
        <v>1</v>
      </c>
      <c r="H1282" t="s">
        <v>29</v>
      </c>
      <c r="I1282" t="s">
        <v>50</v>
      </c>
      <c r="J1282" t="s">
        <v>39</v>
      </c>
      <c r="K1282" t="s">
        <v>24</v>
      </c>
      <c r="L1282">
        <v>44</v>
      </c>
      <c r="M1282">
        <v>2</v>
      </c>
      <c r="N1282" t="s">
        <v>47</v>
      </c>
      <c r="O1282">
        <v>3</v>
      </c>
      <c r="P1282">
        <v>3</v>
      </c>
      <c r="Q1282">
        <v>4</v>
      </c>
      <c r="R1282">
        <v>7879</v>
      </c>
      <c r="S1282">
        <v>9</v>
      </c>
      <c r="T1282">
        <v>3</v>
      </c>
      <c r="U1282">
        <v>8</v>
      </c>
      <c r="V1282">
        <v>7</v>
      </c>
      <c r="W1282">
        <v>6</v>
      </c>
      <c r="X1282">
        <v>7</v>
      </c>
      <c r="Y1282">
        <f>IF(HR_data[[#This Row],[Attrition]]= "Yes",1,0)</f>
        <v>0</v>
      </c>
    </row>
    <row r="1283" spans="1:25">
      <c r="A1283">
        <v>1282</v>
      </c>
      <c r="B1283" t="s">
        <v>33</v>
      </c>
      <c r="C1283" t="s">
        <v>25</v>
      </c>
      <c r="D1283" t="s">
        <v>26</v>
      </c>
      <c r="E1283" t="s">
        <v>36</v>
      </c>
      <c r="F1283" t="s">
        <v>45</v>
      </c>
      <c r="G1283">
        <v>1</v>
      </c>
      <c r="H1283" t="s">
        <v>29</v>
      </c>
      <c r="I1283" t="s">
        <v>49</v>
      </c>
      <c r="J1283" t="s">
        <v>39</v>
      </c>
      <c r="K1283" t="s">
        <v>24</v>
      </c>
      <c r="L1283">
        <v>38</v>
      </c>
      <c r="M1283">
        <v>2</v>
      </c>
      <c r="N1283" t="s">
        <v>32</v>
      </c>
      <c r="O1283">
        <v>4</v>
      </c>
      <c r="P1283">
        <v>3</v>
      </c>
      <c r="Q1283">
        <v>3</v>
      </c>
      <c r="R1283">
        <v>7756</v>
      </c>
      <c r="S1283">
        <v>10</v>
      </c>
      <c r="T1283">
        <v>4</v>
      </c>
      <c r="U1283">
        <v>5</v>
      </c>
      <c r="V1283">
        <v>4</v>
      </c>
      <c r="W1283">
        <v>0</v>
      </c>
      <c r="X1283">
        <v>2</v>
      </c>
      <c r="Y1283">
        <f>IF(HR_data[[#This Row],[Attrition]]= "Yes",1,0)</f>
        <v>0</v>
      </c>
    </row>
    <row r="1284" spans="1:25">
      <c r="A1284">
        <v>1283</v>
      </c>
      <c r="B1284" t="s">
        <v>33</v>
      </c>
      <c r="C1284" t="s">
        <v>25</v>
      </c>
      <c r="D1284" t="s">
        <v>26</v>
      </c>
      <c r="E1284" t="s">
        <v>36</v>
      </c>
      <c r="F1284" t="s">
        <v>28</v>
      </c>
      <c r="G1284">
        <v>1</v>
      </c>
      <c r="H1284" t="s">
        <v>29</v>
      </c>
      <c r="I1284" t="s">
        <v>49</v>
      </c>
      <c r="J1284" t="s">
        <v>39</v>
      </c>
      <c r="K1284" t="s">
        <v>24</v>
      </c>
      <c r="L1284">
        <v>36</v>
      </c>
      <c r="M1284">
        <v>12</v>
      </c>
      <c r="N1284" t="s">
        <v>44</v>
      </c>
      <c r="O1284">
        <v>3</v>
      </c>
      <c r="P1284">
        <v>2</v>
      </c>
      <c r="Q1284">
        <v>3</v>
      </c>
      <c r="R1284">
        <v>4663</v>
      </c>
      <c r="S1284">
        <v>7</v>
      </c>
      <c r="T1284">
        <v>3</v>
      </c>
      <c r="U1284">
        <v>3</v>
      </c>
      <c r="V1284">
        <v>2</v>
      </c>
      <c r="W1284">
        <v>1</v>
      </c>
      <c r="X1284">
        <v>1</v>
      </c>
      <c r="Y1284">
        <f>IF(HR_data[[#This Row],[Attrition]]= "Yes",1,0)</f>
        <v>0</v>
      </c>
    </row>
    <row r="1285" spans="1:25">
      <c r="A1285">
        <v>1284</v>
      </c>
      <c r="B1285" t="s">
        <v>33</v>
      </c>
      <c r="C1285" t="s">
        <v>25</v>
      </c>
      <c r="D1285" t="s">
        <v>26</v>
      </c>
      <c r="E1285" t="s">
        <v>36</v>
      </c>
      <c r="F1285" t="s">
        <v>45</v>
      </c>
      <c r="G1285">
        <v>1</v>
      </c>
      <c r="H1285" t="s">
        <v>29</v>
      </c>
      <c r="I1285" t="s">
        <v>50</v>
      </c>
      <c r="J1285" t="s">
        <v>31</v>
      </c>
      <c r="K1285" t="s">
        <v>24</v>
      </c>
      <c r="L1285">
        <v>35</v>
      </c>
      <c r="M1285">
        <v>10</v>
      </c>
      <c r="N1285" t="s">
        <v>44</v>
      </c>
      <c r="O1285">
        <v>1</v>
      </c>
      <c r="P1285">
        <v>2</v>
      </c>
      <c r="Q1285">
        <v>3</v>
      </c>
      <c r="R1285">
        <v>6142</v>
      </c>
      <c r="S1285">
        <v>10</v>
      </c>
      <c r="T1285">
        <v>3</v>
      </c>
      <c r="U1285">
        <v>5</v>
      </c>
      <c r="V1285">
        <v>2</v>
      </c>
      <c r="W1285">
        <v>0</v>
      </c>
      <c r="X1285">
        <v>4</v>
      </c>
      <c r="Y1285">
        <f>IF(HR_data[[#This Row],[Attrition]]= "Yes",1,0)</f>
        <v>0</v>
      </c>
    </row>
    <row r="1286" spans="1:25">
      <c r="A1286">
        <v>1285</v>
      </c>
      <c r="B1286" t="s">
        <v>33</v>
      </c>
      <c r="C1286" t="s">
        <v>25</v>
      </c>
      <c r="D1286" t="s">
        <v>35</v>
      </c>
      <c r="E1286" t="s">
        <v>36</v>
      </c>
      <c r="F1286" t="s">
        <v>45</v>
      </c>
      <c r="G1286">
        <v>1</v>
      </c>
      <c r="H1286" t="s">
        <v>29</v>
      </c>
      <c r="I1286" t="s">
        <v>42</v>
      </c>
      <c r="J1286" t="s">
        <v>31</v>
      </c>
      <c r="K1286" t="s">
        <v>24</v>
      </c>
      <c r="L1286">
        <v>45</v>
      </c>
      <c r="M1286">
        <v>5</v>
      </c>
      <c r="N1286" t="s">
        <v>58</v>
      </c>
      <c r="O1286">
        <v>3</v>
      </c>
      <c r="P1286">
        <v>2</v>
      </c>
      <c r="Q1286">
        <v>1</v>
      </c>
      <c r="R1286">
        <v>5769</v>
      </c>
      <c r="S1286">
        <v>10</v>
      </c>
      <c r="T1286">
        <v>3</v>
      </c>
      <c r="U1286">
        <v>10</v>
      </c>
      <c r="V1286">
        <v>7</v>
      </c>
      <c r="W1286">
        <v>1</v>
      </c>
      <c r="X1286">
        <v>4</v>
      </c>
      <c r="Y1286">
        <f>IF(HR_data[[#This Row],[Attrition]]= "Yes",1,0)</f>
        <v>0</v>
      </c>
    </row>
    <row r="1287" spans="1:25">
      <c r="A1287">
        <v>1286</v>
      </c>
      <c r="B1287" t="s">
        <v>33</v>
      </c>
      <c r="C1287" t="s">
        <v>25</v>
      </c>
      <c r="D1287" t="s">
        <v>35</v>
      </c>
      <c r="E1287" t="s">
        <v>36</v>
      </c>
      <c r="F1287" t="s">
        <v>45</v>
      </c>
      <c r="G1287">
        <v>1</v>
      </c>
      <c r="H1287" t="s">
        <v>29</v>
      </c>
      <c r="I1287" t="s">
        <v>49</v>
      </c>
      <c r="J1287" t="s">
        <v>31</v>
      </c>
      <c r="K1287" t="s">
        <v>24</v>
      </c>
      <c r="L1287">
        <v>54</v>
      </c>
      <c r="M1287">
        <v>10</v>
      </c>
      <c r="N1287" t="s">
        <v>47</v>
      </c>
      <c r="O1287">
        <v>3</v>
      </c>
      <c r="P1287">
        <v>2</v>
      </c>
      <c r="Q1287">
        <v>1</v>
      </c>
      <c r="R1287">
        <v>4440</v>
      </c>
      <c r="S1287">
        <v>9</v>
      </c>
      <c r="T1287">
        <v>3</v>
      </c>
      <c r="U1287">
        <v>5</v>
      </c>
      <c r="V1287">
        <v>2</v>
      </c>
      <c r="W1287">
        <v>1</v>
      </c>
      <c r="X1287">
        <v>4</v>
      </c>
      <c r="Y1287">
        <f>IF(HR_data[[#This Row],[Attrition]]= "Yes",1,0)</f>
        <v>0</v>
      </c>
    </row>
    <row r="1288" spans="1:25">
      <c r="A1288">
        <v>1287</v>
      </c>
      <c r="B1288" t="s">
        <v>33</v>
      </c>
      <c r="C1288" t="s">
        <v>25</v>
      </c>
      <c r="D1288" t="s">
        <v>26</v>
      </c>
      <c r="E1288" t="s">
        <v>36</v>
      </c>
      <c r="F1288" t="s">
        <v>28</v>
      </c>
      <c r="G1288">
        <v>1</v>
      </c>
      <c r="H1288" t="s">
        <v>29</v>
      </c>
      <c r="I1288" t="s">
        <v>49</v>
      </c>
      <c r="J1288" t="s">
        <v>31</v>
      </c>
      <c r="K1288" t="s">
        <v>24</v>
      </c>
      <c r="L1288">
        <v>40</v>
      </c>
      <c r="M1288">
        <v>16</v>
      </c>
      <c r="N1288" t="s">
        <v>47</v>
      </c>
      <c r="O1288">
        <v>3</v>
      </c>
      <c r="P1288">
        <v>3</v>
      </c>
      <c r="Q1288">
        <v>4</v>
      </c>
      <c r="R1288">
        <v>7945</v>
      </c>
      <c r="S1288">
        <v>18</v>
      </c>
      <c r="T1288">
        <v>2</v>
      </c>
      <c r="U1288">
        <v>4</v>
      </c>
      <c r="V1288">
        <v>2</v>
      </c>
      <c r="W1288">
        <v>3</v>
      </c>
      <c r="X1288">
        <v>3</v>
      </c>
      <c r="Y1288">
        <f>IF(HR_data[[#This Row],[Attrition]]= "Yes",1,0)</f>
        <v>0</v>
      </c>
    </row>
    <row r="1289" spans="1:25">
      <c r="A1289">
        <v>1288</v>
      </c>
      <c r="B1289" t="s">
        <v>33</v>
      </c>
      <c r="C1289" t="s">
        <v>25</v>
      </c>
      <c r="D1289" t="s">
        <v>26</v>
      </c>
      <c r="E1289" t="s">
        <v>27</v>
      </c>
      <c r="F1289" t="s">
        <v>56</v>
      </c>
      <c r="G1289">
        <v>1</v>
      </c>
      <c r="H1289" t="s">
        <v>29</v>
      </c>
      <c r="I1289" t="s">
        <v>30</v>
      </c>
      <c r="J1289" t="s">
        <v>48</v>
      </c>
      <c r="K1289" t="s">
        <v>24</v>
      </c>
      <c r="L1289">
        <v>41</v>
      </c>
      <c r="M1289">
        <v>4</v>
      </c>
      <c r="N1289" t="s">
        <v>40</v>
      </c>
      <c r="O1289">
        <v>3</v>
      </c>
      <c r="P1289">
        <v>3</v>
      </c>
      <c r="Q1289">
        <v>3</v>
      </c>
      <c r="R1289">
        <v>10447</v>
      </c>
      <c r="S1289">
        <v>23</v>
      </c>
      <c r="T1289">
        <v>4</v>
      </c>
      <c r="U1289">
        <v>22</v>
      </c>
      <c r="V1289">
        <v>14</v>
      </c>
      <c r="W1289">
        <v>13</v>
      </c>
      <c r="X1289">
        <v>5</v>
      </c>
      <c r="Y1289">
        <f>IF(HR_data[[#This Row],[Attrition]]= "Yes",1,0)</f>
        <v>0</v>
      </c>
    </row>
    <row r="1290" spans="1:25">
      <c r="A1290">
        <v>1289</v>
      </c>
      <c r="B1290" t="s">
        <v>33</v>
      </c>
      <c r="C1290" t="s">
        <v>25</v>
      </c>
      <c r="D1290" t="s">
        <v>43</v>
      </c>
      <c r="E1290" t="s">
        <v>27</v>
      </c>
      <c r="F1290" t="s">
        <v>45</v>
      </c>
      <c r="G1290">
        <v>1</v>
      </c>
      <c r="H1290" t="s">
        <v>29</v>
      </c>
      <c r="I1290" t="s">
        <v>30</v>
      </c>
      <c r="J1290" t="s">
        <v>48</v>
      </c>
      <c r="K1290" t="s">
        <v>24</v>
      </c>
      <c r="L1290">
        <v>31</v>
      </c>
      <c r="M1290">
        <v>10</v>
      </c>
      <c r="N1290" t="s">
        <v>32</v>
      </c>
      <c r="O1290">
        <v>3</v>
      </c>
      <c r="P1290">
        <v>2</v>
      </c>
      <c r="Q1290">
        <v>4</v>
      </c>
      <c r="R1290">
        <v>6583</v>
      </c>
      <c r="S1290">
        <v>8</v>
      </c>
      <c r="T1290">
        <v>3</v>
      </c>
      <c r="U1290">
        <v>5</v>
      </c>
      <c r="V1290">
        <v>2</v>
      </c>
      <c r="W1290">
        <v>1</v>
      </c>
      <c r="X1290">
        <v>4</v>
      </c>
      <c r="Y1290">
        <f>IF(HR_data[[#This Row],[Attrition]]= "Yes",1,0)</f>
        <v>0</v>
      </c>
    </row>
    <row r="1291" spans="1:25">
      <c r="A1291">
        <v>1290</v>
      </c>
      <c r="B1291" t="s">
        <v>33</v>
      </c>
      <c r="C1291" t="s">
        <v>25</v>
      </c>
      <c r="D1291" t="s">
        <v>26</v>
      </c>
      <c r="E1291" t="s">
        <v>27</v>
      </c>
      <c r="F1291" t="s">
        <v>28</v>
      </c>
      <c r="G1291">
        <v>1</v>
      </c>
      <c r="H1291" t="s">
        <v>29</v>
      </c>
      <c r="I1291" t="s">
        <v>30</v>
      </c>
      <c r="J1291" t="s">
        <v>39</v>
      </c>
      <c r="K1291" t="s">
        <v>24</v>
      </c>
      <c r="L1291">
        <v>35</v>
      </c>
      <c r="M1291">
        <v>7</v>
      </c>
      <c r="N1291" t="s">
        <v>44</v>
      </c>
      <c r="O1291">
        <v>3</v>
      </c>
      <c r="P1291">
        <v>2</v>
      </c>
      <c r="Q1291">
        <v>4</v>
      </c>
      <c r="R1291">
        <v>5204</v>
      </c>
      <c r="S1291">
        <v>10</v>
      </c>
      <c r="T1291">
        <v>3</v>
      </c>
      <c r="U1291">
        <v>10</v>
      </c>
      <c r="V1291">
        <v>8</v>
      </c>
      <c r="W1291">
        <v>0</v>
      </c>
      <c r="X1291">
        <v>9</v>
      </c>
      <c r="Y1291">
        <f>IF(HR_data[[#This Row],[Attrition]]= "Yes",1,0)</f>
        <v>0</v>
      </c>
    </row>
    <row r="1292" spans="1:25">
      <c r="A1292">
        <v>1291</v>
      </c>
      <c r="B1292" t="s">
        <v>33</v>
      </c>
      <c r="C1292" t="s">
        <v>25</v>
      </c>
      <c r="D1292" t="s">
        <v>43</v>
      </c>
      <c r="E1292" t="s">
        <v>27</v>
      </c>
      <c r="F1292" t="s">
        <v>45</v>
      </c>
      <c r="G1292">
        <v>1</v>
      </c>
      <c r="H1292" t="s">
        <v>29</v>
      </c>
      <c r="I1292" t="s">
        <v>30</v>
      </c>
      <c r="J1292" t="s">
        <v>39</v>
      </c>
      <c r="K1292" t="s">
        <v>24</v>
      </c>
      <c r="L1292">
        <v>34</v>
      </c>
      <c r="M1292">
        <v>3</v>
      </c>
      <c r="N1292" t="s">
        <v>40</v>
      </c>
      <c r="O1292">
        <v>4</v>
      </c>
      <c r="P1292">
        <v>2</v>
      </c>
      <c r="Q1292">
        <v>4</v>
      </c>
      <c r="R1292">
        <v>8103</v>
      </c>
      <c r="S1292">
        <v>9</v>
      </c>
      <c r="T1292">
        <v>2</v>
      </c>
      <c r="U1292">
        <v>4</v>
      </c>
      <c r="V1292">
        <v>2</v>
      </c>
      <c r="W1292">
        <v>0</v>
      </c>
      <c r="X1292">
        <v>1</v>
      </c>
      <c r="Y1292">
        <f>IF(HR_data[[#This Row],[Attrition]]= "Yes",1,0)</f>
        <v>0</v>
      </c>
    </row>
    <row r="1293" spans="1:25">
      <c r="A1293">
        <v>1292</v>
      </c>
      <c r="B1293" t="s">
        <v>33</v>
      </c>
      <c r="C1293" t="s">
        <v>25</v>
      </c>
      <c r="D1293" t="s">
        <v>26</v>
      </c>
      <c r="E1293" t="s">
        <v>27</v>
      </c>
      <c r="F1293" t="s">
        <v>57</v>
      </c>
      <c r="G1293">
        <v>1</v>
      </c>
      <c r="H1293" t="s">
        <v>29</v>
      </c>
      <c r="I1293" t="s">
        <v>30</v>
      </c>
      <c r="J1293" t="s">
        <v>39</v>
      </c>
      <c r="K1293" t="s">
        <v>24</v>
      </c>
      <c r="L1293">
        <v>36</v>
      </c>
      <c r="M1293">
        <v>10</v>
      </c>
      <c r="N1293" t="s">
        <v>44</v>
      </c>
      <c r="O1293">
        <v>2</v>
      </c>
      <c r="P1293">
        <v>2</v>
      </c>
      <c r="Q1293">
        <v>3</v>
      </c>
      <c r="R1293">
        <v>5673</v>
      </c>
      <c r="S1293">
        <v>10</v>
      </c>
      <c r="T1293">
        <v>3</v>
      </c>
      <c r="U1293">
        <v>10</v>
      </c>
      <c r="V1293">
        <v>9</v>
      </c>
      <c r="W1293">
        <v>1</v>
      </c>
      <c r="X1293">
        <v>7</v>
      </c>
      <c r="Y1293">
        <f>IF(HR_data[[#This Row],[Attrition]]= "Yes",1,0)</f>
        <v>0</v>
      </c>
    </row>
    <row r="1294" spans="1:25">
      <c r="A1294">
        <v>1293</v>
      </c>
      <c r="B1294" t="s">
        <v>33</v>
      </c>
      <c r="C1294" t="s">
        <v>25</v>
      </c>
      <c r="D1294" t="s">
        <v>35</v>
      </c>
      <c r="E1294" t="s">
        <v>27</v>
      </c>
      <c r="F1294" t="s">
        <v>45</v>
      </c>
      <c r="G1294">
        <v>1</v>
      </c>
      <c r="H1294" t="s">
        <v>29</v>
      </c>
      <c r="I1294" t="s">
        <v>30</v>
      </c>
      <c r="J1294" t="s">
        <v>39</v>
      </c>
      <c r="K1294" t="s">
        <v>24</v>
      </c>
      <c r="L1294">
        <v>47</v>
      </c>
      <c r="M1294">
        <v>14</v>
      </c>
      <c r="N1294" t="s">
        <v>47</v>
      </c>
      <c r="O1294">
        <v>3</v>
      </c>
      <c r="P1294">
        <v>2</v>
      </c>
      <c r="Q1294">
        <v>3</v>
      </c>
      <c r="R1294">
        <v>4591</v>
      </c>
      <c r="S1294">
        <v>11</v>
      </c>
      <c r="T1294">
        <v>2</v>
      </c>
      <c r="U1294">
        <v>5</v>
      </c>
      <c r="V1294">
        <v>4</v>
      </c>
      <c r="W1294">
        <v>1</v>
      </c>
      <c r="X1294">
        <v>2</v>
      </c>
      <c r="Y1294">
        <f>IF(HR_data[[#This Row],[Attrition]]= "Yes",1,0)</f>
        <v>0</v>
      </c>
    </row>
    <row r="1295" spans="1:25">
      <c r="A1295">
        <v>1294</v>
      </c>
      <c r="B1295" t="s">
        <v>33</v>
      </c>
      <c r="C1295" t="s">
        <v>25</v>
      </c>
      <c r="D1295" t="s">
        <v>46</v>
      </c>
      <c r="E1295" t="s">
        <v>27</v>
      </c>
      <c r="F1295" t="s">
        <v>28</v>
      </c>
      <c r="G1295">
        <v>1</v>
      </c>
      <c r="H1295" t="s">
        <v>29</v>
      </c>
      <c r="I1295" t="s">
        <v>53</v>
      </c>
      <c r="J1295" t="s">
        <v>39</v>
      </c>
      <c r="K1295" t="s">
        <v>24</v>
      </c>
      <c r="L1295">
        <v>58</v>
      </c>
      <c r="M1295">
        <v>21</v>
      </c>
      <c r="N1295" t="s">
        <v>47</v>
      </c>
      <c r="O1295">
        <v>4</v>
      </c>
      <c r="P1295">
        <v>4</v>
      </c>
      <c r="Q1295">
        <v>4</v>
      </c>
      <c r="R1295">
        <v>17875</v>
      </c>
      <c r="S1295">
        <v>29</v>
      </c>
      <c r="T1295">
        <v>2</v>
      </c>
      <c r="U1295">
        <v>1</v>
      </c>
      <c r="V1295">
        <v>0</v>
      </c>
      <c r="W1295">
        <v>0</v>
      </c>
      <c r="X1295">
        <v>0</v>
      </c>
      <c r="Y1295">
        <f>IF(HR_data[[#This Row],[Attrition]]= "Yes",1,0)</f>
        <v>0</v>
      </c>
    </row>
    <row r="1296" spans="1:25">
      <c r="A1296">
        <v>1295</v>
      </c>
      <c r="B1296" t="s">
        <v>33</v>
      </c>
      <c r="C1296" t="s">
        <v>25</v>
      </c>
      <c r="D1296" t="s">
        <v>52</v>
      </c>
      <c r="E1296" t="s">
        <v>27</v>
      </c>
      <c r="F1296" t="s">
        <v>45</v>
      </c>
      <c r="G1296">
        <v>1</v>
      </c>
      <c r="H1296" t="s">
        <v>29</v>
      </c>
      <c r="I1296" t="s">
        <v>30</v>
      </c>
      <c r="J1296" t="s">
        <v>39</v>
      </c>
      <c r="K1296" t="s">
        <v>24</v>
      </c>
      <c r="L1296">
        <v>24</v>
      </c>
      <c r="M1296">
        <v>4</v>
      </c>
      <c r="N1296" t="s">
        <v>40</v>
      </c>
      <c r="O1296">
        <v>4</v>
      </c>
      <c r="P1296">
        <v>2</v>
      </c>
      <c r="Q1296">
        <v>3</v>
      </c>
      <c r="R1296">
        <v>4162</v>
      </c>
      <c r="S1296">
        <v>5</v>
      </c>
      <c r="T1296">
        <v>3</v>
      </c>
      <c r="U1296">
        <v>5</v>
      </c>
      <c r="V1296">
        <v>4</v>
      </c>
      <c r="W1296">
        <v>0</v>
      </c>
      <c r="X1296">
        <v>3</v>
      </c>
      <c r="Y1296">
        <f>IF(HR_data[[#This Row],[Attrition]]= "Yes",1,0)</f>
        <v>0</v>
      </c>
    </row>
    <row r="1297" spans="1:25">
      <c r="A1297">
        <v>1296</v>
      </c>
      <c r="B1297" t="s">
        <v>33</v>
      </c>
      <c r="C1297" t="s">
        <v>25</v>
      </c>
      <c r="D1297" t="s">
        <v>26</v>
      </c>
      <c r="E1297" t="s">
        <v>27</v>
      </c>
      <c r="F1297" t="s">
        <v>56</v>
      </c>
      <c r="G1297">
        <v>1</v>
      </c>
      <c r="H1297" t="s">
        <v>29</v>
      </c>
      <c r="I1297" t="s">
        <v>30</v>
      </c>
      <c r="J1297" t="s">
        <v>31</v>
      </c>
      <c r="K1297" t="s">
        <v>24</v>
      </c>
      <c r="L1297">
        <v>36</v>
      </c>
      <c r="M1297">
        <v>3</v>
      </c>
      <c r="N1297" t="s">
        <v>44</v>
      </c>
      <c r="O1297">
        <v>1</v>
      </c>
      <c r="P1297">
        <v>2</v>
      </c>
      <c r="Q1297">
        <v>2</v>
      </c>
      <c r="R1297">
        <v>9278</v>
      </c>
      <c r="S1297">
        <v>15</v>
      </c>
      <c r="T1297">
        <v>3</v>
      </c>
      <c r="U1297">
        <v>5</v>
      </c>
      <c r="V1297">
        <v>4</v>
      </c>
      <c r="W1297">
        <v>0</v>
      </c>
      <c r="X1297">
        <v>1</v>
      </c>
      <c r="Y1297">
        <f>IF(HR_data[[#This Row],[Attrition]]= "Yes",1,0)</f>
        <v>0</v>
      </c>
    </row>
    <row r="1298" spans="1:25">
      <c r="A1298">
        <v>1297</v>
      </c>
      <c r="B1298" t="s">
        <v>33</v>
      </c>
      <c r="C1298" t="s">
        <v>51</v>
      </c>
      <c r="D1298" t="s">
        <v>26</v>
      </c>
      <c r="E1298" t="s">
        <v>36</v>
      </c>
      <c r="F1298" t="s">
        <v>28</v>
      </c>
      <c r="G1298">
        <v>1</v>
      </c>
      <c r="H1298" t="s">
        <v>37</v>
      </c>
      <c r="I1298" t="s">
        <v>50</v>
      </c>
      <c r="J1298" t="s">
        <v>48</v>
      </c>
      <c r="K1298" t="s">
        <v>24</v>
      </c>
      <c r="L1298">
        <v>40</v>
      </c>
      <c r="M1298">
        <v>8</v>
      </c>
      <c r="N1298" t="s">
        <v>32</v>
      </c>
      <c r="O1298">
        <v>4</v>
      </c>
      <c r="P1298">
        <v>2</v>
      </c>
      <c r="Q1298">
        <v>4</v>
      </c>
      <c r="R1298">
        <v>4069</v>
      </c>
      <c r="S1298">
        <v>8</v>
      </c>
      <c r="T1298">
        <v>3</v>
      </c>
      <c r="U1298">
        <v>2</v>
      </c>
      <c r="V1298">
        <v>2</v>
      </c>
      <c r="W1298">
        <v>2</v>
      </c>
      <c r="X1298">
        <v>2</v>
      </c>
      <c r="Y1298">
        <f>IF(HR_data[[#This Row],[Attrition]]= "Yes",1,0)</f>
        <v>0</v>
      </c>
    </row>
    <row r="1299" spans="1:25">
      <c r="A1299">
        <v>1298</v>
      </c>
      <c r="B1299" t="s">
        <v>33</v>
      </c>
      <c r="C1299" t="s">
        <v>51</v>
      </c>
      <c r="D1299" t="s">
        <v>43</v>
      </c>
      <c r="E1299" t="s">
        <v>36</v>
      </c>
      <c r="F1299" t="s">
        <v>45</v>
      </c>
      <c r="G1299">
        <v>1</v>
      </c>
      <c r="H1299" t="s">
        <v>37</v>
      </c>
      <c r="I1299" t="s">
        <v>38</v>
      </c>
      <c r="J1299" t="s">
        <v>48</v>
      </c>
      <c r="K1299" t="s">
        <v>24</v>
      </c>
      <c r="L1299">
        <v>31</v>
      </c>
      <c r="M1299">
        <v>3</v>
      </c>
      <c r="N1299" t="s">
        <v>32</v>
      </c>
      <c r="O1299">
        <v>3</v>
      </c>
      <c r="P1299">
        <v>1</v>
      </c>
      <c r="Q1299">
        <v>1</v>
      </c>
      <c r="R1299">
        <v>3065</v>
      </c>
      <c r="S1299">
        <v>4</v>
      </c>
      <c r="T1299">
        <v>4</v>
      </c>
      <c r="U1299">
        <v>4</v>
      </c>
      <c r="V1299">
        <v>2</v>
      </c>
      <c r="W1299">
        <v>2</v>
      </c>
      <c r="X1299">
        <v>3</v>
      </c>
      <c r="Y1299">
        <f>IF(HR_data[[#This Row],[Attrition]]= "Yes",1,0)</f>
        <v>0</v>
      </c>
    </row>
    <row r="1300" spans="1:25">
      <c r="A1300">
        <v>1299</v>
      </c>
      <c r="B1300" t="s">
        <v>33</v>
      </c>
      <c r="C1300" t="s">
        <v>51</v>
      </c>
      <c r="D1300" t="s">
        <v>26</v>
      </c>
      <c r="E1300" t="s">
        <v>36</v>
      </c>
      <c r="F1300" t="s">
        <v>28</v>
      </c>
      <c r="G1300">
        <v>1</v>
      </c>
      <c r="H1300" t="s">
        <v>37</v>
      </c>
      <c r="I1300" t="s">
        <v>42</v>
      </c>
      <c r="J1300" t="s">
        <v>39</v>
      </c>
      <c r="K1300" t="s">
        <v>24</v>
      </c>
      <c r="L1300">
        <v>39</v>
      </c>
      <c r="M1300">
        <v>1</v>
      </c>
      <c r="N1300" t="s">
        <v>47</v>
      </c>
      <c r="O1300">
        <v>4</v>
      </c>
      <c r="P1300">
        <v>2</v>
      </c>
      <c r="Q1300">
        <v>4</v>
      </c>
      <c r="R1300">
        <v>6472</v>
      </c>
      <c r="S1300">
        <v>9</v>
      </c>
      <c r="T1300">
        <v>3</v>
      </c>
      <c r="U1300">
        <v>9</v>
      </c>
      <c r="V1300">
        <v>8</v>
      </c>
      <c r="W1300">
        <v>5</v>
      </c>
      <c r="X1300">
        <v>8</v>
      </c>
      <c r="Y1300">
        <f>IF(HR_data[[#This Row],[Attrition]]= "Yes",1,0)</f>
        <v>0</v>
      </c>
    </row>
    <row r="1301" spans="1:25">
      <c r="A1301">
        <v>1300</v>
      </c>
      <c r="B1301" t="s">
        <v>33</v>
      </c>
      <c r="C1301" t="s">
        <v>51</v>
      </c>
      <c r="D1301" t="s">
        <v>43</v>
      </c>
      <c r="E1301" t="s">
        <v>27</v>
      </c>
      <c r="F1301" t="s">
        <v>28</v>
      </c>
      <c r="G1301">
        <v>1</v>
      </c>
      <c r="H1301" t="s">
        <v>37</v>
      </c>
      <c r="I1301" t="s">
        <v>30</v>
      </c>
      <c r="J1301" t="s">
        <v>48</v>
      </c>
      <c r="K1301" t="s">
        <v>24</v>
      </c>
      <c r="L1301">
        <v>34</v>
      </c>
      <c r="M1301">
        <v>10</v>
      </c>
      <c r="N1301" t="s">
        <v>47</v>
      </c>
      <c r="O1301">
        <v>4</v>
      </c>
      <c r="P1301">
        <v>2</v>
      </c>
      <c r="Q1301">
        <v>3</v>
      </c>
      <c r="R1301">
        <v>4001</v>
      </c>
      <c r="S1301">
        <v>15</v>
      </c>
      <c r="T1301">
        <v>3</v>
      </c>
      <c r="U1301">
        <v>15</v>
      </c>
      <c r="V1301">
        <v>14</v>
      </c>
      <c r="W1301">
        <v>0</v>
      </c>
      <c r="X1301">
        <v>7</v>
      </c>
      <c r="Y1301">
        <f>IF(HR_data[[#This Row],[Attrition]]= "Yes",1,0)</f>
        <v>0</v>
      </c>
    </row>
    <row r="1302" spans="1:25">
      <c r="A1302">
        <v>1301</v>
      </c>
      <c r="B1302" t="s">
        <v>33</v>
      </c>
      <c r="C1302" t="s">
        <v>34</v>
      </c>
      <c r="D1302" t="s">
        <v>26</v>
      </c>
      <c r="E1302" t="s">
        <v>59</v>
      </c>
      <c r="F1302" t="s">
        <v>60</v>
      </c>
      <c r="G1302">
        <v>1</v>
      </c>
      <c r="H1302" t="s">
        <v>37</v>
      </c>
      <c r="I1302" t="s">
        <v>60</v>
      </c>
      <c r="J1302" t="s">
        <v>39</v>
      </c>
      <c r="K1302" t="s">
        <v>24</v>
      </c>
      <c r="L1302">
        <v>44</v>
      </c>
      <c r="M1302">
        <v>1</v>
      </c>
      <c r="N1302" t="s">
        <v>58</v>
      </c>
      <c r="O1302">
        <v>1</v>
      </c>
      <c r="P1302">
        <v>2</v>
      </c>
      <c r="Q1302">
        <v>4</v>
      </c>
      <c r="R1302">
        <v>5743</v>
      </c>
      <c r="S1302">
        <v>14</v>
      </c>
      <c r="T1302">
        <v>3</v>
      </c>
      <c r="U1302">
        <v>10</v>
      </c>
      <c r="V1302">
        <v>7</v>
      </c>
      <c r="W1302">
        <v>0</v>
      </c>
      <c r="X1302">
        <v>2</v>
      </c>
      <c r="Y1302">
        <f>IF(HR_data[[#This Row],[Attrition]]= "Yes",1,0)</f>
        <v>0</v>
      </c>
    </row>
    <row r="1303" spans="1:25">
      <c r="A1303">
        <v>1302</v>
      </c>
      <c r="B1303" t="s">
        <v>33</v>
      </c>
      <c r="C1303" t="s">
        <v>34</v>
      </c>
      <c r="D1303" t="s">
        <v>26</v>
      </c>
      <c r="E1303" t="s">
        <v>59</v>
      </c>
      <c r="F1303" t="s">
        <v>41</v>
      </c>
      <c r="G1303">
        <v>1</v>
      </c>
      <c r="H1303" t="s">
        <v>37</v>
      </c>
      <c r="I1303" t="s">
        <v>60</v>
      </c>
      <c r="J1303" t="s">
        <v>39</v>
      </c>
      <c r="K1303" t="s">
        <v>24</v>
      </c>
      <c r="L1303">
        <v>38</v>
      </c>
      <c r="M1303">
        <v>1</v>
      </c>
      <c r="N1303" t="s">
        <v>44</v>
      </c>
      <c r="O1303">
        <v>4</v>
      </c>
      <c r="P1303">
        <v>1</v>
      </c>
      <c r="Q1303">
        <v>2</v>
      </c>
      <c r="R1303">
        <v>2991</v>
      </c>
      <c r="S1303">
        <v>7</v>
      </c>
      <c r="T1303">
        <v>3</v>
      </c>
      <c r="U1303">
        <v>6</v>
      </c>
      <c r="V1303">
        <v>2</v>
      </c>
      <c r="W1303">
        <v>1</v>
      </c>
      <c r="X1303">
        <v>2</v>
      </c>
      <c r="Y1303">
        <f>IF(HR_data[[#This Row],[Attrition]]= "Yes",1,0)</f>
        <v>0</v>
      </c>
    </row>
    <row r="1304" spans="1:25">
      <c r="A1304">
        <v>1303</v>
      </c>
      <c r="B1304" t="s">
        <v>33</v>
      </c>
      <c r="C1304" t="s">
        <v>34</v>
      </c>
      <c r="D1304" t="s">
        <v>46</v>
      </c>
      <c r="E1304" t="s">
        <v>36</v>
      </c>
      <c r="F1304" t="s">
        <v>28</v>
      </c>
      <c r="G1304">
        <v>1</v>
      </c>
      <c r="H1304" t="s">
        <v>37</v>
      </c>
      <c r="I1304" t="s">
        <v>55</v>
      </c>
      <c r="J1304" t="s">
        <v>39</v>
      </c>
      <c r="K1304" t="s">
        <v>24</v>
      </c>
      <c r="L1304">
        <v>58</v>
      </c>
      <c r="M1304">
        <v>15</v>
      </c>
      <c r="N1304" t="s">
        <v>44</v>
      </c>
      <c r="O1304">
        <v>1</v>
      </c>
      <c r="P1304">
        <v>4</v>
      </c>
      <c r="Q1304">
        <v>3</v>
      </c>
      <c r="R1304">
        <v>15787</v>
      </c>
      <c r="S1304">
        <v>23</v>
      </c>
      <c r="T1304">
        <v>3</v>
      </c>
      <c r="U1304">
        <v>2</v>
      </c>
      <c r="V1304">
        <v>2</v>
      </c>
      <c r="W1304">
        <v>2</v>
      </c>
      <c r="X1304">
        <v>2</v>
      </c>
      <c r="Y1304">
        <f>IF(HR_data[[#This Row],[Attrition]]= "Yes",1,0)</f>
        <v>0</v>
      </c>
    </row>
    <row r="1305" spans="1:25">
      <c r="A1305">
        <v>1304</v>
      </c>
      <c r="B1305" t="s">
        <v>33</v>
      </c>
      <c r="C1305" t="s">
        <v>34</v>
      </c>
      <c r="D1305" t="s">
        <v>43</v>
      </c>
      <c r="E1305" t="s">
        <v>36</v>
      </c>
      <c r="F1305" t="s">
        <v>41</v>
      </c>
      <c r="G1305">
        <v>1</v>
      </c>
      <c r="H1305" t="s">
        <v>37</v>
      </c>
      <c r="I1305" t="s">
        <v>38</v>
      </c>
      <c r="J1305" t="s">
        <v>39</v>
      </c>
      <c r="K1305" t="s">
        <v>24</v>
      </c>
      <c r="L1305">
        <v>34</v>
      </c>
      <c r="M1305">
        <v>22</v>
      </c>
      <c r="N1305" t="s">
        <v>44</v>
      </c>
      <c r="O1305">
        <v>3</v>
      </c>
      <c r="P1305">
        <v>2</v>
      </c>
      <c r="Q1305">
        <v>4</v>
      </c>
      <c r="R1305">
        <v>5747</v>
      </c>
      <c r="S1305">
        <v>16</v>
      </c>
      <c r="T1305">
        <v>3</v>
      </c>
      <c r="U1305">
        <v>15</v>
      </c>
      <c r="V1305">
        <v>10</v>
      </c>
      <c r="W1305">
        <v>6</v>
      </c>
      <c r="X1305">
        <v>11</v>
      </c>
      <c r="Y1305">
        <f>IF(HR_data[[#This Row],[Attrition]]= "Yes",1,0)</f>
        <v>0</v>
      </c>
    </row>
    <row r="1306" spans="1:25">
      <c r="A1306">
        <v>1305</v>
      </c>
      <c r="B1306" t="s">
        <v>33</v>
      </c>
      <c r="C1306" t="s">
        <v>34</v>
      </c>
      <c r="D1306" t="s">
        <v>26</v>
      </c>
      <c r="E1306" t="s">
        <v>36</v>
      </c>
      <c r="F1306" t="s">
        <v>28</v>
      </c>
      <c r="G1306">
        <v>1</v>
      </c>
      <c r="H1306" t="s">
        <v>37</v>
      </c>
      <c r="I1306" t="s">
        <v>42</v>
      </c>
      <c r="J1306" t="s">
        <v>39</v>
      </c>
      <c r="K1306" t="s">
        <v>24</v>
      </c>
      <c r="L1306">
        <v>36</v>
      </c>
      <c r="M1306">
        <v>6</v>
      </c>
      <c r="N1306" t="s">
        <v>44</v>
      </c>
      <c r="O1306">
        <v>1</v>
      </c>
      <c r="P1306">
        <v>2</v>
      </c>
      <c r="Q1306">
        <v>1</v>
      </c>
      <c r="R1306">
        <v>5562</v>
      </c>
      <c r="S1306">
        <v>9</v>
      </c>
      <c r="T1306">
        <v>3</v>
      </c>
      <c r="U1306">
        <v>3</v>
      </c>
      <c r="V1306">
        <v>2</v>
      </c>
      <c r="W1306">
        <v>0</v>
      </c>
      <c r="X1306">
        <v>2</v>
      </c>
      <c r="Y1306">
        <f>IF(HR_data[[#This Row],[Attrition]]= "Yes",1,0)</f>
        <v>0</v>
      </c>
    </row>
    <row r="1307" spans="1:25">
      <c r="A1307">
        <v>1306</v>
      </c>
      <c r="B1307" t="s">
        <v>33</v>
      </c>
      <c r="C1307" t="s">
        <v>34</v>
      </c>
      <c r="D1307" t="s">
        <v>35</v>
      </c>
      <c r="E1307" t="s">
        <v>36</v>
      </c>
      <c r="F1307" t="s">
        <v>45</v>
      </c>
      <c r="G1307">
        <v>1</v>
      </c>
      <c r="H1307" t="s">
        <v>37</v>
      </c>
      <c r="I1307" t="s">
        <v>50</v>
      </c>
      <c r="J1307" t="s">
        <v>39</v>
      </c>
      <c r="K1307" t="s">
        <v>24</v>
      </c>
      <c r="L1307">
        <v>50</v>
      </c>
      <c r="M1307">
        <v>20</v>
      </c>
      <c r="N1307" t="s">
        <v>58</v>
      </c>
      <c r="O1307">
        <v>2</v>
      </c>
      <c r="P1307">
        <v>4</v>
      </c>
      <c r="Q1307">
        <v>3</v>
      </c>
      <c r="R1307">
        <v>11245</v>
      </c>
      <c r="S1307">
        <v>32</v>
      </c>
      <c r="T1307">
        <v>3</v>
      </c>
      <c r="U1307">
        <v>30</v>
      </c>
      <c r="V1307">
        <v>8</v>
      </c>
      <c r="W1307">
        <v>12</v>
      </c>
      <c r="X1307">
        <v>13</v>
      </c>
      <c r="Y1307">
        <f>IF(HR_data[[#This Row],[Attrition]]= "Yes",1,0)</f>
        <v>0</v>
      </c>
    </row>
    <row r="1308" spans="1:25">
      <c r="A1308">
        <v>1307</v>
      </c>
      <c r="B1308" t="s">
        <v>33</v>
      </c>
      <c r="C1308" t="s">
        <v>34</v>
      </c>
      <c r="D1308" t="s">
        <v>26</v>
      </c>
      <c r="E1308" t="s">
        <v>36</v>
      </c>
      <c r="F1308" t="s">
        <v>28</v>
      </c>
      <c r="G1308">
        <v>1</v>
      </c>
      <c r="H1308" t="s">
        <v>37</v>
      </c>
      <c r="I1308" t="s">
        <v>50</v>
      </c>
      <c r="J1308" t="s">
        <v>39</v>
      </c>
      <c r="K1308" t="s">
        <v>24</v>
      </c>
      <c r="L1308">
        <v>42</v>
      </c>
      <c r="M1308">
        <v>2</v>
      </c>
      <c r="N1308" t="s">
        <v>47</v>
      </c>
      <c r="O1308">
        <v>4</v>
      </c>
      <c r="P1308">
        <v>3</v>
      </c>
      <c r="Q1308">
        <v>4</v>
      </c>
      <c r="R1308">
        <v>10124</v>
      </c>
      <c r="S1308">
        <v>24</v>
      </c>
      <c r="T1308">
        <v>1</v>
      </c>
      <c r="U1308">
        <v>20</v>
      </c>
      <c r="V1308">
        <v>8</v>
      </c>
      <c r="W1308">
        <v>13</v>
      </c>
      <c r="X1308">
        <v>9</v>
      </c>
      <c r="Y1308">
        <f>IF(HR_data[[#This Row],[Attrition]]= "Yes",1,0)</f>
        <v>0</v>
      </c>
    </row>
    <row r="1309" spans="1:25">
      <c r="A1309">
        <v>1308</v>
      </c>
      <c r="B1309" t="s">
        <v>33</v>
      </c>
      <c r="C1309" t="s">
        <v>34</v>
      </c>
      <c r="D1309" t="s">
        <v>26</v>
      </c>
      <c r="E1309" t="s">
        <v>36</v>
      </c>
      <c r="F1309" t="s">
        <v>28</v>
      </c>
      <c r="G1309">
        <v>1</v>
      </c>
      <c r="H1309" t="s">
        <v>37</v>
      </c>
      <c r="I1309" t="s">
        <v>50</v>
      </c>
      <c r="J1309" t="s">
        <v>39</v>
      </c>
      <c r="K1309" t="s">
        <v>24</v>
      </c>
      <c r="L1309">
        <v>35</v>
      </c>
      <c r="M1309">
        <v>18</v>
      </c>
      <c r="N1309" t="s">
        <v>44</v>
      </c>
      <c r="O1309">
        <v>3</v>
      </c>
      <c r="P1309">
        <v>2</v>
      </c>
      <c r="Q1309">
        <v>3</v>
      </c>
      <c r="R1309">
        <v>5689</v>
      </c>
      <c r="S1309">
        <v>10</v>
      </c>
      <c r="T1309">
        <v>4</v>
      </c>
      <c r="U1309">
        <v>10</v>
      </c>
      <c r="V1309">
        <v>2</v>
      </c>
      <c r="W1309">
        <v>0</v>
      </c>
      <c r="X1309">
        <v>2</v>
      </c>
      <c r="Y1309">
        <f>IF(HR_data[[#This Row],[Attrition]]= "Yes",1,0)</f>
        <v>0</v>
      </c>
    </row>
    <row r="1310" spans="1:25">
      <c r="A1310">
        <v>1309</v>
      </c>
      <c r="B1310" t="s">
        <v>33</v>
      </c>
      <c r="C1310" t="s">
        <v>34</v>
      </c>
      <c r="D1310" t="s">
        <v>26</v>
      </c>
      <c r="E1310" t="s">
        <v>36</v>
      </c>
      <c r="F1310" t="s">
        <v>45</v>
      </c>
      <c r="G1310">
        <v>1</v>
      </c>
      <c r="H1310" t="s">
        <v>37</v>
      </c>
      <c r="I1310" t="s">
        <v>38</v>
      </c>
      <c r="J1310" t="s">
        <v>31</v>
      </c>
      <c r="K1310" t="s">
        <v>24</v>
      </c>
      <c r="L1310">
        <v>35</v>
      </c>
      <c r="M1310">
        <v>2</v>
      </c>
      <c r="N1310" t="s">
        <v>44</v>
      </c>
      <c r="O1310">
        <v>1</v>
      </c>
      <c r="P1310">
        <v>1</v>
      </c>
      <c r="Q1310">
        <v>4</v>
      </c>
      <c r="R1310">
        <v>4930</v>
      </c>
      <c r="S1310">
        <v>6</v>
      </c>
      <c r="T1310">
        <v>4</v>
      </c>
      <c r="U1310">
        <v>5</v>
      </c>
      <c r="V1310">
        <v>4</v>
      </c>
      <c r="W1310">
        <v>1</v>
      </c>
      <c r="X1310">
        <v>4</v>
      </c>
      <c r="Y1310">
        <f>IF(HR_data[[#This Row],[Attrition]]= "Yes",1,0)</f>
        <v>0</v>
      </c>
    </row>
    <row r="1311" spans="1:25">
      <c r="A1311">
        <v>1310</v>
      </c>
      <c r="B1311" t="s">
        <v>33</v>
      </c>
      <c r="C1311" t="s">
        <v>34</v>
      </c>
      <c r="D1311" t="s">
        <v>26</v>
      </c>
      <c r="E1311" t="s">
        <v>36</v>
      </c>
      <c r="F1311" t="s">
        <v>45</v>
      </c>
      <c r="G1311">
        <v>1</v>
      </c>
      <c r="H1311" t="s">
        <v>37</v>
      </c>
      <c r="I1311" t="s">
        <v>49</v>
      </c>
      <c r="J1311" t="s">
        <v>31</v>
      </c>
      <c r="K1311" t="s">
        <v>24</v>
      </c>
      <c r="L1311">
        <v>44</v>
      </c>
      <c r="M1311">
        <v>2</v>
      </c>
      <c r="N1311" t="s">
        <v>40</v>
      </c>
      <c r="O1311">
        <v>2</v>
      </c>
      <c r="P1311">
        <v>3</v>
      </c>
      <c r="Q1311">
        <v>3</v>
      </c>
      <c r="R1311">
        <v>10209</v>
      </c>
      <c r="S1311">
        <v>16</v>
      </c>
      <c r="T1311">
        <v>2</v>
      </c>
      <c r="U1311">
        <v>2</v>
      </c>
      <c r="V1311">
        <v>2</v>
      </c>
      <c r="W1311">
        <v>2</v>
      </c>
      <c r="X1311">
        <v>2</v>
      </c>
      <c r="Y1311">
        <f>IF(HR_data[[#This Row],[Attrition]]= "Yes",1,0)</f>
        <v>0</v>
      </c>
    </row>
    <row r="1312" spans="1:25">
      <c r="A1312">
        <v>1311</v>
      </c>
      <c r="B1312" t="s">
        <v>33</v>
      </c>
      <c r="C1312" t="s">
        <v>34</v>
      </c>
      <c r="D1312" t="s">
        <v>35</v>
      </c>
      <c r="E1312" t="s">
        <v>36</v>
      </c>
      <c r="F1312" t="s">
        <v>45</v>
      </c>
      <c r="G1312">
        <v>1</v>
      </c>
      <c r="H1312" t="s">
        <v>37</v>
      </c>
      <c r="I1312" t="s">
        <v>55</v>
      </c>
      <c r="J1312" t="s">
        <v>31</v>
      </c>
      <c r="K1312" t="s">
        <v>24</v>
      </c>
      <c r="L1312">
        <v>50</v>
      </c>
      <c r="M1312">
        <v>22</v>
      </c>
      <c r="N1312" t="s">
        <v>58</v>
      </c>
      <c r="O1312">
        <v>3</v>
      </c>
      <c r="P1312">
        <v>4</v>
      </c>
      <c r="Q1312">
        <v>4</v>
      </c>
      <c r="R1312">
        <v>14411</v>
      </c>
      <c r="S1312">
        <v>32</v>
      </c>
      <c r="T1312">
        <v>3</v>
      </c>
      <c r="U1312">
        <v>32</v>
      </c>
      <c r="V1312">
        <v>6</v>
      </c>
      <c r="W1312">
        <v>13</v>
      </c>
      <c r="X1312">
        <v>9</v>
      </c>
      <c r="Y1312">
        <f>IF(HR_data[[#This Row],[Attrition]]= "Yes",1,0)</f>
        <v>0</v>
      </c>
    </row>
    <row r="1313" spans="1:25">
      <c r="A1313">
        <v>1312</v>
      </c>
      <c r="B1313" t="s">
        <v>33</v>
      </c>
      <c r="C1313" t="s">
        <v>34</v>
      </c>
      <c r="D1313" t="s">
        <v>43</v>
      </c>
      <c r="E1313" t="s">
        <v>36</v>
      </c>
      <c r="F1313" t="s">
        <v>28</v>
      </c>
      <c r="G1313">
        <v>1</v>
      </c>
      <c r="H1313" t="s">
        <v>37</v>
      </c>
      <c r="I1313" t="s">
        <v>50</v>
      </c>
      <c r="J1313" t="s">
        <v>31</v>
      </c>
      <c r="K1313" t="s">
        <v>24</v>
      </c>
      <c r="L1313">
        <v>29</v>
      </c>
      <c r="M1313">
        <v>1</v>
      </c>
      <c r="N1313" t="s">
        <v>47</v>
      </c>
      <c r="O1313">
        <v>4</v>
      </c>
      <c r="P1313">
        <v>2</v>
      </c>
      <c r="Q1313">
        <v>3</v>
      </c>
      <c r="R1313">
        <v>6294</v>
      </c>
      <c r="S1313">
        <v>10</v>
      </c>
      <c r="T1313">
        <v>4</v>
      </c>
      <c r="U1313">
        <v>3</v>
      </c>
      <c r="V1313">
        <v>2</v>
      </c>
      <c r="W1313">
        <v>0</v>
      </c>
      <c r="X1313">
        <v>2</v>
      </c>
      <c r="Y1313">
        <f>IF(HR_data[[#This Row],[Attrition]]= "Yes",1,0)</f>
        <v>0</v>
      </c>
    </row>
    <row r="1314" spans="1:25">
      <c r="A1314">
        <v>1313</v>
      </c>
      <c r="B1314" t="s">
        <v>33</v>
      </c>
      <c r="C1314" t="s">
        <v>34</v>
      </c>
      <c r="D1314" t="s">
        <v>43</v>
      </c>
      <c r="E1314" t="s">
        <v>27</v>
      </c>
      <c r="F1314" t="s">
        <v>28</v>
      </c>
      <c r="G1314">
        <v>1</v>
      </c>
      <c r="H1314" t="s">
        <v>37</v>
      </c>
      <c r="I1314" t="s">
        <v>30</v>
      </c>
      <c r="J1314" t="s">
        <v>39</v>
      </c>
      <c r="K1314" t="s">
        <v>24</v>
      </c>
      <c r="L1314">
        <v>28</v>
      </c>
      <c r="M1314">
        <v>1</v>
      </c>
      <c r="N1314" t="s">
        <v>32</v>
      </c>
      <c r="O1314">
        <v>3</v>
      </c>
      <c r="P1314">
        <v>2</v>
      </c>
      <c r="Q1314">
        <v>4</v>
      </c>
      <c r="R1314">
        <v>6834</v>
      </c>
      <c r="S1314">
        <v>7</v>
      </c>
      <c r="T1314">
        <v>3</v>
      </c>
      <c r="U1314">
        <v>7</v>
      </c>
      <c r="V1314">
        <v>7</v>
      </c>
      <c r="W1314">
        <v>0</v>
      </c>
      <c r="X1314">
        <v>7</v>
      </c>
      <c r="Y1314">
        <f>IF(HR_data[[#This Row],[Attrition]]= "Yes",1,0)</f>
        <v>0</v>
      </c>
    </row>
    <row r="1315" spans="1:25">
      <c r="A1315">
        <v>1314</v>
      </c>
      <c r="B1315" t="s">
        <v>33</v>
      </c>
      <c r="C1315" t="s">
        <v>25</v>
      </c>
      <c r="D1315" t="s">
        <v>46</v>
      </c>
      <c r="E1315" t="s">
        <v>59</v>
      </c>
      <c r="F1315" t="s">
        <v>60</v>
      </c>
      <c r="G1315">
        <v>1</v>
      </c>
      <c r="H1315" t="s">
        <v>37</v>
      </c>
      <c r="I1315" t="s">
        <v>53</v>
      </c>
      <c r="J1315" t="s">
        <v>39</v>
      </c>
      <c r="K1315" t="s">
        <v>24</v>
      </c>
      <c r="L1315">
        <v>55</v>
      </c>
      <c r="M1315">
        <v>26</v>
      </c>
      <c r="N1315" t="s">
        <v>44</v>
      </c>
      <c r="O1315">
        <v>3</v>
      </c>
      <c r="P1315">
        <v>5</v>
      </c>
      <c r="Q1315">
        <v>2</v>
      </c>
      <c r="R1315">
        <v>19636</v>
      </c>
      <c r="S1315">
        <v>35</v>
      </c>
      <c r="T1315">
        <v>3</v>
      </c>
      <c r="U1315">
        <v>10</v>
      </c>
      <c r="V1315">
        <v>9</v>
      </c>
      <c r="W1315">
        <v>1</v>
      </c>
      <c r="X1315">
        <v>4</v>
      </c>
      <c r="Y1315">
        <f>IF(HR_data[[#This Row],[Attrition]]= "Yes",1,0)</f>
        <v>0</v>
      </c>
    </row>
    <row r="1316" spans="1:25">
      <c r="A1316">
        <v>1315</v>
      </c>
      <c r="B1316" t="s">
        <v>33</v>
      </c>
      <c r="C1316" t="s">
        <v>25</v>
      </c>
      <c r="D1316" t="s">
        <v>35</v>
      </c>
      <c r="E1316" t="s">
        <v>36</v>
      </c>
      <c r="F1316" t="s">
        <v>45</v>
      </c>
      <c r="G1316">
        <v>1</v>
      </c>
      <c r="H1316" t="s">
        <v>37</v>
      </c>
      <c r="I1316" t="s">
        <v>50</v>
      </c>
      <c r="J1316" t="s">
        <v>48</v>
      </c>
      <c r="K1316" t="s">
        <v>24</v>
      </c>
      <c r="L1316">
        <v>45</v>
      </c>
      <c r="M1316">
        <v>20</v>
      </c>
      <c r="N1316" t="s">
        <v>47</v>
      </c>
      <c r="O1316">
        <v>2</v>
      </c>
      <c r="P1316">
        <v>3</v>
      </c>
      <c r="Q1316">
        <v>1</v>
      </c>
      <c r="R1316">
        <v>10851</v>
      </c>
      <c r="S1316">
        <v>24</v>
      </c>
      <c r="T1316">
        <v>3</v>
      </c>
      <c r="U1316">
        <v>7</v>
      </c>
      <c r="V1316">
        <v>7</v>
      </c>
      <c r="W1316">
        <v>0</v>
      </c>
      <c r="X1316">
        <v>7</v>
      </c>
      <c r="Y1316">
        <f>IF(HR_data[[#This Row],[Attrition]]= "Yes",1,0)</f>
        <v>0</v>
      </c>
    </row>
    <row r="1317" spans="1:25">
      <c r="A1317">
        <v>1316</v>
      </c>
      <c r="B1317" t="s">
        <v>33</v>
      </c>
      <c r="C1317" t="s">
        <v>25</v>
      </c>
      <c r="D1317" t="s">
        <v>35</v>
      </c>
      <c r="E1317" t="s">
        <v>36</v>
      </c>
      <c r="F1317" t="s">
        <v>45</v>
      </c>
      <c r="G1317">
        <v>1</v>
      </c>
      <c r="H1317" t="s">
        <v>37</v>
      </c>
      <c r="I1317" t="s">
        <v>55</v>
      </c>
      <c r="J1317" t="s">
        <v>48</v>
      </c>
      <c r="K1317" t="s">
        <v>24</v>
      </c>
      <c r="L1317">
        <v>46</v>
      </c>
      <c r="M1317">
        <v>2</v>
      </c>
      <c r="N1317" t="s">
        <v>44</v>
      </c>
      <c r="O1317">
        <v>3</v>
      </c>
      <c r="P1317">
        <v>5</v>
      </c>
      <c r="Q1317">
        <v>4</v>
      </c>
      <c r="R1317">
        <v>19328</v>
      </c>
      <c r="S1317">
        <v>24</v>
      </c>
      <c r="T1317">
        <v>3</v>
      </c>
      <c r="U1317">
        <v>2</v>
      </c>
      <c r="V1317">
        <v>1</v>
      </c>
      <c r="W1317">
        <v>2</v>
      </c>
      <c r="X1317">
        <v>2</v>
      </c>
      <c r="Y1317">
        <f>IF(HR_data[[#This Row],[Attrition]]= "Yes",1,0)</f>
        <v>0</v>
      </c>
    </row>
    <row r="1318" spans="1:25">
      <c r="A1318">
        <v>1317</v>
      </c>
      <c r="B1318" t="s">
        <v>33</v>
      </c>
      <c r="C1318" t="s">
        <v>25</v>
      </c>
      <c r="D1318" t="s">
        <v>26</v>
      </c>
      <c r="E1318" t="s">
        <v>36</v>
      </c>
      <c r="F1318" t="s">
        <v>28</v>
      </c>
      <c r="G1318">
        <v>1</v>
      </c>
      <c r="H1318" t="s">
        <v>37</v>
      </c>
      <c r="I1318" t="s">
        <v>38</v>
      </c>
      <c r="J1318" t="s">
        <v>48</v>
      </c>
      <c r="K1318" t="s">
        <v>24</v>
      </c>
      <c r="L1318">
        <v>42</v>
      </c>
      <c r="M1318">
        <v>18</v>
      </c>
      <c r="N1318" t="s">
        <v>44</v>
      </c>
      <c r="O1318">
        <v>4</v>
      </c>
      <c r="P1318">
        <v>2</v>
      </c>
      <c r="Q1318">
        <v>1</v>
      </c>
      <c r="R1318">
        <v>5410</v>
      </c>
      <c r="S1318">
        <v>9</v>
      </c>
      <c r="T1318">
        <v>2</v>
      </c>
      <c r="U1318">
        <v>4</v>
      </c>
      <c r="V1318">
        <v>3</v>
      </c>
      <c r="W1318">
        <v>1</v>
      </c>
      <c r="X1318">
        <v>2</v>
      </c>
      <c r="Y1318">
        <f>IF(HR_data[[#This Row],[Attrition]]= "Yes",1,0)</f>
        <v>0</v>
      </c>
    </row>
    <row r="1319" spans="1:25">
      <c r="A1319">
        <v>1318</v>
      </c>
      <c r="B1319" t="s">
        <v>33</v>
      </c>
      <c r="C1319" t="s">
        <v>25</v>
      </c>
      <c r="D1319" t="s">
        <v>43</v>
      </c>
      <c r="E1319" t="s">
        <v>36</v>
      </c>
      <c r="F1319" t="s">
        <v>41</v>
      </c>
      <c r="G1319">
        <v>1</v>
      </c>
      <c r="H1319" t="s">
        <v>37</v>
      </c>
      <c r="I1319" t="s">
        <v>42</v>
      </c>
      <c r="J1319" t="s">
        <v>48</v>
      </c>
      <c r="K1319" t="s">
        <v>24</v>
      </c>
      <c r="L1319">
        <v>25</v>
      </c>
      <c r="M1319">
        <v>2</v>
      </c>
      <c r="N1319" t="s">
        <v>40</v>
      </c>
      <c r="O1319">
        <v>4</v>
      </c>
      <c r="P1319">
        <v>1</v>
      </c>
      <c r="Q1319">
        <v>3</v>
      </c>
      <c r="R1319">
        <v>3977</v>
      </c>
      <c r="S1319">
        <v>7</v>
      </c>
      <c r="T1319">
        <v>2</v>
      </c>
      <c r="U1319">
        <v>2</v>
      </c>
      <c r="V1319">
        <v>2</v>
      </c>
      <c r="W1319">
        <v>0</v>
      </c>
      <c r="X1319">
        <v>2</v>
      </c>
      <c r="Y1319">
        <f>IF(HR_data[[#This Row],[Attrition]]= "Yes",1,0)</f>
        <v>0</v>
      </c>
    </row>
    <row r="1320" spans="1:25">
      <c r="A1320">
        <v>1319</v>
      </c>
      <c r="B1320" t="s">
        <v>33</v>
      </c>
      <c r="C1320" t="s">
        <v>25</v>
      </c>
      <c r="D1320" t="s">
        <v>26</v>
      </c>
      <c r="E1320" t="s">
        <v>36</v>
      </c>
      <c r="F1320" t="s">
        <v>45</v>
      </c>
      <c r="G1320">
        <v>1</v>
      </c>
      <c r="H1320" t="s">
        <v>37</v>
      </c>
      <c r="I1320" t="s">
        <v>38</v>
      </c>
      <c r="J1320" t="s">
        <v>39</v>
      </c>
      <c r="K1320" t="s">
        <v>24</v>
      </c>
      <c r="L1320">
        <v>41</v>
      </c>
      <c r="M1320">
        <v>5</v>
      </c>
      <c r="N1320" t="s">
        <v>58</v>
      </c>
      <c r="O1320">
        <v>2</v>
      </c>
      <c r="P1320">
        <v>1</v>
      </c>
      <c r="Q1320">
        <v>3</v>
      </c>
      <c r="R1320">
        <v>2127</v>
      </c>
      <c r="S1320">
        <v>7</v>
      </c>
      <c r="T1320">
        <v>2</v>
      </c>
      <c r="U1320">
        <v>4</v>
      </c>
      <c r="V1320">
        <v>2</v>
      </c>
      <c r="W1320">
        <v>0</v>
      </c>
      <c r="X1320">
        <v>3</v>
      </c>
      <c r="Y1320">
        <f>IF(HR_data[[#This Row],[Attrition]]= "Yes",1,0)</f>
        <v>0</v>
      </c>
    </row>
    <row r="1321" spans="1:25">
      <c r="A1321">
        <v>1320</v>
      </c>
      <c r="B1321" t="s">
        <v>33</v>
      </c>
      <c r="C1321" t="s">
        <v>25</v>
      </c>
      <c r="D1321" t="s">
        <v>46</v>
      </c>
      <c r="E1321" t="s">
        <v>36</v>
      </c>
      <c r="F1321" t="s">
        <v>28</v>
      </c>
      <c r="G1321">
        <v>1</v>
      </c>
      <c r="H1321" t="s">
        <v>37</v>
      </c>
      <c r="I1321" t="s">
        <v>50</v>
      </c>
      <c r="J1321" t="s">
        <v>39</v>
      </c>
      <c r="K1321" t="s">
        <v>24</v>
      </c>
      <c r="L1321">
        <v>55</v>
      </c>
      <c r="M1321">
        <v>4</v>
      </c>
      <c r="N1321" t="s">
        <v>44</v>
      </c>
      <c r="O1321">
        <v>4</v>
      </c>
      <c r="P1321">
        <v>2</v>
      </c>
      <c r="Q1321">
        <v>3</v>
      </c>
      <c r="R1321">
        <v>4035</v>
      </c>
      <c r="S1321">
        <v>4</v>
      </c>
      <c r="T1321">
        <v>3</v>
      </c>
      <c r="U1321">
        <v>3</v>
      </c>
      <c r="V1321">
        <v>2</v>
      </c>
      <c r="W1321">
        <v>1</v>
      </c>
      <c r="X1321">
        <v>2</v>
      </c>
      <c r="Y1321">
        <f>IF(HR_data[[#This Row],[Attrition]]= "Yes",1,0)</f>
        <v>0</v>
      </c>
    </row>
    <row r="1322" spans="1:25">
      <c r="A1322">
        <v>1321</v>
      </c>
      <c r="B1322" t="s">
        <v>33</v>
      </c>
      <c r="C1322" t="s">
        <v>25</v>
      </c>
      <c r="D1322" t="s">
        <v>26</v>
      </c>
      <c r="E1322" t="s">
        <v>36</v>
      </c>
      <c r="F1322" t="s">
        <v>45</v>
      </c>
      <c r="G1322">
        <v>1</v>
      </c>
      <c r="H1322" t="s">
        <v>37</v>
      </c>
      <c r="I1322" t="s">
        <v>50</v>
      </c>
      <c r="J1322" t="s">
        <v>39</v>
      </c>
      <c r="K1322" t="s">
        <v>24</v>
      </c>
      <c r="L1322">
        <v>38</v>
      </c>
      <c r="M1322">
        <v>18</v>
      </c>
      <c r="N1322" t="s">
        <v>47</v>
      </c>
      <c r="O1322">
        <v>2</v>
      </c>
      <c r="P1322">
        <v>2</v>
      </c>
      <c r="Q1322">
        <v>4</v>
      </c>
      <c r="R1322">
        <v>5811</v>
      </c>
      <c r="S1322">
        <v>15</v>
      </c>
      <c r="T1322">
        <v>3</v>
      </c>
      <c r="U1322">
        <v>1</v>
      </c>
      <c r="V1322">
        <v>0</v>
      </c>
      <c r="W1322">
        <v>1</v>
      </c>
      <c r="X1322">
        <v>0</v>
      </c>
      <c r="Y1322">
        <f>IF(HR_data[[#This Row],[Attrition]]= "Yes",1,0)</f>
        <v>0</v>
      </c>
    </row>
    <row r="1323" spans="1:25">
      <c r="A1323">
        <v>1322</v>
      </c>
      <c r="B1323" t="s">
        <v>33</v>
      </c>
      <c r="C1323" t="s">
        <v>25</v>
      </c>
      <c r="D1323" t="s">
        <v>43</v>
      </c>
      <c r="E1323" t="s">
        <v>36</v>
      </c>
      <c r="F1323" t="s">
        <v>28</v>
      </c>
      <c r="G1323">
        <v>1</v>
      </c>
      <c r="H1323" t="s">
        <v>37</v>
      </c>
      <c r="I1323" t="s">
        <v>42</v>
      </c>
      <c r="J1323" t="s">
        <v>39</v>
      </c>
      <c r="K1323" t="s">
        <v>24</v>
      </c>
      <c r="L1323">
        <v>33</v>
      </c>
      <c r="M1323">
        <v>28</v>
      </c>
      <c r="N1323" t="s">
        <v>44</v>
      </c>
      <c r="O1323">
        <v>2</v>
      </c>
      <c r="P1323">
        <v>2</v>
      </c>
      <c r="Q1323">
        <v>3</v>
      </c>
      <c r="R1323">
        <v>5207</v>
      </c>
      <c r="S1323">
        <v>15</v>
      </c>
      <c r="T1323">
        <v>3</v>
      </c>
      <c r="U1323">
        <v>15</v>
      </c>
      <c r="V1323">
        <v>14</v>
      </c>
      <c r="W1323">
        <v>5</v>
      </c>
      <c r="X1323">
        <v>7</v>
      </c>
      <c r="Y1323">
        <f>IF(HR_data[[#This Row],[Attrition]]= "Yes",1,0)</f>
        <v>0</v>
      </c>
    </row>
    <row r="1324" spans="1:25">
      <c r="A1324">
        <v>1323</v>
      </c>
      <c r="B1324" t="s">
        <v>33</v>
      </c>
      <c r="C1324" t="s">
        <v>25</v>
      </c>
      <c r="D1324" t="s">
        <v>43</v>
      </c>
      <c r="E1324" t="s">
        <v>36</v>
      </c>
      <c r="F1324" t="s">
        <v>41</v>
      </c>
      <c r="G1324">
        <v>1</v>
      </c>
      <c r="H1324" t="s">
        <v>37</v>
      </c>
      <c r="I1324" t="s">
        <v>42</v>
      </c>
      <c r="J1324" t="s">
        <v>39</v>
      </c>
      <c r="K1324" t="s">
        <v>24</v>
      </c>
      <c r="L1324">
        <v>29</v>
      </c>
      <c r="M1324">
        <v>13</v>
      </c>
      <c r="N1324" t="s">
        <v>32</v>
      </c>
      <c r="O1324">
        <v>4</v>
      </c>
      <c r="P1324">
        <v>2</v>
      </c>
      <c r="Q1324">
        <v>2</v>
      </c>
      <c r="R1324">
        <v>4025</v>
      </c>
      <c r="S1324">
        <v>10</v>
      </c>
      <c r="T1324">
        <v>3</v>
      </c>
      <c r="U1324">
        <v>4</v>
      </c>
      <c r="V1324">
        <v>3</v>
      </c>
      <c r="W1324">
        <v>0</v>
      </c>
      <c r="X1324">
        <v>3</v>
      </c>
      <c r="Y1324">
        <f>IF(HR_data[[#This Row],[Attrition]]= "Yes",1,0)</f>
        <v>0</v>
      </c>
    </row>
    <row r="1325" spans="1:25">
      <c r="A1325">
        <v>1324</v>
      </c>
      <c r="B1325" t="s">
        <v>33</v>
      </c>
      <c r="C1325" t="s">
        <v>25</v>
      </c>
      <c r="D1325" t="s">
        <v>26</v>
      </c>
      <c r="E1325" t="s">
        <v>36</v>
      </c>
      <c r="F1325" t="s">
        <v>28</v>
      </c>
      <c r="G1325">
        <v>1</v>
      </c>
      <c r="H1325" t="s">
        <v>37</v>
      </c>
      <c r="I1325" t="s">
        <v>50</v>
      </c>
      <c r="J1325" t="s">
        <v>39</v>
      </c>
      <c r="K1325" t="s">
        <v>24</v>
      </c>
      <c r="L1325">
        <v>36</v>
      </c>
      <c r="M1325">
        <v>10</v>
      </c>
      <c r="N1325" t="s">
        <v>47</v>
      </c>
      <c r="O1325">
        <v>4</v>
      </c>
      <c r="P1325">
        <v>3</v>
      </c>
      <c r="Q1325">
        <v>1</v>
      </c>
      <c r="R1325">
        <v>8321</v>
      </c>
      <c r="S1325">
        <v>15</v>
      </c>
      <c r="T1325">
        <v>3</v>
      </c>
      <c r="U1325">
        <v>12</v>
      </c>
      <c r="V1325">
        <v>8</v>
      </c>
      <c r="W1325">
        <v>5</v>
      </c>
      <c r="X1325">
        <v>7</v>
      </c>
      <c r="Y1325">
        <f>IF(HR_data[[#This Row],[Attrition]]= "Yes",1,0)</f>
        <v>0</v>
      </c>
    </row>
    <row r="1326" spans="1:25">
      <c r="A1326">
        <v>1325</v>
      </c>
      <c r="B1326" t="s">
        <v>33</v>
      </c>
      <c r="C1326" t="s">
        <v>25</v>
      </c>
      <c r="D1326" t="s">
        <v>26</v>
      </c>
      <c r="E1326" t="s">
        <v>36</v>
      </c>
      <c r="F1326" t="s">
        <v>45</v>
      </c>
      <c r="G1326">
        <v>1</v>
      </c>
      <c r="H1326" t="s">
        <v>37</v>
      </c>
      <c r="I1326" t="s">
        <v>42</v>
      </c>
      <c r="J1326" t="s">
        <v>39</v>
      </c>
      <c r="K1326" t="s">
        <v>24</v>
      </c>
      <c r="L1326">
        <v>35</v>
      </c>
      <c r="M1326">
        <v>11</v>
      </c>
      <c r="N1326" t="s">
        <v>44</v>
      </c>
      <c r="O1326">
        <v>4</v>
      </c>
      <c r="P1326">
        <v>1</v>
      </c>
      <c r="Q1326">
        <v>3</v>
      </c>
      <c r="R1326">
        <v>2660</v>
      </c>
      <c r="S1326">
        <v>5</v>
      </c>
      <c r="T1326">
        <v>3</v>
      </c>
      <c r="U1326">
        <v>2</v>
      </c>
      <c r="V1326">
        <v>2</v>
      </c>
      <c r="W1326">
        <v>2</v>
      </c>
      <c r="X1326">
        <v>2</v>
      </c>
      <c r="Y1326">
        <f>IF(HR_data[[#This Row],[Attrition]]= "Yes",1,0)</f>
        <v>0</v>
      </c>
    </row>
    <row r="1327" spans="1:25">
      <c r="A1327">
        <v>1326</v>
      </c>
      <c r="B1327" t="s">
        <v>33</v>
      </c>
      <c r="C1327" t="s">
        <v>25</v>
      </c>
      <c r="D1327" t="s">
        <v>35</v>
      </c>
      <c r="E1327" t="s">
        <v>36</v>
      </c>
      <c r="F1327" t="s">
        <v>57</v>
      </c>
      <c r="G1327">
        <v>1</v>
      </c>
      <c r="H1327" t="s">
        <v>37</v>
      </c>
      <c r="I1327" t="s">
        <v>49</v>
      </c>
      <c r="J1327" t="s">
        <v>39</v>
      </c>
      <c r="K1327" t="s">
        <v>24</v>
      </c>
      <c r="L1327">
        <v>45</v>
      </c>
      <c r="M1327">
        <v>29</v>
      </c>
      <c r="N1327" t="s">
        <v>47</v>
      </c>
      <c r="O1327">
        <v>2</v>
      </c>
      <c r="P1327">
        <v>3</v>
      </c>
      <c r="Q1327">
        <v>4</v>
      </c>
      <c r="R1327">
        <v>9380</v>
      </c>
      <c r="S1327">
        <v>10</v>
      </c>
      <c r="T1327">
        <v>4</v>
      </c>
      <c r="U1327">
        <v>3</v>
      </c>
      <c r="V1327">
        <v>1</v>
      </c>
      <c r="W1327">
        <v>1</v>
      </c>
      <c r="X1327">
        <v>2</v>
      </c>
      <c r="Y1327">
        <f>IF(HR_data[[#This Row],[Attrition]]= "Yes",1,0)</f>
        <v>0</v>
      </c>
    </row>
    <row r="1328" spans="1:25">
      <c r="A1328">
        <v>1327</v>
      </c>
      <c r="B1328" t="s">
        <v>33</v>
      </c>
      <c r="C1328" t="s">
        <v>25</v>
      </c>
      <c r="D1328" t="s">
        <v>43</v>
      </c>
      <c r="E1328" t="s">
        <v>36</v>
      </c>
      <c r="F1328" t="s">
        <v>45</v>
      </c>
      <c r="G1328">
        <v>1</v>
      </c>
      <c r="H1328" t="s">
        <v>37</v>
      </c>
      <c r="I1328" t="s">
        <v>38</v>
      </c>
      <c r="J1328" t="s">
        <v>39</v>
      </c>
      <c r="K1328" t="s">
        <v>24</v>
      </c>
      <c r="L1328">
        <v>34</v>
      </c>
      <c r="M1328">
        <v>2</v>
      </c>
      <c r="N1328" t="s">
        <v>44</v>
      </c>
      <c r="O1328">
        <v>4</v>
      </c>
      <c r="P1328">
        <v>1</v>
      </c>
      <c r="Q1328">
        <v>4</v>
      </c>
      <c r="R1328">
        <v>2932</v>
      </c>
      <c r="S1328">
        <v>6</v>
      </c>
      <c r="T1328">
        <v>3</v>
      </c>
      <c r="U1328">
        <v>5</v>
      </c>
      <c r="V1328">
        <v>0</v>
      </c>
      <c r="W1328">
        <v>1</v>
      </c>
      <c r="X1328">
        <v>2</v>
      </c>
      <c r="Y1328">
        <f>IF(HR_data[[#This Row],[Attrition]]= "Yes",1,0)</f>
        <v>0</v>
      </c>
    </row>
    <row r="1329" spans="1:25">
      <c r="A1329">
        <v>1328</v>
      </c>
      <c r="B1329" t="s">
        <v>33</v>
      </c>
      <c r="C1329" t="s">
        <v>25</v>
      </c>
      <c r="D1329" t="s">
        <v>43</v>
      </c>
      <c r="E1329" t="s">
        <v>36</v>
      </c>
      <c r="F1329" t="s">
        <v>45</v>
      </c>
      <c r="G1329">
        <v>1</v>
      </c>
      <c r="H1329" t="s">
        <v>37</v>
      </c>
      <c r="I1329" t="s">
        <v>42</v>
      </c>
      <c r="J1329" t="s">
        <v>31</v>
      </c>
      <c r="K1329" t="s">
        <v>24</v>
      </c>
      <c r="L1329">
        <v>29</v>
      </c>
      <c r="M1329">
        <v>3</v>
      </c>
      <c r="N1329" t="s">
        <v>40</v>
      </c>
      <c r="O1329">
        <v>2</v>
      </c>
      <c r="P1329">
        <v>1</v>
      </c>
      <c r="Q1329">
        <v>1</v>
      </c>
      <c r="R1329">
        <v>4723</v>
      </c>
      <c r="S1329">
        <v>10</v>
      </c>
      <c r="T1329">
        <v>3</v>
      </c>
      <c r="U1329">
        <v>10</v>
      </c>
      <c r="V1329">
        <v>9</v>
      </c>
      <c r="W1329">
        <v>1</v>
      </c>
      <c r="X1329">
        <v>5</v>
      </c>
      <c r="Y1329">
        <f>IF(HR_data[[#This Row],[Attrition]]= "Yes",1,0)</f>
        <v>0</v>
      </c>
    </row>
    <row r="1330" spans="1:25">
      <c r="A1330">
        <v>1329</v>
      </c>
      <c r="B1330" t="s">
        <v>33</v>
      </c>
      <c r="C1330" t="s">
        <v>25</v>
      </c>
      <c r="D1330" t="s">
        <v>26</v>
      </c>
      <c r="E1330" t="s">
        <v>36</v>
      </c>
      <c r="F1330" t="s">
        <v>45</v>
      </c>
      <c r="G1330">
        <v>1</v>
      </c>
      <c r="H1330" t="s">
        <v>37</v>
      </c>
      <c r="I1330" t="s">
        <v>38</v>
      </c>
      <c r="J1330" t="s">
        <v>31</v>
      </c>
      <c r="K1330" t="s">
        <v>24</v>
      </c>
      <c r="L1330">
        <v>44</v>
      </c>
      <c r="M1330">
        <v>1</v>
      </c>
      <c r="N1330" t="s">
        <v>47</v>
      </c>
      <c r="O1330">
        <v>2</v>
      </c>
      <c r="P1330">
        <v>1</v>
      </c>
      <c r="Q1330">
        <v>4</v>
      </c>
      <c r="R1330">
        <v>2436</v>
      </c>
      <c r="S1330">
        <v>6</v>
      </c>
      <c r="T1330">
        <v>3</v>
      </c>
      <c r="U1330">
        <v>4</v>
      </c>
      <c r="V1330">
        <v>3</v>
      </c>
      <c r="W1330">
        <v>1</v>
      </c>
      <c r="X1330">
        <v>2</v>
      </c>
      <c r="Y1330">
        <f>IF(HR_data[[#This Row],[Attrition]]= "Yes",1,0)</f>
        <v>0</v>
      </c>
    </row>
    <row r="1331" spans="1:25">
      <c r="A1331">
        <v>1330</v>
      </c>
      <c r="B1331" t="s">
        <v>33</v>
      </c>
      <c r="C1331" t="s">
        <v>25</v>
      </c>
      <c r="D1331" t="s">
        <v>43</v>
      </c>
      <c r="E1331" t="s">
        <v>36</v>
      </c>
      <c r="F1331" t="s">
        <v>28</v>
      </c>
      <c r="G1331">
        <v>1</v>
      </c>
      <c r="H1331" t="s">
        <v>37</v>
      </c>
      <c r="I1331" t="s">
        <v>50</v>
      </c>
      <c r="J1331" t="s">
        <v>31</v>
      </c>
      <c r="K1331" t="s">
        <v>24</v>
      </c>
      <c r="L1331">
        <v>33</v>
      </c>
      <c r="M1331">
        <v>8</v>
      </c>
      <c r="N1331" t="s">
        <v>58</v>
      </c>
      <c r="O1331">
        <v>4</v>
      </c>
      <c r="P1331">
        <v>2</v>
      </c>
      <c r="Q1331">
        <v>3</v>
      </c>
      <c r="R1331">
        <v>6388</v>
      </c>
      <c r="S1331">
        <v>14</v>
      </c>
      <c r="T1331">
        <v>3</v>
      </c>
      <c r="U1331">
        <v>0</v>
      </c>
      <c r="V1331">
        <v>0</v>
      </c>
      <c r="W1331">
        <v>0</v>
      </c>
      <c r="X1331">
        <v>0</v>
      </c>
      <c r="Y1331">
        <f>IF(HR_data[[#This Row],[Attrition]]= "Yes",1,0)</f>
        <v>0</v>
      </c>
    </row>
    <row r="1332" spans="1:25">
      <c r="A1332">
        <v>1331</v>
      </c>
      <c r="B1332" t="s">
        <v>33</v>
      </c>
      <c r="C1332" t="s">
        <v>25</v>
      </c>
      <c r="D1332" t="s">
        <v>43</v>
      </c>
      <c r="E1332" t="s">
        <v>27</v>
      </c>
      <c r="F1332" t="s">
        <v>45</v>
      </c>
      <c r="G1332">
        <v>1</v>
      </c>
      <c r="H1332" t="s">
        <v>37</v>
      </c>
      <c r="I1332" t="s">
        <v>30</v>
      </c>
      <c r="J1332" t="s">
        <v>48</v>
      </c>
      <c r="K1332" t="s">
        <v>24</v>
      </c>
      <c r="L1332">
        <v>29</v>
      </c>
      <c r="M1332">
        <v>5</v>
      </c>
      <c r="N1332" t="s">
        <v>47</v>
      </c>
      <c r="O1332">
        <v>1</v>
      </c>
      <c r="P1332">
        <v>2</v>
      </c>
      <c r="Q1332">
        <v>2</v>
      </c>
      <c r="R1332">
        <v>4187</v>
      </c>
      <c r="S1332">
        <v>10</v>
      </c>
      <c r="T1332">
        <v>2</v>
      </c>
      <c r="U1332">
        <v>10</v>
      </c>
      <c r="V1332">
        <v>0</v>
      </c>
      <c r="W1332">
        <v>0</v>
      </c>
      <c r="X1332">
        <v>9</v>
      </c>
      <c r="Y1332">
        <f>IF(HR_data[[#This Row],[Attrition]]= "Yes",1,0)</f>
        <v>0</v>
      </c>
    </row>
    <row r="1333" spans="1:25">
      <c r="A1333">
        <v>1332</v>
      </c>
      <c r="B1333" t="s">
        <v>33</v>
      </c>
      <c r="C1333" t="s">
        <v>25</v>
      </c>
      <c r="D1333" t="s">
        <v>35</v>
      </c>
      <c r="E1333" t="s">
        <v>27</v>
      </c>
      <c r="F1333" t="s">
        <v>28</v>
      </c>
      <c r="G1333">
        <v>1</v>
      </c>
      <c r="H1333" t="s">
        <v>37</v>
      </c>
      <c r="I1333" t="s">
        <v>30</v>
      </c>
      <c r="J1333" t="s">
        <v>48</v>
      </c>
      <c r="K1333" t="s">
        <v>24</v>
      </c>
      <c r="L1333">
        <v>46</v>
      </c>
      <c r="M1333">
        <v>2</v>
      </c>
      <c r="N1333" t="s">
        <v>47</v>
      </c>
      <c r="O1333">
        <v>3</v>
      </c>
      <c r="P1333">
        <v>3</v>
      </c>
      <c r="Q1333">
        <v>4</v>
      </c>
      <c r="R1333">
        <v>10368</v>
      </c>
      <c r="S1333">
        <v>13</v>
      </c>
      <c r="T1333">
        <v>2</v>
      </c>
      <c r="U1333">
        <v>10</v>
      </c>
      <c r="V1333">
        <v>6</v>
      </c>
      <c r="W1333">
        <v>0</v>
      </c>
      <c r="X1333">
        <v>3</v>
      </c>
      <c r="Y1333">
        <f>IF(HR_data[[#This Row],[Attrition]]= "Yes",1,0)</f>
        <v>0</v>
      </c>
    </row>
    <row r="1334" spans="1:25">
      <c r="A1334">
        <v>1333</v>
      </c>
      <c r="B1334" t="s">
        <v>33</v>
      </c>
      <c r="C1334" t="s">
        <v>25</v>
      </c>
      <c r="D1334" t="s">
        <v>26</v>
      </c>
      <c r="E1334" t="s">
        <v>27</v>
      </c>
      <c r="F1334" t="s">
        <v>56</v>
      </c>
      <c r="G1334">
        <v>1</v>
      </c>
      <c r="H1334" t="s">
        <v>37</v>
      </c>
      <c r="I1334" t="s">
        <v>30</v>
      </c>
      <c r="J1334" t="s">
        <v>48</v>
      </c>
      <c r="K1334" t="s">
        <v>24</v>
      </c>
      <c r="L1334">
        <v>42</v>
      </c>
      <c r="M1334">
        <v>12</v>
      </c>
      <c r="N1334" t="s">
        <v>44</v>
      </c>
      <c r="O1334">
        <v>2</v>
      </c>
      <c r="P1334">
        <v>2</v>
      </c>
      <c r="Q1334">
        <v>4</v>
      </c>
      <c r="R1334">
        <v>5087</v>
      </c>
      <c r="S1334">
        <v>14</v>
      </c>
      <c r="T1334">
        <v>3</v>
      </c>
      <c r="U1334">
        <v>0</v>
      </c>
      <c r="V1334">
        <v>0</v>
      </c>
      <c r="W1334">
        <v>0</v>
      </c>
      <c r="X1334">
        <v>0</v>
      </c>
      <c r="Y1334">
        <f>IF(HR_data[[#This Row],[Attrition]]= "Yes",1,0)</f>
        <v>0</v>
      </c>
    </row>
    <row r="1335" spans="1:25">
      <c r="A1335">
        <v>1334</v>
      </c>
      <c r="B1335" t="s">
        <v>33</v>
      </c>
      <c r="C1335" t="s">
        <v>25</v>
      </c>
      <c r="D1335" t="s">
        <v>43</v>
      </c>
      <c r="E1335" t="s">
        <v>27</v>
      </c>
      <c r="F1335" t="s">
        <v>57</v>
      </c>
      <c r="G1335">
        <v>1</v>
      </c>
      <c r="H1335" t="s">
        <v>37</v>
      </c>
      <c r="I1335" t="s">
        <v>30</v>
      </c>
      <c r="J1335" t="s">
        <v>39</v>
      </c>
      <c r="K1335" t="s">
        <v>24</v>
      </c>
      <c r="L1335">
        <v>34</v>
      </c>
      <c r="M1335">
        <v>1</v>
      </c>
      <c r="N1335" t="s">
        <v>47</v>
      </c>
      <c r="O1335">
        <v>4</v>
      </c>
      <c r="P1335">
        <v>3</v>
      </c>
      <c r="Q1335">
        <v>3</v>
      </c>
      <c r="R1335">
        <v>7083</v>
      </c>
      <c r="S1335">
        <v>10</v>
      </c>
      <c r="T1335">
        <v>3</v>
      </c>
      <c r="U1335">
        <v>10</v>
      </c>
      <c r="V1335">
        <v>9</v>
      </c>
      <c r="W1335">
        <v>8</v>
      </c>
      <c r="X1335">
        <v>6</v>
      </c>
      <c r="Y1335">
        <f>IF(HR_data[[#This Row],[Attrition]]= "Yes",1,0)</f>
        <v>0</v>
      </c>
    </row>
    <row r="1336" spans="1:25">
      <c r="A1336">
        <v>1335</v>
      </c>
      <c r="B1336" t="s">
        <v>33</v>
      </c>
      <c r="C1336" t="s">
        <v>25</v>
      </c>
      <c r="D1336" t="s">
        <v>35</v>
      </c>
      <c r="E1336" t="s">
        <v>27</v>
      </c>
      <c r="F1336" t="s">
        <v>56</v>
      </c>
      <c r="G1336">
        <v>1</v>
      </c>
      <c r="H1336" t="s">
        <v>37</v>
      </c>
      <c r="I1336" t="s">
        <v>53</v>
      </c>
      <c r="J1336" t="s">
        <v>39</v>
      </c>
      <c r="K1336" t="s">
        <v>24</v>
      </c>
      <c r="L1336">
        <v>50</v>
      </c>
      <c r="M1336">
        <v>9</v>
      </c>
      <c r="N1336" t="s">
        <v>47</v>
      </c>
      <c r="O1336">
        <v>3</v>
      </c>
      <c r="P1336">
        <v>5</v>
      </c>
      <c r="Q1336">
        <v>3</v>
      </c>
      <c r="R1336">
        <v>19331</v>
      </c>
      <c r="S1336">
        <v>27</v>
      </c>
      <c r="T1336">
        <v>3</v>
      </c>
      <c r="U1336">
        <v>1</v>
      </c>
      <c r="V1336">
        <v>0</v>
      </c>
      <c r="W1336">
        <v>0</v>
      </c>
      <c r="X1336">
        <v>0</v>
      </c>
      <c r="Y1336">
        <f>IF(HR_data[[#This Row],[Attrition]]= "Yes",1,0)</f>
        <v>0</v>
      </c>
    </row>
    <row r="1337" spans="1:25">
      <c r="A1337">
        <v>1336</v>
      </c>
      <c r="B1337" t="s">
        <v>33</v>
      </c>
      <c r="C1337" t="s">
        <v>25</v>
      </c>
      <c r="D1337" t="s">
        <v>26</v>
      </c>
      <c r="E1337" t="s">
        <v>27</v>
      </c>
      <c r="F1337" t="s">
        <v>45</v>
      </c>
      <c r="G1337">
        <v>1</v>
      </c>
      <c r="H1337" t="s">
        <v>37</v>
      </c>
      <c r="I1337" t="s">
        <v>30</v>
      </c>
      <c r="J1337" t="s">
        <v>39</v>
      </c>
      <c r="K1337" t="s">
        <v>24</v>
      </c>
      <c r="L1337">
        <v>43</v>
      </c>
      <c r="M1337">
        <v>2</v>
      </c>
      <c r="N1337" t="s">
        <v>47</v>
      </c>
      <c r="O1337">
        <v>4</v>
      </c>
      <c r="P1337">
        <v>2</v>
      </c>
      <c r="Q1337">
        <v>4</v>
      </c>
      <c r="R1337">
        <v>7847</v>
      </c>
      <c r="S1337">
        <v>10</v>
      </c>
      <c r="T1337">
        <v>3</v>
      </c>
      <c r="U1337">
        <v>10</v>
      </c>
      <c r="V1337">
        <v>9</v>
      </c>
      <c r="W1337">
        <v>8</v>
      </c>
      <c r="X1337">
        <v>8</v>
      </c>
      <c r="Y1337">
        <f>IF(HR_data[[#This Row],[Attrition]]= "Yes",1,0)</f>
        <v>0</v>
      </c>
    </row>
    <row r="1338" spans="1:25">
      <c r="A1338">
        <v>1337</v>
      </c>
      <c r="B1338" t="s">
        <v>33</v>
      </c>
      <c r="C1338" t="s">
        <v>25</v>
      </c>
      <c r="D1338" t="s">
        <v>43</v>
      </c>
      <c r="E1338" t="s">
        <v>27</v>
      </c>
      <c r="F1338" t="s">
        <v>28</v>
      </c>
      <c r="G1338">
        <v>1</v>
      </c>
      <c r="H1338" t="s">
        <v>37</v>
      </c>
      <c r="I1338" t="s">
        <v>30</v>
      </c>
      <c r="J1338" t="s">
        <v>39</v>
      </c>
      <c r="K1338" t="s">
        <v>24</v>
      </c>
      <c r="L1338">
        <v>34</v>
      </c>
      <c r="M1338">
        <v>4</v>
      </c>
      <c r="N1338" t="s">
        <v>47</v>
      </c>
      <c r="O1338">
        <v>3</v>
      </c>
      <c r="P1338">
        <v>3</v>
      </c>
      <c r="Q1338">
        <v>4</v>
      </c>
      <c r="R1338">
        <v>9713</v>
      </c>
      <c r="S1338">
        <v>9</v>
      </c>
      <c r="T1338">
        <v>3</v>
      </c>
      <c r="U1338">
        <v>5</v>
      </c>
      <c r="V1338">
        <v>3</v>
      </c>
      <c r="W1338">
        <v>1</v>
      </c>
      <c r="X1338">
        <v>0</v>
      </c>
      <c r="Y1338">
        <f>IF(HR_data[[#This Row],[Attrition]]= "Yes",1,0)</f>
        <v>0</v>
      </c>
    </row>
    <row r="1339" spans="1:25">
      <c r="A1339">
        <v>1338</v>
      </c>
      <c r="B1339" t="s">
        <v>33</v>
      </c>
      <c r="C1339" t="s">
        <v>25</v>
      </c>
      <c r="D1339" t="s">
        <v>52</v>
      </c>
      <c r="E1339" t="s">
        <v>27</v>
      </c>
      <c r="F1339" t="s">
        <v>45</v>
      </c>
      <c r="G1339">
        <v>1</v>
      </c>
      <c r="H1339" t="s">
        <v>37</v>
      </c>
      <c r="I1339" t="s">
        <v>54</v>
      </c>
      <c r="J1339" t="s">
        <v>31</v>
      </c>
      <c r="K1339" t="s">
        <v>24</v>
      </c>
      <c r="L1339">
        <v>21</v>
      </c>
      <c r="M1339">
        <v>5</v>
      </c>
      <c r="N1339" t="s">
        <v>40</v>
      </c>
      <c r="O1339">
        <v>3</v>
      </c>
      <c r="P1339">
        <v>1</v>
      </c>
      <c r="Q1339">
        <v>1</v>
      </c>
      <c r="R1339">
        <v>2380</v>
      </c>
      <c r="S1339">
        <v>2</v>
      </c>
      <c r="T1339">
        <v>3</v>
      </c>
      <c r="U1339">
        <v>2</v>
      </c>
      <c r="V1339">
        <v>2</v>
      </c>
      <c r="W1339">
        <v>1</v>
      </c>
      <c r="X1339">
        <v>2</v>
      </c>
      <c r="Y1339">
        <f>IF(HR_data[[#This Row],[Attrition]]= "Yes",1,0)</f>
        <v>0</v>
      </c>
    </row>
    <row r="1340" spans="1:25">
      <c r="A1340">
        <v>1339</v>
      </c>
      <c r="B1340" t="s">
        <v>33</v>
      </c>
      <c r="C1340" t="s">
        <v>25</v>
      </c>
      <c r="D1340" t="s">
        <v>26</v>
      </c>
      <c r="E1340" t="s">
        <v>27</v>
      </c>
      <c r="F1340" t="s">
        <v>28</v>
      </c>
      <c r="G1340">
        <v>1</v>
      </c>
      <c r="H1340" t="s">
        <v>37</v>
      </c>
      <c r="I1340" t="s">
        <v>30</v>
      </c>
      <c r="J1340" t="s">
        <v>31</v>
      </c>
      <c r="K1340" t="s">
        <v>24</v>
      </c>
      <c r="L1340">
        <v>41</v>
      </c>
      <c r="M1340">
        <v>23</v>
      </c>
      <c r="N1340" t="s">
        <v>32</v>
      </c>
      <c r="O1340">
        <v>4</v>
      </c>
      <c r="P1340">
        <v>3</v>
      </c>
      <c r="Q1340">
        <v>3</v>
      </c>
      <c r="R1340">
        <v>7082</v>
      </c>
      <c r="S1340">
        <v>21</v>
      </c>
      <c r="T1340">
        <v>3</v>
      </c>
      <c r="U1340">
        <v>2</v>
      </c>
      <c r="V1340">
        <v>0</v>
      </c>
      <c r="W1340">
        <v>0</v>
      </c>
      <c r="X1340">
        <v>2</v>
      </c>
      <c r="Y1340">
        <f>IF(HR_data[[#This Row],[Attrition]]= "Yes",1,0)</f>
        <v>0</v>
      </c>
    </row>
    <row r="1341" spans="1:25">
      <c r="A1341">
        <v>1340</v>
      </c>
      <c r="B1341" t="s">
        <v>33</v>
      </c>
      <c r="C1341" t="s">
        <v>51</v>
      </c>
      <c r="D1341" t="s">
        <v>43</v>
      </c>
      <c r="E1341" t="s">
        <v>36</v>
      </c>
      <c r="F1341" t="s">
        <v>45</v>
      </c>
      <c r="G1341">
        <v>1</v>
      </c>
      <c r="H1341" t="s">
        <v>29</v>
      </c>
      <c r="I1341" t="s">
        <v>55</v>
      </c>
      <c r="J1341" t="s">
        <v>39</v>
      </c>
      <c r="K1341" t="s">
        <v>33</v>
      </c>
      <c r="L1341">
        <v>31</v>
      </c>
      <c r="M1341">
        <v>10</v>
      </c>
      <c r="N1341" t="s">
        <v>47</v>
      </c>
      <c r="O1341">
        <v>3</v>
      </c>
      <c r="P1341">
        <v>3</v>
      </c>
      <c r="Q1341">
        <v>3</v>
      </c>
      <c r="R1341">
        <v>11031</v>
      </c>
      <c r="S1341">
        <v>13</v>
      </c>
      <c r="T1341">
        <v>4</v>
      </c>
      <c r="U1341">
        <v>11</v>
      </c>
      <c r="V1341">
        <v>7</v>
      </c>
      <c r="W1341">
        <v>4</v>
      </c>
      <c r="X1341">
        <v>8</v>
      </c>
      <c r="Y1341">
        <f>IF(HR_data[[#This Row],[Attrition]]= "Yes",1,0)</f>
        <v>0</v>
      </c>
    </row>
    <row r="1342" spans="1:25">
      <c r="A1342">
        <v>1341</v>
      </c>
      <c r="B1342" t="s">
        <v>33</v>
      </c>
      <c r="C1342" t="s">
        <v>51</v>
      </c>
      <c r="D1342" t="s">
        <v>35</v>
      </c>
      <c r="E1342" t="s">
        <v>27</v>
      </c>
      <c r="F1342" t="s">
        <v>28</v>
      </c>
      <c r="G1342">
        <v>1</v>
      </c>
      <c r="H1342" t="s">
        <v>29</v>
      </c>
      <c r="I1342" t="s">
        <v>30</v>
      </c>
      <c r="J1342" t="s">
        <v>39</v>
      </c>
      <c r="K1342" t="s">
        <v>33</v>
      </c>
      <c r="L1342">
        <v>45</v>
      </c>
      <c r="M1342">
        <v>2</v>
      </c>
      <c r="N1342" t="s">
        <v>44</v>
      </c>
      <c r="O1342">
        <v>3</v>
      </c>
      <c r="P1342">
        <v>2</v>
      </c>
      <c r="Q1342">
        <v>3</v>
      </c>
      <c r="R1342">
        <v>5154</v>
      </c>
      <c r="S1342">
        <v>10</v>
      </c>
      <c r="T1342">
        <v>4</v>
      </c>
      <c r="U1342">
        <v>8</v>
      </c>
      <c r="V1342">
        <v>7</v>
      </c>
      <c r="W1342">
        <v>5</v>
      </c>
      <c r="X1342">
        <v>7</v>
      </c>
      <c r="Y1342">
        <f>IF(HR_data[[#This Row],[Attrition]]= "Yes",1,0)</f>
        <v>0</v>
      </c>
    </row>
    <row r="1343" spans="1:25">
      <c r="A1343">
        <v>1342</v>
      </c>
      <c r="B1343" t="s">
        <v>33</v>
      </c>
      <c r="C1343" t="s">
        <v>34</v>
      </c>
      <c r="D1343" t="s">
        <v>35</v>
      </c>
      <c r="E1343" t="s">
        <v>36</v>
      </c>
      <c r="F1343" t="s">
        <v>45</v>
      </c>
      <c r="G1343">
        <v>1</v>
      </c>
      <c r="H1343" t="s">
        <v>29</v>
      </c>
      <c r="I1343" t="s">
        <v>53</v>
      </c>
      <c r="J1343" t="s">
        <v>48</v>
      </c>
      <c r="K1343" t="s">
        <v>33</v>
      </c>
      <c r="L1343">
        <v>54</v>
      </c>
      <c r="M1343">
        <v>11</v>
      </c>
      <c r="N1343" t="s">
        <v>44</v>
      </c>
      <c r="O1343">
        <v>2</v>
      </c>
      <c r="P1343">
        <v>4</v>
      </c>
      <c r="Q1343">
        <v>4</v>
      </c>
      <c r="R1343">
        <v>16032</v>
      </c>
      <c r="S1343">
        <v>26</v>
      </c>
      <c r="T1343">
        <v>3</v>
      </c>
      <c r="U1343">
        <v>14</v>
      </c>
      <c r="V1343">
        <v>9</v>
      </c>
      <c r="W1343">
        <v>1</v>
      </c>
      <c r="X1343">
        <v>12</v>
      </c>
      <c r="Y1343">
        <f>IF(HR_data[[#This Row],[Attrition]]= "Yes",1,0)</f>
        <v>0</v>
      </c>
    </row>
    <row r="1344" spans="1:25">
      <c r="A1344">
        <v>1343</v>
      </c>
      <c r="B1344" t="s">
        <v>33</v>
      </c>
      <c r="C1344" t="s">
        <v>34</v>
      </c>
      <c r="D1344" t="s">
        <v>26</v>
      </c>
      <c r="E1344" t="s">
        <v>36</v>
      </c>
      <c r="F1344" t="s">
        <v>45</v>
      </c>
      <c r="G1344">
        <v>1</v>
      </c>
      <c r="H1344" t="s">
        <v>29</v>
      </c>
      <c r="I1344" t="s">
        <v>42</v>
      </c>
      <c r="J1344" t="s">
        <v>31</v>
      </c>
      <c r="K1344" t="s">
        <v>33</v>
      </c>
      <c r="L1344">
        <v>38</v>
      </c>
      <c r="M1344">
        <v>2</v>
      </c>
      <c r="N1344" t="s">
        <v>47</v>
      </c>
      <c r="O1344">
        <v>4</v>
      </c>
      <c r="P1344">
        <v>1</v>
      </c>
      <c r="Q1344">
        <v>2</v>
      </c>
      <c r="R1344">
        <v>2440</v>
      </c>
      <c r="S1344">
        <v>4</v>
      </c>
      <c r="T1344">
        <v>3</v>
      </c>
      <c r="U1344">
        <v>4</v>
      </c>
      <c r="V1344">
        <v>3</v>
      </c>
      <c r="W1344">
        <v>3</v>
      </c>
      <c r="X1344">
        <v>3</v>
      </c>
      <c r="Y1344">
        <f>IF(HR_data[[#This Row],[Attrition]]= "Yes",1,0)</f>
        <v>0</v>
      </c>
    </row>
    <row r="1345" spans="1:25">
      <c r="A1345">
        <v>1344</v>
      </c>
      <c r="B1345" t="s">
        <v>33</v>
      </c>
      <c r="C1345" t="s">
        <v>34</v>
      </c>
      <c r="D1345" t="s">
        <v>43</v>
      </c>
      <c r="E1345" t="s">
        <v>36</v>
      </c>
      <c r="F1345" t="s">
        <v>57</v>
      </c>
      <c r="G1345">
        <v>1</v>
      </c>
      <c r="H1345" t="s">
        <v>29</v>
      </c>
      <c r="I1345" t="s">
        <v>49</v>
      </c>
      <c r="J1345" t="s">
        <v>31</v>
      </c>
      <c r="K1345" t="s">
        <v>33</v>
      </c>
      <c r="L1345">
        <v>31</v>
      </c>
      <c r="M1345">
        <v>24</v>
      </c>
      <c r="N1345" t="s">
        <v>40</v>
      </c>
      <c r="O1345">
        <v>4</v>
      </c>
      <c r="P1345">
        <v>2</v>
      </c>
      <c r="Q1345">
        <v>4</v>
      </c>
      <c r="R1345">
        <v>5238</v>
      </c>
      <c r="S1345">
        <v>9</v>
      </c>
      <c r="T1345">
        <v>2</v>
      </c>
      <c r="U1345">
        <v>5</v>
      </c>
      <c r="V1345">
        <v>4</v>
      </c>
      <c r="W1345">
        <v>1</v>
      </c>
      <c r="X1345">
        <v>4</v>
      </c>
      <c r="Y1345">
        <f>IF(HR_data[[#This Row],[Attrition]]= "Yes",1,0)</f>
        <v>0</v>
      </c>
    </row>
    <row r="1346" spans="1:25">
      <c r="A1346">
        <v>1345</v>
      </c>
      <c r="B1346" t="s">
        <v>33</v>
      </c>
      <c r="C1346" t="s">
        <v>25</v>
      </c>
      <c r="D1346" t="s">
        <v>35</v>
      </c>
      <c r="E1346" t="s">
        <v>59</v>
      </c>
      <c r="F1346" t="s">
        <v>28</v>
      </c>
      <c r="G1346">
        <v>1</v>
      </c>
      <c r="H1346" t="s">
        <v>29</v>
      </c>
      <c r="I1346" t="s">
        <v>60</v>
      </c>
      <c r="J1346" t="s">
        <v>39</v>
      </c>
      <c r="K1346" t="s">
        <v>33</v>
      </c>
      <c r="L1346">
        <v>45</v>
      </c>
      <c r="M1346">
        <v>4</v>
      </c>
      <c r="N1346" t="s">
        <v>47</v>
      </c>
      <c r="O1346">
        <v>3</v>
      </c>
      <c r="P1346">
        <v>3</v>
      </c>
      <c r="Q1346">
        <v>3</v>
      </c>
      <c r="R1346">
        <v>9756</v>
      </c>
      <c r="S1346">
        <v>9</v>
      </c>
      <c r="T1346">
        <v>4</v>
      </c>
      <c r="U1346">
        <v>5</v>
      </c>
      <c r="V1346">
        <v>0</v>
      </c>
      <c r="W1346">
        <v>0</v>
      </c>
      <c r="X1346">
        <v>3</v>
      </c>
      <c r="Y1346">
        <f>IF(HR_data[[#This Row],[Attrition]]= "Yes",1,0)</f>
        <v>0</v>
      </c>
    </row>
    <row r="1347" spans="1:25">
      <c r="A1347">
        <v>1346</v>
      </c>
      <c r="B1347" t="s">
        <v>33</v>
      </c>
      <c r="C1347" t="s">
        <v>25</v>
      </c>
      <c r="D1347" t="s">
        <v>43</v>
      </c>
      <c r="E1347" t="s">
        <v>36</v>
      </c>
      <c r="F1347" t="s">
        <v>45</v>
      </c>
      <c r="G1347">
        <v>1</v>
      </c>
      <c r="H1347" t="s">
        <v>29</v>
      </c>
      <c r="I1347" t="s">
        <v>49</v>
      </c>
      <c r="J1347" t="s">
        <v>48</v>
      </c>
      <c r="K1347" t="s">
        <v>33</v>
      </c>
      <c r="L1347">
        <v>28</v>
      </c>
      <c r="M1347">
        <v>27</v>
      </c>
      <c r="N1347" t="s">
        <v>47</v>
      </c>
      <c r="O1347">
        <v>2</v>
      </c>
      <c r="P1347">
        <v>2</v>
      </c>
      <c r="Q1347">
        <v>1</v>
      </c>
      <c r="R1347">
        <v>4877</v>
      </c>
      <c r="S1347">
        <v>6</v>
      </c>
      <c r="T1347">
        <v>2</v>
      </c>
      <c r="U1347">
        <v>5</v>
      </c>
      <c r="V1347">
        <v>3</v>
      </c>
      <c r="W1347">
        <v>0</v>
      </c>
      <c r="X1347">
        <v>0</v>
      </c>
      <c r="Y1347">
        <f>IF(HR_data[[#This Row],[Attrition]]= "Yes",1,0)</f>
        <v>0</v>
      </c>
    </row>
    <row r="1348" spans="1:25">
      <c r="A1348">
        <v>1347</v>
      </c>
      <c r="B1348" t="s">
        <v>33</v>
      </c>
      <c r="C1348" t="s">
        <v>25</v>
      </c>
      <c r="D1348" t="s">
        <v>43</v>
      </c>
      <c r="E1348" t="s">
        <v>36</v>
      </c>
      <c r="F1348" t="s">
        <v>28</v>
      </c>
      <c r="G1348">
        <v>1</v>
      </c>
      <c r="H1348" t="s">
        <v>29</v>
      </c>
      <c r="I1348" t="s">
        <v>38</v>
      </c>
      <c r="J1348" t="s">
        <v>39</v>
      </c>
      <c r="K1348" t="s">
        <v>33</v>
      </c>
      <c r="L1348">
        <v>26</v>
      </c>
      <c r="M1348">
        <v>3</v>
      </c>
      <c r="N1348" t="s">
        <v>47</v>
      </c>
      <c r="O1348">
        <v>1</v>
      </c>
      <c r="P1348">
        <v>1</v>
      </c>
      <c r="Q1348">
        <v>4</v>
      </c>
      <c r="R1348">
        <v>2061</v>
      </c>
      <c r="S1348">
        <v>1</v>
      </c>
      <c r="T1348">
        <v>3</v>
      </c>
      <c r="U1348">
        <v>1</v>
      </c>
      <c r="V1348">
        <v>0</v>
      </c>
      <c r="W1348">
        <v>0</v>
      </c>
      <c r="X1348">
        <v>0</v>
      </c>
      <c r="Y1348">
        <f>IF(HR_data[[#This Row],[Attrition]]= "Yes",1,0)</f>
        <v>0</v>
      </c>
    </row>
    <row r="1349" spans="1:25">
      <c r="A1349">
        <v>1348</v>
      </c>
      <c r="B1349" t="s">
        <v>33</v>
      </c>
      <c r="C1349" t="s">
        <v>25</v>
      </c>
      <c r="D1349" t="s">
        <v>26</v>
      </c>
      <c r="E1349" t="s">
        <v>36</v>
      </c>
      <c r="F1349" t="s">
        <v>28</v>
      </c>
      <c r="G1349">
        <v>1</v>
      </c>
      <c r="H1349" t="s">
        <v>29</v>
      </c>
      <c r="I1349" t="s">
        <v>49</v>
      </c>
      <c r="J1349" t="s">
        <v>39</v>
      </c>
      <c r="K1349" t="s">
        <v>33</v>
      </c>
      <c r="L1349">
        <v>41</v>
      </c>
      <c r="M1349">
        <v>28</v>
      </c>
      <c r="N1349" t="s">
        <v>44</v>
      </c>
      <c r="O1349">
        <v>1</v>
      </c>
      <c r="P1349">
        <v>4</v>
      </c>
      <c r="Q1349">
        <v>2</v>
      </c>
      <c r="R1349">
        <v>13570</v>
      </c>
      <c r="S1349">
        <v>21</v>
      </c>
      <c r="T1349">
        <v>3</v>
      </c>
      <c r="U1349">
        <v>20</v>
      </c>
      <c r="V1349">
        <v>7</v>
      </c>
      <c r="W1349">
        <v>0</v>
      </c>
      <c r="X1349">
        <v>10</v>
      </c>
      <c r="Y1349">
        <f>IF(HR_data[[#This Row],[Attrition]]= "Yes",1,0)</f>
        <v>0</v>
      </c>
    </row>
    <row r="1350" spans="1:25">
      <c r="A1350">
        <v>1349</v>
      </c>
      <c r="B1350" t="s">
        <v>33</v>
      </c>
      <c r="C1350" t="s">
        <v>25</v>
      </c>
      <c r="D1350" t="s">
        <v>46</v>
      </c>
      <c r="E1350" t="s">
        <v>36</v>
      </c>
      <c r="F1350" t="s">
        <v>28</v>
      </c>
      <c r="G1350">
        <v>1</v>
      </c>
      <c r="H1350" t="s">
        <v>29</v>
      </c>
      <c r="I1350" t="s">
        <v>38</v>
      </c>
      <c r="J1350" t="s">
        <v>39</v>
      </c>
      <c r="K1350" t="s">
        <v>33</v>
      </c>
      <c r="L1350">
        <v>56</v>
      </c>
      <c r="M1350">
        <v>1</v>
      </c>
      <c r="N1350" t="s">
        <v>32</v>
      </c>
      <c r="O1350">
        <v>1</v>
      </c>
      <c r="P1350">
        <v>1</v>
      </c>
      <c r="Q1350">
        <v>1</v>
      </c>
      <c r="R1350">
        <v>2066</v>
      </c>
      <c r="S1350">
        <v>5</v>
      </c>
      <c r="T1350">
        <v>4</v>
      </c>
      <c r="U1350">
        <v>3</v>
      </c>
      <c r="V1350">
        <v>2</v>
      </c>
      <c r="W1350">
        <v>1</v>
      </c>
      <c r="X1350">
        <v>0</v>
      </c>
      <c r="Y1350">
        <f>IF(HR_data[[#This Row],[Attrition]]= "Yes",1,0)</f>
        <v>0</v>
      </c>
    </row>
    <row r="1351" spans="1:25">
      <c r="A1351">
        <v>1350</v>
      </c>
      <c r="B1351" t="s">
        <v>33</v>
      </c>
      <c r="C1351" t="s">
        <v>25</v>
      </c>
      <c r="D1351" t="s">
        <v>35</v>
      </c>
      <c r="E1351" t="s">
        <v>36</v>
      </c>
      <c r="F1351" t="s">
        <v>45</v>
      </c>
      <c r="G1351">
        <v>1</v>
      </c>
      <c r="H1351" t="s">
        <v>29</v>
      </c>
      <c r="I1351" t="s">
        <v>53</v>
      </c>
      <c r="J1351" t="s">
        <v>39</v>
      </c>
      <c r="K1351" t="s">
        <v>33</v>
      </c>
      <c r="L1351">
        <v>54</v>
      </c>
      <c r="M1351">
        <v>22</v>
      </c>
      <c r="N1351" t="s">
        <v>58</v>
      </c>
      <c r="O1351">
        <v>2</v>
      </c>
      <c r="P1351">
        <v>4</v>
      </c>
      <c r="Q1351">
        <v>3</v>
      </c>
      <c r="R1351">
        <v>17426</v>
      </c>
      <c r="S1351">
        <v>36</v>
      </c>
      <c r="T1351">
        <v>3</v>
      </c>
      <c r="U1351">
        <v>10</v>
      </c>
      <c r="V1351">
        <v>8</v>
      </c>
      <c r="W1351">
        <v>4</v>
      </c>
      <c r="X1351">
        <v>7</v>
      </c>
      <c r="Y1351">
        <f>IF(HR_data[[#This Row],[Attrition]]= "Yes",1,0)</f>
        <v>0</v>
      </c>
    </row>
    <row r="1352" spans="1:25">
      <c r="A1352">
        <v>1351</v>
      </c>
      <c r="B1352" t="s">
        <v>33</v>
      </c>
      <c r="C1352" t="s">
        <v>25</v>
      </c>
      <c r="D1352" t="s">
        <v>35</v>
      </c>
      <c r="E1352" t="s">
        <v>36</v>
      </c>
      <c r="F1352" t="s">
        <v>45</v>
      </c>
      <c r="G1352">
        <v>1</v>
      </c>
      <c r="H1352" t="s">
        <v>29</v>
      </c>
      <c r="I1352" t="s">
        <v>42</v>
      </c>
      <c r="J1352" t="s">
        <v>39</v>
      </c>
      <c r="K1352" t="s">
        <v>33</v>
      </c>
      <c r="L1352">
        <v>49</v>
      </c>
      <c r="M1352">
        <v>3</v>
      </c>
      <c r="N1352" t="s">
        <v>32</v>
      </c>
      <c r="O1352">
        <v>3</v>
      </c>
      <c r="P1352">
        <v>2</v>
      </c>
      <c r="Q1352">
        <v>1</v>
      </c>
      <c r="R1352">
        <v>4789</v>
      </c>
      <c r="S1352">
        <v>10</v>
      </c>
      <c r="T1352">
        <v>3</v>
      </c>
      <c r="U1352">
        <v>3</v>
      </c>
      <c r="V1352">
        <v>2</v>
      </c>
      <c r="W1352">
        <v>1</v>
      </c>
      <c r="X1352">
        <v>2</v>
      </c>
      <c r="Y1352">
        <f>IF(HR_data[[#This Row],[Attrition]]= "Yes",1,0)</f>
        <v>0</v>
      </c>
    </row>
    <row r="1353" spans="1:25">
      <c r="A1353">
        <v>1352</v>
      </c>
      <c r="B1353" t="s">
        <v>33</v>
      </c>
      <c r="C1353" t="s">
        <v>25</v>
      </c>
      <c r="D1353" t="s">
        <v>43</v>
      </c>
      <c r="E1353" t="s">
        <v>36</v>
      </c>
      <c r="F1353" t="s">
        <v>45</v>
      </c>
      <c r="G1353">
        <v>1</v>
      </c>
      <c r="H1353" t="s">
        <v>29</v>
      </c>
      <c r="I1353" t="s">
        <v>38</v>
      </c>
      <c r="J1353" t="s">
        <v>39</v>
      </c>
      <c r="K1353" t="s">
        <v>33</v>
      </c>
      <c r="L1353">
        <v>28</v>
      </c>
      <c r="M1353">
        <v>1</v>
      </c>
      <c r="N1353" t="s">
        <v>47</v>
      </c>
      <c r="O1353">
        <v>3</v>
      </c>
      <c r="P1353">
        <v>1</v>
      </c>
      <c r="Q1353">
        <v>1</v>
      </c>
      <c r="R1353">
        <v>3591</v>
      </c>
      <c r="S1353">
        <v>3</v>
      </c>
      <c r="T1353">
        <v>3</v>
      </c>
      <c r="U1353">
        <v>3</v>
      </c>
      <c r="V1353">
        <v>2</v>
      </c>
      <c r="W1353">
        <v>1</v>
      </c>
      <c r="X1353">
        <v>2</v>
      </c>
      <c r="Y1353">
        <f>IF(HR_data[[#This Row],[Attrition]]= "Yes",1,0)</f>
        <v>0</v>
      </c>
    </row>
    <row r="1354" spans="1:25">
      <c r="A1354">
        <v>1353</v>
      </c>
      <c r="B1354" t="s">
        <v>33</v>
      </c>
      <c r="C1354" t="s">
        <v>25</v>
      </c>
      <c r="D1354" t="s">
        <v>43</v>
      </c>
      <c r="E1354" t="s">
        <v>27</v>
      </c>
      <c r="F1354" t="s">
        <v>45</v>
      </c>
      <c r="G1354">
        <v>1</v>
      </c>
      <c r="H1354" t="s">
        <v>29</v>
      </c>
      <c r="I1354" t="s">
        <v>54</v>
      </c>
      <c r="J1354" t="s">
        <v>39</v>
      </c>
      <c r="K1354" t="s">
        <v>33</v>
      </c>
      <c r="L1354">
        <v>27</v>
      </c>
      <c r="M1354">
        <v>23</v>
      </c>
      <c r="N1354" t="s">
        <v>40</v>
      </c>
      <c r="O1354">
        <v>2</v>
      </c>
      <c r="P1354">
        <v>2</v>
      </c>
      <c r="Q1354">
        <v>3</v>
      </c>
      <c r="R1354">
        <v>3540</v>
      </c>
      <c r="S1354">
        <v>9</v>
      </c>
      <c r="T1354">
        <v>3</v>
      </c>
      <c r="U1354">
        <v>9</v>
      </c>
      <c r="V1354">
        <v>8</v>
      </c>
      <c r="W1354">
        <v>5</v>
      </c>
      <c r="X1354">
        <v>8</v>
      </c>
      <c r="Y1354">
        <f>IF(HR_data[[#This Row],[Attrition]]= "Yes",1,0)</f>
        <v>0</v>
      </c>
    </row>
    <row r="1355" spans="1:25">
      <c r="A1355">
        <v>1354</v>
      </c>
      <c r="B1355" t="s">
        <v>33</v>
      </c>
      <c r="C1355" t="s">
        <v>25</v>
      </c>
      <c r="D1355" t="s">
        <v>26</v>
      </c>
      <c r="E1355" t="s">
        <v>27</v>
      </c>
      <c r="F1355" t="s">
        <v>56</v>
      </c>
      <c r="G1355">
        <v>1</v>
      </c>
      <c r="H1355" t="s">
        <v>29</v>
      </c>
      <c r="I1355" t="s">
        <v>30</v>
      </c>
      <c r="J1355" t="s">
        <v>39</v>
      </c>
      <c r="K1355" t="s">
        <v>33</v>
      </c>
      <c r="L1355">
        <v>41</v>
      </c>
      <c r="M1355">
        <v>8</v>
      </c>
      <c r="N1355" t="s">
        <v>47</v>
      </c>
      <c r="O1355">
        <v>3</v>
      </c>
      <c r="P1355">
        <v>2</v>
      </c>
      <c r="Q1355">
        <v>2</v>
      </c>
      <c r="R1355">
        <v>4393</v>
      </c>
      <c r="S1355">
        <v>14</v>
      </c>
      <c r="T1355">
        <v>3</v>
      </c>
      <c r="U1355">
        <v>5</v>
      </c>
      <c r="V1355">
        <v>4</v>
      </c>
      <c r="W1355">
        <v>1</v>
      </c>
      <c r="X1355">
        <v>4</v>
      </c>
      <c r="Y1355">
        <f>IF(HR_data[[#This Row],[Attrition]]= "Yes",1,0)</f>
        <v>0</v>
      </c>
    </row>
    <row r="1356" spans="1:25">
      <c r="A1356">
        <v>1355</v>
      </c>
      <c r="B1356" t="s">
        <v>33</v>
      </c>
      <c r="C1356" t="s">
        <v>25</v>
      </c>
      <c r="D1356" t="s">
        <v>26</v>
      </c>
      <c r="E1356" t="s">
        <v>27</v>
      </c>
      <c r="F1356" t="s">
        <v>28</v>
      </c>
      <c r="G1356">
        <v>1</v>
      </c>
      <c r="H1356" t="s">
        <v>29</v>
      </c>
      <c r="I1356" t="s">
        <v>54</v>
      </c>
      <c r="J1356" t="s">
        <v>39</v>
      </c>
      <c r="K1356" t="s">
        <v>33</v>
      </c>
      <c r="L1356">
        <v>35</v>
      </c>
      <c r="M1356">
        <v>28</v>
      </c>
      <c r="N1356" t="s">
        <v>44</v>
      </c>
      <c r="O1356">
        <v>2</v>
      </c>
      <c r="P1356">
        <v>1</v>
      </c>
      <c r="Q1356">
        <v>3</v>
      </c>
      <c r="R1356">
        <v>2430</v>
      </c>
      <c r="S1356">
        <v>6</v>
      </c>
      <c r="T1356">
        <v>3</v>
      </c>
      <c r="U1356">
        <v>5</v>
      </c>
      <c r="V1356">
        <v>3</v>
      </c>
      <c r="W1356">
        <v>4</v>
      </c>
      <c r="X1356">
        <v>2</v>
      </c>
      <c r="Y1356">
        <f>IF(HR_data[[#This Row],[Attrition]]= "Yes",1,0)</f>
        <v>0</v>
      </c>
    </row>
    <row r="1357" spans="1:25">
      <c r="A1357">
        <v>1356</v>
      </c>
      <c r="B1357" t="s">
        <v>33</v>
      </c>
      <c r="C1357" t="s">
        <v>25</v>
      </c>
      <c r="D1357" t="s">
        <v>43</v>
      </c>
      <c r="E1357" t="s">
        <v>27</v>
      </c>
      <c r="F1357" t="s">
        <v>56</v>
      </c>
      <c r="G1357">
        <v>1</v>
      </c>
      <c r="H1357" t="s">
        <v>29</v>
      </c>
      <c r="I1357" t="s">
        <v>30</v>
      </c>
      <c r="J1357" t="s">
        <v>39</v>
      </c>
      <c r="K1357" t="s">
        <v>33</v>
      </c>
      <c r="L1357">
        <v>34</v>
      </c>
      <c r="M1357">
        <v>28</v>
      </c>
      <c r="N1357" t="s">
        <v>47</v>
      </c>
      <c r="O1357">
        <v>4</v>
      </c>
      <c r="P1357">
        <v>2</v>
      </c>
      <c r="Q1357">
        <v>3</v>
      </c>
      <c r="R1357">
        <v>6712</v>
      </c>
      <c r="S1357">
        <v>8</v>
      </c>
      <c r="T1357">
        <v>3</v>
      </c>
      <c r="U1357">
        <v>8</v>
      </c>
      <c r="V1357">
        <v>7</v>
      </c>
      <c r="W1357">
        <v>1</v>
      </c>
      <c r="X1357">
        <v>7</v>
      </c>
      <c r="Y1357">
        <f>IF(HR_data[[#This Row],[Attrition]]= "Yes",1,0)</f>
        <v>0</v>
      </c>
    </row>
    <row r="1358" spans="1:25">
      <c r="A1358">
        <v>1357</v>
      </c>
      <c r="B1358" t="s">
        <v>33</v>
      </c>
      <c r="C1358" t="s">
        <v>51</v>
      </c>
      <c r="D1358" t="s">
        <v>46</v>
      </c>
      <c r="E1358" t="s">
        <v>36</v>
      </c>
      <c r="F1358" t="s">
        <v>28</v>
      </c>
      <c r="G1358">
        <v>1</v>
      </c>
      <c r="H1358" t="s">
        <v>37</v>
      </c>
      <c r="I1358" t="s">
        <v>50</v>
      </c>
      <c r="J1358" t="s">
        <v>48</v>
      </c>
      <c r="K1358" t="s">
        <v>33</v>
      </c>
      <c r="L1358">
        <v>56</v>
      </c>
      <c r="M1358">
        <v>1</v>
      </c>
      <c r="N1358" t="s">
        <v>44</v>
      </c>
      <c r="O1358">
        <v>3</v>
      </c>
      <c r="P1358">
        <v>2</v>
      </c>
      <c r="Q1358">
        <v>3</v>
      </c>
      <c r="R1358">
        <v>6306</v>
      </c>
      <c r="S1358">
        <v>13</v>
      </c>
      <c r="T1358">
        <v>2</v>
      </c>
      <c r="U1358">
        <v>13</v>
      </c>
      <c r="V1358">
        <v>12</v>
      </c>
      <c r="W1358">
        <v>1</v>
      </c>
      <c r="X1358">
        <v>9</v>
      </c>
      <c r="Y1358">
        <f>IF(HR_data[[#This Row],[Attrition]]= "Yes",1,0)</f>
        <v>0</v>
      </c>
    </row>
    <row r="1359" spans="1:25">
      <c r="A1359">
        <v>1358</v>
      </c>
      <c r="B1359" t="s">
        <v>33</v>
      </c>
      <c r="C1359" t="s">
        <v>51</v>
      </c>
      <c r="D1359" t="s">
        <v>26</v>
      </c>
      <c r="E1359" t="s">
        <v>36</v>
      </c>
      <c r="F1359" t="s">
        <v>28</v>
      </c>
      <c r="G1359">
        <v>1</v>
      </c>
      <c r="H1359" t="s">
        <v>37</v>
      </c>
      <c r="I1359" t="s">
        <v>42</v>
      </c>
      <c r="J1359" t="s">
        <v>39</v>
      </c>
      <c r="K1359" t="s">
        <v>33</v>
      </c>
      <c r="L1359">
        <v>36</v>
      </c>
      <c r="M1359">
        <v>9</v>
      </c>
      <c r="N1359" t="s">
        <v>44</v>
      </c>
      <c r="O1359">
        <v>1</v>
      </c>
      <c r="P1359">
        <v>1</v>
      </c>
      <c r="Q1359">
        <v>2</v>
      </c>
      <c r="R1359">
        <v>2810</v>
      </c>
      <c r="S1359">
        <v>5</v>
      </c>
      <c r="T1359">
        <v>3</v>
      </c>
      <c r="U1359">
        <v>5</v>
      </c>
      <c r="V1359">
        <v>4</v>
      </c>
      <c r="W1359">
        <v>0</v>
      </c>
      <c r="X1359">
        <v>2</v>
      </c>
      <c r="Y1359">
        <f>IF(HR_data[[#This Row],[Attrition]]= "Yes",1,0)</f>
        <v>0</v>
      </c>
    </row>
    <row r="1360" spans="1:25">
      <c r="A1360">
        <v>1359</v>
      </c>
      <c r="B1360" t="s">
        <v>33</v>
      </c>
      <c r="C1360" t="s">
        <v>51</v>
      </c>
      <c r="D1360" t="s">
        <v>35</v>
      </c>
      <c r="E1360" t="s">
        <v>36</v>
      </c>
      <c r="F1360" t="s">
        <v>28</v>
      </c>
      <c r="G1360">
        <v>1</v>
      </c>
      <c r="H1360" t="s">
        <v>37</v>
      </c>
      <c r="I1360" t="s">
        <v>50</v>
      </c>
      <c r="J1360" t="s">
        <v>39</v>
      </c>
      <c r="K1360" t="s">
        <v>33</v>
      </c>
      <c r="L1360">
        <v>45</v>
      </c>
      <c r="M1360">
        <v>1</v>
      </c>
      <c r="N1360" t="s">
        <v>40</v>
      </c>
      <c r="O1360">
        <v>3</v>
      </c>
      <c r="P1360">
        <v>3</v>
      </c>
      <c r="Q1360">
        <v>3</v>
      </c>
      <c r="R1360">
        <v>10748</v>
      </c>
      <c r="S1360">
        <v>25</v>
      </c>
      <c r="T1360">
        <v>2</v>
      </c>
      <c r="U1360">
        <v>23</v>
      </c>
      <c r="V1360">
        <v>15</v>
      </c>
      <c r="W1360">
        <v>14</v>
      </c>
      <c r="X1360">
        <v>4</v>
      </c>
      <c r="Y1360">
        <f>IF(HR_data[[#This Row],[Attrition]]= "Yes",1,0)</f>
        <v>0</v>
      </c>
    </row>
    <row r="1361" spans="1:25">
      <c r="A1361">
        <v>1360</v>
      </c>
      <c r="B1361" t="s">
        <v>33</v>
      </c>
      <c r="C1361" t="s">
        <v>51</v>
      </c>
      <c r="D1361" t="s">
        <v>26</v>
      </c>
      <c r="E1361" t="s">
        <v>36</v>
      </c>
      <c r="F1361" t="s">
        <v>57</v>
      </c>
      <c r="G1361">
        <v>1</v>
      </c>
      <c r="H1361" t="s">
        <v>37</v>
      </c>
      <c r="I1361" t="s">
        <v>38</v>
      </c>
      <c r="J1361" t="s">
        <v>39</v>
      </c>
      <c r="K1361" t="s">
        <v>33</v>
      </c>
      <c r="L1361">
        <v>42</v>
      </c>
      <c r="M1361">
        <v>10</v>
      </c>
      <c r="N1361" t="s">
        <v>44</v>
      </c>
      <c r="O1361">
        <v>3</v>
      </c>
      <c r="P1361">
        <v>1</v>
      </c>
      <c r="Q1361">
        <v>3</v>
      </c>
      <c r="R1361">
        <v>2936</v>
      </c>
      <c r="S1361">
        <v>10</v>
      </c>
      <c r="T1361">
        <v>2</v>
      </c>
      <c r="U1361">
        <v>6</v>
      </c>
      <c r="V1361">
        <v>3</v>
      </c>
      <c r="W1361">
        <v>3</v>
      </c>
      <c r="X1361">
        <v>3</v>
      </c>
      <c r="Y1361">
        <f>IF(HR_data[[#This Row],[Attrition]]= "Yes",1,0)</f>
        <v>0</v>
      </c>
    </row>
    <row r="1362" spans="1:25">
      <c r="A1362">
        <v>1361</v>
      </c>
      <c r="B1362" t="s">
        <v>33</v>
      </c>
      <c r="C1362" t="s">
        <v>51</v>
      </c>
      <c r="D1362" t="s">
        <v>43</v>
      </c>
      <c r="E1362" t="s">
        <v>36</v>
      </c>
      <c r="F1362" t="s">
        <v>45</v>
      </c>
      <c r="G1362">
        <v>1</v>
      </c>
      <c r="H1362" t="s">
        <v>37</v>
      </c>
      <c r="I1362" t="s">
        <v>42</v>
      </c>
      <c r="J1362" t="s">
        <v>31</v>
      </c>
      <c r="K1362" t="s">
        <v>33</v>
      </c>
      <c r="L1362">
        <v>26</v>
      </c>
      <c r="M1362">
        <v>7</v>
      </c>
      <c r="N1362" t="s">
        <v>47</v>
      </c>
      <c r="O1362">
        <v>4</v>
      </c>
      <c r="P1362">
        <v>1</v>
      </c>
      <c r="Q1362">
        <v>4</v>
      </c>
      <c r="R1362">
        <v>2570</v>
      </c>
      <c r="S1362">
        <v>7</v>
      </c>
      <c r="T1362">
        <v>3</v>
      </c>
      <c r="U1362">
        <v>7</v>
      </c>
      <c r="V1362">
        <v>7</v>
      </c>
      <c r="W1362">
        <v>5</v>
      </c>
      <c r="X1362">
        <v>7</v>
      </c>
      <c r="Y1362">
        <f>IF(HR_data[[#This Row],[Attrition]]= "Yes",1,0)</f>
        <v>0</v>
      </c>
    </row>
    <row r="1363" spans="1:25">
      <c r="A1363">
        <v>1362</v>
      </c>
      <c r="B1363" t="s">
        <v>33</v>
      </c>
      <c r="C1363" t="s">
        <v>51</v>
      </c>
      <c r="D1363" t="s">
        <v>46</v>
      </c>
      <c r="E1363" t="s">
        <v>27</v>
      </c>
      <c r="F1363" t="s">
        <v>45</v>
      </c>
      <c r="G1363">
        <v>1</v>
      </c>
      <c r="H1363" t="s">
        <v>37</v>
      </c>
      <c r="I1363" t="s">
        <v>53</v>
      </c>
      <c r="J1363" t="s">
        <v>48</v>
      </c>
      <c r="K1363" t="s">
        <v>33</v>
      </c>
      <c r="L1363">
        <v>58</v>
      </c>
      <c r="M1363">
        <v>2</v>
      </c>
      <c r="N1363" t="s">
        <v>47</v>
      </c>
      <c r="O1363">
        <v>2</v>
      </c>
      <c r="P1363">
        <v>4</v>
      </c>
      <c r="Q1363">
        <v>2</v>
      </c>
      <c r="R1363">
        <v>16291</v>
      </c>
      <c r="S1363">
        <v>37</v>
      </c>
      <c r="T1363">
        <v>2</v>
      </c>
      <c r="U1363">
        <v>16</v>
      </c>
      <c r="V1363">
        <v>9</v>
      </c>
      <c r="W1363">
        <v>14</v>
      </c>
      <c r="X1363">
        <v>14</v>
      </c>
      <c r="Y1363">
        <f>IF(HR_data[[#This Row],[Attrition]]= "Yes",1,0)</f>
        <v>0</v>
      </c>
    </row>
    <row r="1364" spans="1:25">
      <c r="A1364">
        <v>1363</v>
      </c>
      <c r="B1364" t="s">
        <v>33</v>
      </c>
      <c r="C1364" t="s">
        <v>51</v>
      </c>
      <c r="D1364" t="s">
        <v>26</v>
      </c>
      <c r="E1364" t="s">
        <v>27</v>
      </c>
      <c r="F1364" t="s">
        <v>56</v>
      </c>
      <c r="G1364">
        <v>1</v>
      </c>
      <c r="H1364" t="s">
        <v>37</v>
      </c>
      <c r="I1364" t="s">
        <v>30</v>
      </c>
      <c r="J1364" t="s">
        <v>48</v>
      </c>
      <c r="K1364" t="s">
        <v>33</v>
      </c>
      <c r="L1364">
        <v>36</v>
      </c>
      <c r="M1364">
        <v>15</v>
      </c>
      <c r="N1364" t="s">
        <v>44</v>
      </c>
      <c r="O1364">
        <v>4</v>
      </c>
      <c r="P1364">
        <v>2</v>
      </c>
      <c r="Q1364">
        <v>4</v>
      </c>
      <c r="R1364">
        <v>5406</v>
      </c>
      <c r="S1364">
        <v>15</v>
      </c>
      <c r="T1364">
        <v>2</v>
      </c>
      <c r="U1364">
        <v>15</v>
      </c>
      <c r="V1364">
        <v>12</v>
      </c>
      <c r="W1364">
        <v>11</v>
      </c>
      <c r="X1364">
        <v>11</v>
      </c>
      <c r="Y1364">
        <f>IF(HR_data[[#This Row],[Attrition]]= "Yes",1,0)</f>
        <v>0</v>
      </c>
    </row>
    <row r="1365" spans="1:25">
      <c r="A1365">
        <v>1364</v>
      </c>
      <c r="B1365" t="s">
        <v>33</v>
      </c>
      <c r="C1365" t="s">
        <v>34</v>
      </c>
      <c r="D1365" t="s">
        <v>26</v>
      </c>
      <c r="E1365" t="s">
        <v>59</v>
      </c>
      <c r="F1365" t="s">
        <v>60</v>
      </c>
      <c r="G1365">
        <v>1</v>
      </c>
      <c r="H1365" t="s">
        <v>37</v>
      </c>
      <c r="I1365" t="s">
        <v>60</v>
      </c>
      <c r="J1365" t="s">
        <v>31</v>
      </c>
      <c r="K1365" t="s">
        <v>33</v>
      </c>
      <c r="L1365">
        <v>36</v>
      </c>
      <c r="M1365">
        <v>2</v>
      </c>
      <c r="N1365" t="s">
        <v>40</v>
      </c>
      <c r="O1365">
        <v>2</v>
      </c>
      <c r="P1365">
        <v>2</v>
      </c>
      <c r="Q1365">
        <v>4</v>
      </c>
      <c r="R1365">
        <v>3886</v>
      </c>
      <c r="S1365">
        <v>10</v>
      </c>
      <c r="T1365">
        <v>2</v>
      </c>
      <c r="U1365">
        <v>10</v>
      </c>
      <c r="V1365">
        <v>1</v>
      </c>
      <c r="W1365">
        <v>0</v>
      </c>
      <c r="X1365">
        <v>8</v>
      </c>
      <c r="Y1365">
        <f>IF(HR_data[[#This Row],[Attrition]]= "Yes",1,0)</f>
        <v>0</v>
      </c>
    </row>
    <row r="1366" spans="1:25">
      <c r="A1366">
        <v>1365</v>
      </c>
      <c r="B1366" t="s">
        <v>33</v>
      </c>
      <c r="C1366" t="s">
        <v>34</v>
      </c>
      <c r="D1366" t="s">
        <v>43</v>
      </c>
      <c r="E1366" t="s">
        <v>36</v>
      </c>
      <c r="F1366" t="s">
        <v>28</v>
      </c>
      <c r="G1366">
        <v>1</v>
      </c>
      <c r="H1366" t="s">
        <v>37</v>
      </c>
      <c r="I1366" t="s">
        <v>50</v>
      </c>
      <c r="J1366" t="s">
        <v>48</v>
      </c>
      <c r="K1366" t="s">
        <v>33</v>
      </c>
      <c r="L1366">
        <v>33</v>
      </c>
      <c r="M1366">
        <v>7</v>
      </c>
      <c r="N1366" t="s">
        <v>32</v>
      </c>
      <c r="O1366">
        <v>4</v>
      </c>
      <c r="P1366">
        <v>2</v>
      </c>
      <c r="Q1366">
        <v>3</v>
      </c>
      <c r="R1366">
        <v>5968</v>
      </c>
      <c r="S1366">
        <v>9</v>
      </c>
      <c r="T1366">
        <v>3</v>
      </c>
      <c r="U1366">
        <v>9</v>
      </c>
      <c r="V1366">
        <v>7</v>
      </c>
      <c r="W1366">
        <v>2</v>
      </c>
      <c r="X1366">
        <v>8</v>
      </c>
      <c r="Y1366">
        <f>IF(HR_data[[#This Row],[Attrition]]= "Yes",1,0)</f>
        <v>0</v>
      </c>
    </row>
    <row r="1367" spans="1:25">
      <c r="A1367">
        <v>1366</v>
      </c>
      <c r="B1367" t="s">
        <v>33</v>
      </c>
      <c r="C1367" t="s">
        <v>34</v>
      </c>
      <c r="D1367" t="s">
        <v>43</v>
      </c>
      <c r="E1367" t="s">
        <v>36</v>
      </c>
      <c r="F1367" t="s">
        <v>28</v>
      </c>
      <c r="G1367">
        <v>1</v>
      </c>
      <c r="H1367" t="s">
        <v>37</v>
      </c>
      <c r="I1367" t="s">
        <v>38</v>
      </c>
      <c r="J1367" t="s">
        <v>39</v>
      </c>
      <c r="K1367" t="s">
        <v>33</v>
      </c>
      <c r="L1367">
        <v>31</v>
      </c>
      <c r="M1367">
        <v>1</v>
      </c>
      <c r="N1367" t="s">
        <v>47</v>
      </c>
      <c r="O1367">
        <v>4</v>
      </c>
      <c r="P1367">
        <v>2</v>
      </c>
      <c r="Q1367">
        <v>1</v>
      </c>
      <c r="R1367">
        <v>5003</v>
      </c>
      <c r="S1367">
        <v>10</v>
      </c>
      <c r="T1367">
        <v>3</v>
      </c>
      <c r="U1367">
        <v>10</v>
      </c>
      <c r="V1367">
        <v>8</v>
      </c>
      <c r="W1367">
        <v>8</v>
      </c>
      <c r="X1367">
        <v>7</v>
      </c>
      <c r="Y1367">
        <f>IF(HR_data[[#This Row],[Attrition]]= "Yes",1,0)</f>
        <v>0</v>
      </c>
    </row>
    <row r="1368" spans="1:25">
      <c r="A1368">
        <v>1367</v>
      </c>
      <c r="B1368" t="s">
        <v>33</v>
      </c>
      <c r="C1368" t="s">
        <v>34</v>
      </c>
      <c r="D1368" t="s">
        <v>35</v>
      </c>
      <c r="E1368" t="s">
        <v>36</v>
      </c>
      <c r="F1368" t="s">
        <v>45</v>
      </c>
      <c r="G1368">
        <v>1</v>
      </c>
      <c r="H1368" t="s">
        <v>37</v>
      </c>
      <c r="I1368" t="s">
        <v>53</v>
      </c>
      <c r="J1368" t="s">
        <v>39</v>
      </c>
      <c r="K1368" t="s">
        <v>33</v>
      </c>
      <c r="L1368">
        <v>48</v>
      </c>
      <c r="M1368">
        <v>4</v>
      </c>
      <c r="N1368" t="s">
        <v>58</v>
      </c>
      <c r="O1368">
        <v>3</v>
      </c>
      <c r="P1368">
        <v>4</v>
      </c>
      <c r="Q1368">
        <v>4</v>
      </c>
      <c r="R1368">
        <v>15202</v>
      </c>
      <c r="S1368">
        <v>23</v>
      </c>
      <c r="T1368">
        <v>3</v>
      </c>
      <c r="U1368">
        <v>2</v>
      </c>
      <c r="V1368">
        <v>2</v>
      </c>
      <c r="W1368">
        <v>2</v>
      </c>
      <c r="X1368">
        <v>2</v>
      </c>
      <c r="Y1368">
        <f>IF(HR_data[[#This Row],[Attrition]]= "Yes",1,0)</f>
        <v>0</v>
      </c>
    </row>
    <row r="1369" spans="1:25">
      <c r="A1369">
        <v>1368</v>
      </c>
      <c r="B1369" t="s">
        <v>33</v>
      </c>
      <c r="C1369" t="s">
        <v>34</v>
      </c>
      <c r="D1369" t="s">
        <v>26</v>
      </c>
      <c r="E1369" t="s">
        <v>27</v>
      </c>
      <c r="F1369" t="s">
        <v>28</v>
      </c>
      <c r="G1369">
        <v>1</v>
      </c>
      <c r="H1369" t="s">
        <v>37</v>
      </c>
      <c r="I1369" t="s">
        <v>30</v>
      </c>
      <c r="J1369" t="s">
        <v>39</v>
      </c>
      <c r="K1369" t="s">
        <v>33</v>
      </c>
      <c r="L1369">
        <v>43</v>
      </c>
      <c r="M1369">
        <v>2</v>
      </c>
      <c r="N1369" t="s">
        <v>44</v>
      </c>
      <c r="O1369">
        <v>1</v>
      </c>
      <c r="P1369">
        <v>2</v>
      </c>
      <c r="Q1369">
        <v>4</v>
      </c>
      <c r="R1369">
        <v>5675</v>
      </c>
      <c r="S1369">
        <v>7</v>
      </c>
      <c r="T1369">
        <v>3</v>
      </c>
      <c r="U1369">
        <v>7</v>
      </c>
      <c r="V1369">
        <v>7</v>
      </c>
      <c r="W1369">
        <v>7</v>
      </c>
      <c r="X1369">
        <v>7</v>
      </c>
      <c r="Y1369">
        <f>IF(HR_data[[#This Row],[Attrition]]= "Yes",1,0)</f>
        <v>0</v>
      </c>
    </row>
    <row r="1370" spans="1:25">
      <c r="A1370">
        <v>1369</v>
      </c>
      <c r="B1370" t="s">
        <v>33</v>
      </c>
      <c r="C1370" t="s">
        <v>25</v>
      </c>
      <c r="D1370" t="s">
        <v>43</v>
      </c>
      <c r="E1370" t="s">
        <v>59</v>
      </c>
      <c r="F1370" t="s">
        <v>28</v>
      </c>
      <c r="G1370">
        <v>1</v>
      </c>
      <c r="H1370" t="s">
        <v>37</v>
      </c>
      <c r="I1370" t="s">
        <v>60</v>
      </c>
      <c r="J1370" t="s">
        <v>48</v>
      </c>
      <c r="K1370" t="s">
        <v>33</v>
      </c>
      <c r="L1370">
        <v>30</v>
      </c>
      <c r="M1370">
        <v>1</v>
      </c>
      <c r="N1370" t="s">
        <v>47</v>
      </c>
      <c r="O1370">
        <v>3</v>
      </c>
      <c r="P1370">
        <v>1</v>
      </c>
      <c r="Q1370">
        <v>3</v>
      </c>
      <c r="R1370">
        <v>2064</v>
      </c>
      <c r="S1370">
        <v>6</v>
      </c>
      <c r="T1370">
        <v>4</v>
      </c>
      <c r="U1370">
        <v>5</v>
      </c>
      <c r="V1370">
        <v>3</v>
      </c>
      <c r="W1370">
        <v>1</v>
      </c>
      <c r="X1370">
        <v>3</v>
      </c>
      <c r="Y1370">
        <f>IF(HR_data[[#This Row],[Attrition]]= "Yes",1,0)</f>
        <v>0</v>
      </c>
    </row>
    <row r="1371" spans="1:25">
      <c r="A1371">
        <v>1370</v>
      </c>
      <c r="B1371" t="s">
        <v>33</v>
      </c>
      <c r="C1371" t="s">
        <v>25</v>
      </c>
      <c r="D1371" t="s">
        <v>46</v>
      </c>
      <c r="E1371" t="s">
        <v>36</v>
      </c>
      <c r="F1371" t="s">
        <v>45</v>
      </c>
      <c r="G1371">
        <v>1</v>
      </c>
      <c r="H1371" t="s">
        <v>37</v>
      </c>
      <c r="I1371" t="s">
        <v>50</v>
      </c>
      <c r="J1371" t="s">
        <v>48</v>
      </c>
      <c r="K1371" t="s">
        <v>33</v>
      </c>
      <c r="L1371">
        <v>60</v>
      </c>
      <c r="M1371">
        <v>1</v>
      </c>
      <c r="N1371" t="s">
        <v>44</v>
      </c>
      <c r="O1371">
        <v>3</v>
      </c>
      <c r="P1371">
        <v>3</v>
      </c>
      <c r="Q1371">
        <v>4</v>
      </c>
      <c r="R1371">
        <v>10883</v>
      </c>
      <c r="S1371">
        <v>19</v>
      </c>
      <c r="T1371">
        <v>4</v>
      </c>
      <c r="U1371">
        <v>1</v>
      </c>
      <c r="V1371">
        <v>0</v>
      </c>
      <c r="W1371">
        <v>0</v>
      </c>
      <c r="X1371">
        <v>0</v>
      </c>
      <c r="Y1371">
        <f>IF(HR_data[[#This Row],[Attrition]]= "Yes",1,0)</f>
        <v>0</v>
      </c>
    </row>
    <row r="1372" spans="1:25">
      <c r="A1372">
        <v>1371</v>
      </c>
      <c r="B1372" t="s">
        <v>33</v>
      </c>
      <c r="C1372" t="s">
        <v>25</v>
      </c>
      <c r="D1372" t="s">
        <v>26</v>
      </c>
      <c r="E1372" t="s">
        <v>36</v>
      </c>
      <c r="F1372" t="s">
        <v>28</v>
      </c>
      <c r="G1372">
        <v>1</v>
      </c>
      <c r="H1372" t="s">
        <v>37</v>
      </c>
      <c r="I1372" t="s">
        <v>50</v>
      </c>
      <c r="J1372" t="s">
        <v>48</v>
      </c>
      <c r="K1372" t="s">
        <v>33</v>
      </c>
      <c r="L1372">
        <v>36</v>
      </c>
      <c r="M1372">
        <v>3</v>
      </c>
      <c r="N1372" t="s">
        <v>32</v>
      </c>
      <c r="O1372">
        <v>4</v>
      </c>
      <c r="P1372">
        <v>2</v>
      </c>
      <c r="Q1372">
        <v>1</v>
      </c>
      <c r="R1372">
        <v>6842</v>
      </c>
      <c r="S1372">
        <v>13</v>
      </c>
      <c r="T1372">
        <v>3</v>
      </c>
      <c r="U1372">
        <v>5</v>
      </c>
      <c r="V1372">
        <v>4</v>
      </c>
      <c r="W1372">
        <v>0</v>
      </c>
      <c r="X1372">
        <v>4</v>
      </c>
      <c r="Y1372">
        <f>IF(HR_data[[#This Row],[Attrition]]= "Yes",1,0)</f>
        <v>0</v>
      </c>
    </row>
    <row r="1373" spans="1:25">
      <c r="A1373">
        <v>1372</v>
      </c>
      <c r="B1373" t="s">
        <v>33</v>
      </c>
      <c r="C1373" t="s">
        <v>25</v>
      </c>
      <c r="D1373" t="s">
        <v>26</v>
      </c>
      <c r="E1373" t="s">
        <v>36</v>
      </c>
      <c r="F1373" t="s">
        <v>28</v>
      </c>
      <c r="G1373">
        <v>1</v>
      </c>
      <c r="H1373" t="s">
        <v>37</v>
      </c>
      <c r="I1373" t="s">
        <v>42</v>
      </c>
      <c r="J1373" t="s">
        <v>48</v>
      </c>
      <c r="K1373" t="s">
        <v>33</v>
      </c>
      <c r="L1373">
        <v>41</v>
      </c>
      <c r="M1373">
        <v>9</v>
      </c>
      <c r="N1373" t="s">
        <v>44</v>
      </c>
      <c r="O1373">
        <v>3</v>
      </c>
      <c r="P1373">
        <v>1</v>
      </c>
      <c r="Q1373">
        <v>1</v>
      </c>
      <c r="R1373">
        <v>2289</v>
      </c>
      <c r="S1373">
        <v>5</v>
      </c>
      <c r="T1373">
        <v>3</v>
      </c>
      <c r="U1373">
        <v>5</v>
      </c>
      <c r="V1373">
        <v>3</v>
      </c>
      <c r="W1373">
        <v>0</v>
      </c>
      <c r="X1373">
        <v>4</v>
      </c>
      <c r="Y1373">
        <f>IF(HR_data[[#This Row],[Attrition]]= "Yes",1,0)</f>
        <v>0</v>
      </c>
    </row>
    <row r="1374" spans="1:25">
      <c r="A1374">
        <v>1373</v>
      </c>
      <c r="B1374" t="s">
        <v>33</v>
      </c>
      <c r="C1374" t="s">
        <v>25</v>
      </c>
      <c r="D1374" t="s">
        <v>26</v>
      </c>
      <c r="E1374" t="s">
        <v>36</v>
      </c>
      <c r="F1374" t="s">
        <v>45</v>
      </c>
      <c r="G1374">
        <v>1</v>
      </c>
      <c r="H1374" t="s">
        <v>37</v>
      </c>
      <c r="I1374" t="s">
        <v>42</v>
      </c>
      <c r="J1374" t="s">
        <v>48</v>
      </c>
      <c r="K1374" t="s">
        <v>33</v>
      </c>
      <c r="L1374">
        <v>42</v>
      </c>
      <c r="M1374">
        <v>12</v>
      </c>
      <c r="N1374" t="s">
        <v>47</v>
      </c>
      <c r="O1374">
        <v>2</v>
      </c>
      <c r="P1374">
        <v>1</v>
      </c>
      <c r="Q1374">
        <v>2</v>
      </c>
      <c r="R1374">
        <v>2766</v>
      </c>
      <c r="S1374">
        <v>7</v>
      </c>
      <c r="T1374">
        <v>2</v>
      </c>
      <c r="U1374">
        <v>5</v>
      </c>
      <c r="V1374">
        <v>3</v>
      </c>
      <c r="W1374">
        <v>0</v>
      </c>
      <c r="X1374">
        <v>4</v>
      </c>
      <c r="Y1374">
        <f>IF(HR_data[[#This Row],[Attrition]]= "Yes",1,0)</f>
        <v>0</v>
      </c>
    </row>
    <row r="1375" spans="1:25">
      <c r="A1375">
        <v>1374</v>
      </c>
      <c r="B1375" t="s">
        <v>33</v>
      </c>
      <c r="C1375" t="s">
        <v>25</v>
      </c>
      <c r="D1375" t="s">
        <v>26</v>
      </c>
      <c r="E1375" t="s">
        <v>36</v>
      </c>
      <c r="F1375" t="s">
        <v>45</v>
      </c>
      <c r="G1375">
        <v>1</v>
      </c>
      <c r="H1375" t="s">
        <v>37</v>
      </c>
      <c r="I1375" t="s">
        <v>49</v>
      </c>
      <c r="J1375" t="s">
        <v>39</v>
      </c>
      <c r="K1375" t="s">
        <v>33</v>
      </c>
      <c r="L1375">
        <v>39</v>
      </c>
      <c r="M1375">
        <v>12</v>
      </c>
      <c r="N1375" t="s">
        <v>47</v>
      </c>
      <c r="O1375">
        <v>4</v>
      </c>
      <c r="P1375">
        <v>2</v>
      </c>
      <c r="Q1375">
        <v>2</v>
      </c>
      <c r="R1375">
        <v>5295</v>
      </c>
      <c r="S1375">
        <v>7</v>
      </c>
      <c r="T1375">
        <v>3</v>
      </c>
      <c r="U1375">
        <v>5</v>
      </c>
      <c r="V1375">
        <v>4</v>
      </c>
      <c r="W1375">
        <v>1</v>
      </c>
      <c r="X1375">
        <v>0</v>
      </c>
      <c r="Y1375">
        <f>IF(HR_data[[#This Row],[Attrition]]= "Yes",1,0)</f>
        <v>0</v>
      </c>
    </row>
    <row r="1376" spans="1:25">
      <c r="A1376">
        <v>1375</v>
      </c>
      <c r="B1376" t="s">
        <v>33</v>
      </c>
      <c r="C1376" t="s">
        <v>25</v>
      </c>
      <c r="D1376" t="s">
        <v>26</v>
      </c>
      <c r="E1376" t="s">
        <v>36</v>
      </c>
      <c r="F1376" t="s">
        <v>45</v>
      </c>
      <c r="G1376">
        <v>1</v>
      </c>
      <c r="H1376" t="s">
        <v>37</v>
      </c>
      <c r="I1376" t="s">
        <v>49</v>
      </c>
      <c r="J1376" t="s">
        <v>39</v>
      </c>
      <c r="K1376" t="s">
        <v>33</v>
      </c>
      <c r="L1376">
        <v>39</v>
      </c>
      <c r="M1376">
        <v>9</v>
      </c>
      <c r="N1376" t="s">
        <v>32</v>
      </c>
      <c r="O1376">
        <v>1</v>
      </c>
      <c r="P1376">
        <v>2</v>
      </c>
      <c r="Q1376">
        <v>1</v>
      </c>
      <c r="R1376">
        <v>5151</v>
      </c>
      <c r="S1376">
        <v>10</v>
      </c>
      <c r="T1376">
        <v>3</v>
      </c>
      <c r="U1376">
        <v>10</v>
      </c>
      <c r="V1376">
        <v>0</v>
      </c>
      <c r="W1376">
        <v>7</v>
      </c>
      <c r="X1376">
        <v>9</v>
      </c>
      <c r="Y1376">
        <f>IF(HR_data[[#This Row],[Attrition]]= "Yes",1,0)</f>
        <v>0</v>
      </c>
    </row>
    <row r="1377" spans="1:25">
      <c r="A1377">
        <v>1376</v>
      </c>
      <c r="B1377" t="s">
        <v>33</v>
      </c>
      <c r="C1377" t="s">
        <v>25</v>
      </c>
      <c r="D1377" t="s">
        <v>46</v>
      </c>
      <c r="E1377" t="s">
        <v>36</v>
      </c>
      <c r="F1377" t="s">
        <v>57</v>
      </c>
      <c r="G1377">
        <v>1</v>
      </c>
      <c r="H1377" t="s">
        <v>37</v>
      </c>
      <c r="I1377" t="s">
        <v>38</v>
      </c>
      <c r="J1377" t="s">
        <v>39</v>
      </c>
      <c r="K1377" t="s">
        <v>33</v>
      </c>
      <c r="L1377">
        <v>55</v>
      </c>
      <c r="M1377">
        <v>2</v>
      </c>
      <c r="N1377" t="s">
        <v>44</v>
      </c>
      <c r="O1377">
        <v>2</v>
      </c>
      <c r="P1377">
        <v>1</v>
      </c>
      <c r="Q1377">
        <v>4</v>
      </c>
      <c r="R1377">
        <v>2662</v>
      </c>
      <c r="S1377">
        <v>19</v>
      </c>
      <c r="T1377">
        <v>4</v>
      </c>
      <c r="U1377">
        <v>5</v>
      </c>
      <c r="V1377">
        <v>2</v>
      </c>
      <c r="W1377">
        <v>0</v>
      </c>
      <c r="X1377">
        <v>4</v>
      </c>
      <c r="Y1377">
        <f>IF(HR_data[[#This Row],[Attrition]]= "Yes",1,0)</f>
        <v>0</v>
      </c>
    </row>
    <row r="1378" spans="1:25">
      <c r="A1378">
        <v>1377</v>
      </c>
      <c r="B1378" t="s">
        <v>33</v>
      </c>
      <c r="C1378" t="s">
        <v>25</v>
      </c>
      <c r="D1378" t="s">
        <v>46</v>
      </c>
      <c r="E1378" t="s">
        <v>36</v>
      </c>
      <c r="F1378" t="s">
        <v>28</v>
      </c>
      <c r="G1378">
        <v>1</v>
      </c>
      <c r="H1378" t="s">
        <v>37</v>
      </c>
      <c r="I1378" t="s">
        <v>38</v>
      </c>
      <c r="J1378" t="s">
        <v>39</v>
      </c>
      <c r="K1378" t="s">
        <v>33</v>
      </c>
      <c r="L1378">
        <v>57</v>
      </c>
      <c r="M1378">
        <v>1</v>
      </c>
      <c r="N1378" t="s">
        <v>32</v>
      </c>
      <c r="O1378">
        <v>2</v>
      </c>
      <c r="P1378">
        <v>2</v>
      </c>
      <c r="Q1378">
        <v>3</v>
      </c>
      <c r="R1378">
        <v>4900</v>
      </c>
      <c r="S1378">
        <v>13</v>
      </c>
      <c r="T1378">
        <v>2</v>
      </c>
      <c r="U1378">
        <v>12</v>
      </c>
      <c r="V1378">
        <v>9</v>
      </c>
      <c r="W1378">
        <v>2</v>
      </c>
      <c r="X1378">
        <v>8</v>
      </c>
      <c r="Y1378">
        <f>IF(HR_data[[#This Row],[Attrition]]= "Yes",1,0)</f>
        <v>0</v>
      </c>
    </row>
    <row r="1379" spans="1:25">
      <c r="A1379">
        <v>1378</v>
      </c>
      <c r="B1379" t="s">
        <v>33</v>
      </c>
      <c r="C1379" t="s">
        <v>25</v>
      </c>
      <c r="D1379" t="s">
        <v>26</v>
      </c>
      <c r="E1379" t="s">
        <v>36</v>
      </c>
      <c r="F1379" t="s">
        <v>28</v>
      </c>
      <c r="G1379">
        <v>1</v>
      </c>
      <c r="H1379" t="s">
        <v>37</v>
      </c>
      <c r="I1379" t="s">
        <v>55</v>
      </c>
      <c r="J1379" t="s">
        <v>39</v>
      </c>
      <c r="K1379" t="s">
        <v>33</v>
      </c>
      <c r="L1379">
        <v>43</v>
      </c>
      <c r="M1379">
        <v>15</v>
      </c>
      <c r="N1379" t="s">
        <v>32</v>
      </c>
      <c r="O1379">
        <v>3</v>
      </c>
      <c r="P1379">
        <v>4</v>
      </c>
      <c r="Q1379">
        <v>3</v>
      </c>
      <c r="R1379">
        <v>17603</v>
      </c>
      <c r="S1379">
        <v>14</v>
      </c>
      <c r="T1379">
        <v>3</v>
      </c>
      <c r="U1379">
        <v>14</v>
      </c>
      <c r="V1379">
        <v>10</v>
      </c>
      <c r="W1379">
        <v>6</v>
      </c>
      <c r="X1379">
        <v>11</v>
      </c>
      <c r="Y1379">
        <f>IF(HR_data[[#This Row],[Attrition]]= "Yes",1,0)</f>
        <v>0</v>
      </c>
    </row>
    <row r="1380" spans="1:25">
      <c r="A1380">
        <v>1379</v>
      </c>
      <c r="B1380" t="s">
        <v>33</v>
      </c>
      <c r="C1380" t="s">
        <v>25</v>
      </c>
      <c r="D1380" t="s">
        <v>26</v>
      </c>
      <c r="E1380" t="s">
        <v>36</v>
      </c>
      <c r="F1380" t="s">
        <v>28</v>
      </c>
      <c r="G1380">
        <v>1</v>
      </c>
      <c r="H1380" t="s">
        <v>37</v>
      </c>
      <c r="I1380" t="s">
        <v>38</v>
      </c>
      <c r="J1380" t="s">
        <v>39</v>
      </c>
      <c r="K1380" t="s">
        <v>33</v>
      </c>
      <c r="L1380">
        <v>41</v>
      </c>
      <c r="M1380">
        <v>1</v>
      </c>
      <c r="N1380" t="s">
        <v>47</v>
      </c>
      <c r="O1380">
        <v>4</v>
      </c>
      <c r="P1380">
        <v>1</v>
      </c>
      <c r="Q1380">
        <v>4</v>
      </c>
      <c r="R1380">
        <v>2782</v>
      </c>
      <c r="S1380">
        <v>12</v>
      </c>
      <c r="T1380">
        <v>3</v>
      </c>
      <c r="U1380">
        <v>5</v>
      </c>
      <c r="V1380">
        <v>3</v>
      </c>
      <c r="W1380">
        <v>1</v>
      </c>
      <c r="X1380">
        <v>0</v>
      </c>
      <c r="Y1380">
        <f>IF(HR_data[[#This Row],[Attrition]]= "Yes",1,0)</f>
        <v>0</v>
      </c>
    </row>
    <row r="1381" spans="1:25">
      <c r="A1381">
        <v>1380</v>
      </c>
      <c r="B1381" t="s">
        <v>33</v>
      </c>
      <c r="C1381" t="s">
        <v>25</v>
      </c>
      <c r="D1381" t="s">
        <v>35</v>
      </c>
      <c r="E1381" t="s">
        <v>36</v>
      </c>
      <c r="F1381" t="s">
        <v>57</v>
      </c>
      <c r="G1381">
        <v>1</v>
      </c>
      <c r="H1381" t="s">
        <v>37</v>
      </c>
      <c r="I1381" t="s">
        <v>38</v>
      </c>
      <c r="J1381" t="s">
        <v>39</v>
      </c>
      <c r="K1381" t="s">
        <v>33</v>
      </c>
      <c r="L1381">
        <v>45</v>
      </c>
      <c r="M1381">
        <v>28</v>
      </c>
      <c r="N1381" t="s">
        <v>47</v>
      </c>
      <c r="O1381">
        <v>4</v>
      </c>
      <c r="P1381">
        <v>1</v>
      </c>
      <c r="Q1381">
        <v>4</v>
      </c>
      <c r="R1381">
        <v>2132</v>
      </c>
      <c r="S1381">
        <v>8</v>
      </c>
      <c r="T1381">
        <v>3</v>
      </c>
      <c r="U1381">
        <v>5</v>
      </c>
      <c r="V1381">
        <v>4</v>
      </c>
      <c r="W1381">
        <v>0</v>
      </c>
      <c r="X1381">
        <v>3</v>
      </c>
      <c r="Y1381">
        <f>IF(HR_data[[#This Row],[Attrition]]= "Yes",1,0)</f>
        <v>0</v>
      </c>
    </row>
    <row r="1382" spans="1:25">
      <c r="A1382">
        <v>1381</v>
      </c>
      <c r="B1382" t="s">
        <v>33</v>
      </c>
      <c r="C1382" t="s">
        <v>25</v>
      </c>
      <c r="D1382" t="s">
        <v>35</v>
      </c>
      <c r="E1382" t="s">
        <v>36</v>
      </c>
      <c r="F1382" t="s">
        <v>45</v>
      </c>
      <c r="G1382">
        <v>1</v>
      </c>
      <c r="H1382" t="s">
        <v>37</v>
      </c>
      <c r="I1382" t="s">
        <v>50</v>
      </c>
      <c r="J1382" t="s">
        <v>31</v>
      </c>
      <c r="K1382" t="s">
        <v>33</v>
      </c>
      <c r="L1382">
        <v>47</v>
      </c>
      <c r="M1382">
        <v>25</v>
      </c>
      <c r="N1382" t="s">
        <v>47</v>
      </c>
      <c r="O1382">
        <v>1</v>
      </c>
      <c r="P1382">
        <v>3</v>
      </c>
      <c r="Q1382">
        <v>3</v>
      </c>
      <c r="R1382">
        <v>8633</v>
      </c>
      <c r="S1382">
        <v>25</v>
      </c>
      <c r="T1382">
        <v>3</v>
      </c>
      <c r="U1382">
        <v>17</v>
      </c>
      <c r="V1382">
        <v>14</v>
      </c>
      <c r="W1382">
        <v>12</v>
      </c>
      <c r="X1382">
        <v>11</v>
      </c>
      <c r="Y1382">
        <f>IF(HR_data[[#This Row],[Attrition]]= "Yes",1,0)</f>
        <v>0</v>
      </c>
    </row>
    <row r="1383" spans="1:25">
      <c r="A1383">
        <v>1382</v>
      </c>
      <c r="B1383" t="s">
        <v>33</v>
      </c>
      <c r="C1383" t="s">
        <v>25</v>
      </c>
      <c r="D1383" t="s">
        <v>26</v>
      </c>
      <c r="E1383" t="s">
        <v>36</v>
      </c>
      <c r="F1383" t="s">
        <v>45</v>
      </c>
      <c r="G1383">
        <v>1</v>
      </c>
      <c r="H1383" t="s">
        <v>37</v>
      </c>
      <c r="I1383" t="s">
        <v>55</v>
      </c>
      <c r="J1383" t="s">
        <v>31</v>
      </c>
      <c r="K1383" t="s">
        <v>33</v>
      </c>
      <c r="L1383">
        <v>39</v>
      </c>
      <c r="M1383">
        <v>10</v>
      </c>
      <c r="N1383" t="s">
        <v>40</v>
      </c>
      <c r="O1383">
        <v>3</v>
      </c>
      <c r="P1383">
        <v>3</v>
      </c>
      <c r="Q1383">
        <v>3</v>
      </c>
      <c r="R1383">
        <v>13464</v>
      </c>
      <c r="S1383">
        <v>9</v>
      </c>
      <c r="T1383">
        <v>3</v>
      </c>
      <c r="U1383">
        <v>4</v>
      </c>
      <c r="V1383">
        <v>3</v>
      </c>
      <c r="W1383">
        <v>2</v>
      </c>
      <c r="X1383">
        <v>2</v>
      </c>
      <c r="Y1383">
        <f>IF(HR_data[[#This Row],[Attrition]]= "Yes",1,0)</f>
        <v>0</v>
      </c>
    </row>
    <row r="1384" spans="1:25">
      <c r="A1384">
        <v>1383</v>
      </c>
      <c r="B1384" t="s">
        <v>33</v>
      </c>
      <c r="C1384" t="s">
        <v>25</v>
      </c>
      <c r="D1384" t="s">
        <v>43</v>
      </c>
      <c r="E1384" t="s">
        <v>36</v>
      </c>
      <c r="F1384" t="s">
        <v>45</v>
      </c>
      <c r="G1384">
        <v>1</v>
      </c>
      <c r="H1384" t="s">
        <v>37</v>
      </c>
      <c r="I1384" t="s">
        <v>53</v>
      </c>
      <c r="J1384" t="s">
        <v>31</v>
      </c>
      <c r="K1384" t="s">
        <v>33</v>
      </c>
      <c r="L1384">
        <v>32</v>
      </c>
      <c r="M1384">
        <v>10</v>
      </c>
      <c r="N1384" t="s">
        <v>47</v>
      </c>
      <c r="O1384">
        <v>3</v>
      </c>
      <c r="P1384">
        <v>3</v>
      </c>
      <c r="Q1384">
        <v>4</v>
      </c>
      <c r="R1384">
        <v>11244</v>
      </c>
      <c r="S1384">
        <v>10</v>
      </c>
      <c r="T1384">
        <v>4</v>
      </c>
      <c r="U1384">
        <v>5</v>
      </c>
      <c r="V1384">
        <v>2</v>
      </c>
      <c r="W1384">
        <v>0</v>
      </c>
      <c r="X1384">
        <v>0</v>
      </c>
      <c r="Y1384">
        <f>IF(HR_data[[#This Row],[Attrition]]= "Yes",1,0)</f>
        <v>0</v>
      </c>
    </row>
    <row r="1385" spans="1:25">
      <c r="A1385">
        <v>1384</v>
      </c>
      <c r="B1385" t="s">
        <v>33</v>
      </c>
      <c r="C1385" t="s">
        <v>25</v>
      </c>
      <c r="D1385" t="s">
        <v>43</v>
      </c>
      <c r="E1385" t="s">
        <v>36</v>
      </c>
      <c r="F1385" t="s">
        <v>28</v>
      </c>
      <c r="G1385">
        <v>1</v>
      </c>
      <c r="H1385" t="s">
        <v>37</v>
      </c>
      <c r="I1385" t="s">
        <v>49</v>
      </c>
      <c r="J1385" t="s">
        <v>31</v>
      </c>
      <c r="K1385" t="s">
        <v>33</v>
      </c>
      <c r="L1385">
        <v>32</v>
      </c>
      <c r="M1385">
        <v>5</v>
      </c>
      <c r="N1385" t="s">
        <v>44</v>
      </c>
      <c r="O1385">
        <v>4</v>
      </c>
      <c r="P1385">
        <v>2</v>
      </c>
      <c r="Q1385">
        <v>4</v>
      </c>
      <c r="R1385">
        <v>9679</v>
      </c>
      <c r="S1385">
        <v>8</v>
      </c>
      <c r="T1385">
        <v>3</v>
      </c>
      <c r="U1385">
        <v>1</v>
      </c>
      <c r="V1385">
        <v>0</v>
      </c>
      <c r="W1385">
        <v>0</v>
      </c>
      <c r="X1385">
        <v>0</v>
      </c>
      <c r="Y1385">
        <f>IF(HR_data[[#This Row],[Attrition]]= "Yes",1,0)</f>
        <v>0</v>
      </c>
    </row>
    <row r="1386" spans="1:25">
      <c r="A1386">
        <v>1385</v>
      </c>
      <c r="B1386" t="s">
        <v>33</v>
      </c>
      <c r="C1386" t="s">
        <v>25</v>
      </c>
      <c r="D1386" t="s">
        <v>26</v>
      </c>
      <c r="E1386" t="s">
        <v>36</v>
      </c>
      <c r="F1386" t="s">
        <v>41</v>
      </c>
      <c r="G1386">
        <v>1</v>
      </c>
      <c r="H1386" t="s">
        <v>37</v>
      </c>
      <c r="I1386" t="s">
        <v>53</v>
      </c>
      <c r="J1386" t="s">
        <v>31</v>
      </c>
      <c r="K1386" t="s">
        <v>33</v>
      </c>
      <c r="L1386">
        <v>42</v>
      </c>
      <c r="M1386">
        <v>9</v>
      </c>
      <c r="N1386" t="s">
        <v>32</v>
      </c>
      <c r="O1386">
        <v>4</v>
      </c>
      <c r="P1386">
        <v>5</v>
      </c>
      <c r="Q1386">
        <v>4</v>
      </c>
      <c r="R1386">
        <v>19613</v>
      </c>
      <c r="S1386">
        <v>24</v>
      </c>
      <c r="T1386">
        <v>3</v>
      </c>
      <c r="U1386">
        <v>1</v>
      </c>
      <c r="V1386">
        <v>0</v>
      </c>
      <c r="W1386">
        <v>0</v>
      </c>
      <c r="X1386">
        <v>1</v>
      </c>
      <c r="Y1386">
        <f>IF(HR_data[[#This Row],[Attrition]]= "Yes",1,0)</f>
        <v>0</v>
      </c>
    </row>
    <row r="1387" spans="1:25">
      <c r="A1387">
        <v>1386</v>
      </c>
      <c r="B1387" t="s">
        <v>33</v>
      </c>
      <c r="C1387" t="s">
        <v>25</v>
      </c>
      <c r="D1387" t="s">
        <v>46</v>
      </c>
      <c r="E1387" t="s">
        <v>27</v>
      </c>
      <c r="F1387" t="s">
        <v>56</v>
      </c>
      <c r="G1387">
        <v>1</v>
      </c>
      <c r="H1387" t="s">
        <v>37</v>
      </c>
      <c r="I1387" t="s">
        <v>53</v>
      </c>
      <c r="J1387" t="s">
        <v>39</v>
      </c>
      <c r="K1387" t="s">
        <v>33</v>
      </c>
      <c r="L1387">
        <v>55</v>
      </c>
      <c r="M1387">
        <v>26</v>
      </c>
      <c r="N1387" t="s">
        <v>58</v>
      </c>
      <c r="O1387">
        <v>3</v>
      </c>
      <c r="P1387">
        <v>5</v>
      </c>
      <c r="Q1387">
        <v>4</v>
      </c>
      <c r="R1387">
        <v>19586</v>
      </c>
      <c r="S1387">
        <v>36</v>
      </c>
      <c r="T1387">
        <v>3</v>
      </c>
      <c r="U1387">
        <v>36</v>
      </c>
      <c r="V1387">
        <v>6</v>
      </c>
      <c r="W1387">
        <v>2</v>
      </c>
      <c r="X1387">
        <v>13</v>
      </c>
      <c r="Y1387">
        <f>IF(HR_data[[#This Row],[Attrition]]= "Yes",1,0)</f>
        <v>0</v>
      </c>
    </row>
    <row r="1388" spans="1:25">
      <c r="A1388">
        <v>1387</v>
      </c>
      <c r="B1388" t="s">
        <v>33</v>
      </c>
      <c r="C1388" t="s">
        <v>25</v>
      </c>
      <c r="D1388" t="s">
        <v>43</v>
      </c>
      <c r="E1388" t="s">
        <v>27</v>
      </c>
      <c r="F1388" t="s">
        <v>57</v>
      </c>
      <c r="G1388">
        <v>1</v>
      </c>
      <c r="H1388" t="s">
        <v>37</v>
      </c>
      <c r="I1388" t="s">
        <v>30</v>
      </c>
      <c r="J1388" t="s">
        <v>39</v>
      </c>
      <c r="K1388" t="s">
        <v>33</v>
      </c>
      <c r="L1388">
        <v>34</v>
      </c>
      <c r="M1388">
        <v>8</v>
      </c>
      <c r="N1388" t="s">
        <v>32</v>
      </c>
      <c r="O1388">
        <v>2</v>
      </c>
      <c r="P1388">
        <v>2</v>
      </c>
      <c r="Q1388">
        <v>3</v>
      </c>
      <c r="R1388">
        <v>6799</v>
      </c>
      <c r="S1388">
        <v>10</v>
      </c>
      <c r="T1388">
        <v>3</v>
      </c>
      <c r="U1388">
        <v>10</v>
      </c>
      <c r="V1388">
        <v>8</v>
      </c>
      <c r="W1388">
        <v>4</v>
      </c>
      <c r="X1388">
        <v>8</v>
      </c>
      <c r="Y1388">
        <f>IF(HR_data[[#This Row],[Attrition]]= "Yes",1,0)</f>
        <v>0</v>
      </c>
    </row>
    <row r="1389" spans="1:25">
      <c r="A1389">
        <v>1388</v>
      </c>
      <c r="B1389" t="s">
        <v>33</v>
      </c>
      <c r="C1389" t="s">
        <v>25</v>
      </c>
      <c r="D1389" t="s">
        <v>43</v>
      </c>
      <c r="E1389" t="s">
        <v>27</v>
      </c>
      <c r="F1389" t="s">
        <v>56</v>
      </c>
      <c r="G1389">
        <v>1</v>
      </c>
      <c r="H1389" t="s">
        <v>37</v>
      </c>
      <c r="I1389" t="s">
        <v>30</v>
      </c>
      <c r="J1389" t="s">
        <v>31</v>
      </c>
      <c r="K1389" t="s">
        <v>33</v>
      </c>
      <c r="L1389">
        <v>34</v>
      </c>
      <c r="M1389">
        <v>1</v>
      </c>
      <c r="N1389" t="s">
        <v>47</v>
      </c>
      <c r="O1389">
        <v>1</v>
      </c>
      <c r="P1389">
        <v>3</v>
      </c>
      <c r="Q1389">
        <v>4</v>
      </c>
      <c r="R1389">
        <v>9888</v>
      </c>
      <c r="S1389">
        <v>14</v>
      </c>
      <c r="T1389">
        <v>2</v>
      </c>
      <c r="U1389">
        <v>14</v>
      </c>
      <c r="V1389">
        <v>8</v>
      </c>
      <c r="W1389">
        <v>2</v>
      </c>
      <c r="X1389">
        <v>1</v>
      </c>
      <c r="Y1389">
        <f>IF(HR_data[[#This Row],[Attrition]]= "Yes",1,0)</f>
        <v>0</v>
      </c>
    </row>
    <row r="1390" spans="1:25">
      <c r="A1390">
        <v>1389</v>
      </c>
      <c r="B1390" t="s">
        <v>33</v>
      </c>
      <c r="C1390" t="s">
        <v>51</v>
      </c>
      <c r="D1390" t="s">
        <v>35</v>
      </c>
      <c r="E1390" t="s">
        <v>36</v>
      </c>
      <c r="F1390" t="s">
        <v>45</v>
      </c>
      <c r="G1390">
        <v>1</v>
      </c>
      <c r="H1390" t="s">
        <v>29</v>
      </c>
      <c r="I1390" t="s">
        <v>49</v>
      </c>
      <c r="J1390" t="s">
        <v>39</v>
      </c>
      <c r="K1390" t="s">
        <v>24</v>
      </c>
      <c r="L1390">
        <v>53</v>
      </c>
      <c r="M1390">
        <v>1</v>
      </c>
      <c r="N1390" t="s">
        <v>44</v>
      </c>
      <c r="O1390">
        <v>1</v>
      </c>
      <c r="P1390">
        <v>4</v>
      </c>
      <c r="Q1390">
        <v>3</v>
      </c>
      <c r="R1390">
        <v>12965</v>
      </c>
      <c r="S1390">
        <v>27</v>
      </c>
      <c r="T1390">
        <v>2</v>
      </c>
      <c r="U1390">
        <v>3</v>
      </c>
      <c r="V1390">
        <v>2</v>
      </c>
      <c r="W1390">
        <v>0</v>
      </c>
      <c r="X1390">
        <v>2</v>
      </c>
      <c r="Y1390">
        <f>IF(HR_data[[#This Row],[Attrition]]= "Yes",1,0)</f>
        <v>0</v>
      </c>
    </row>
    <row r="1391" spans="1:25">
      <c r="A1391">
        <v>1390</v>
      </c>
      <c r="B1391" t="s">
        <v>33</v>
      </c>
      <c r="C1391" t="s">
        <v>51</v>
      </c>
      <c r="D1391" t="s">
        <v>43</v>
      </c>
      <c r="E1391" t="s">
        <v>27</v>
      </c>
      <c r="F1391" t="s">
        <v>28</v>
      </c>
      <c r="G1391">
        <v>1</v>
      </c>
      <c r="H1391" t="s">
        <v>29</v>
      </c>
      <c r="I1391" t="s">
        <v>30</v>
      </c>
      <c r="J1391" t="s">
        <v>48</v>
      </c>
      <c r="K1391" t="s">
        <v>24</v>
      </c>
      <c r="L1391">
        <v>33</v>
      </c>
      <c r="M1391">
        <v>16</v>
      </c>
      <c r="N1391" t="s">
        <v>47</v>
      </c>
      <c r="O1391">
        <v>3</v>
      </c>
      <c r="P1391">
        <v>2</v>
      </c>
      <c r="Q1391">
        <v>4</v>
      </c>
      <c r="R1391">
        <v>5368</v>
      </c>
      <c r="S1391">
        <v>7</v>
      </c>
      <c r="T1391">
        <v>3</v>
      </c>
      <c r="U1391">
        <v>6</v>
      </c>
      <c r="V1391">
        <v>5</v>
      </c>
      <c r="W1391">
        <v>1</v>
      </c>
      <c r="X1391">
        <v>2</v>
      </c>
      <c r="Y1391">
        <f>IF(HR_data[[#This Row],[Attrition]]= "Yes",1,0)</f>
        <v>0</v>
      </c>
    </row>
    <row r="1392" spans="1:25">
      <c r="A1392">
        <v>1391</v>
      </c>
      <c r="B1392" t="s">
        <v>33</v>
      </c>
      <c r="C1392" t="s">
        <v>25</v>
      </c>
      <c r="D1392" t="s">
        <v>26</v>
      </c>
      <c r="E1392" t="s">
        <v>36</v>
      </c>
      <c r="F1392" t="s">
        <v>28</v>
      </c>
      <c r="G1392">
        <v>1</v>
      </c>
      <c r="H1392" t="s">
        <v>29</v>
      </c>
      <c r="I1392" t="s">
        <v>55</v>
      </c>
      <c r="J1392" t="s">
        <v>39</v>
      </c>
      <c r="K1392" t="s">
        <v>24</v>
      </c>
      <c r="L1392">
        <v>37</v>
      </c>
      <c r="M1392">
        <v>10</v>
      </c>
      <c r="N1392" t="s">
        <v>47</v>
      </c>
      <c r="O1392">
        <v>3</v>
      </c>
      <c r="P1392">
        <v>3</v>
      </c>
      <c r="Q1392">
        <v>4</v>
      </c>
      <c r="R1392">
        <v>13744</v>
      </c>
      <c r="S1392">
        <v>16</v>
      </c>
      <c r="T1392">
        <v>3</v>
      </c>
      <c r="U1392">
        <v>16</v>
      </c>
      <c r="V1392">
        <v>11</v>
      </c>
      <c r="W1392">
        <v>6</v>
      </c>
      <c r="X1392">
        <v>8</v>
      </c>
      <c r="Y1392">
        <f>IF(HR_data[[#This Row],[Attrition]]= "Yes",1,0)</f>
        <v>0</v>
      </c>
    </row>
    <row r="1393" spans="1:25">
      <c r="A1393">
        <v>1392</v>
      </c>
      <c r="B1393" t="s">
        <v>33</v>
      </c>
      <c r="C1393" t="s">
        <v>25</v>
      </c>
      <c r="D1393" t="s">
        <v>46</v>
      </c>
      <c r="E1393" t="s">
        <v>36</v>
      </c>
      <c r="F1393" t="s">
        <v>45</v>
      </c>
      <c r="G1393">
        <v>1</v>
      </c>
      <c r="H1393" t="s">
        <v>29</v>
      </c>
      <c r="I1393" t="s">
        <v>55</v>
      </c>
      <c r="J1393" t="s">
        <v>39</v>
      </c>
      <c r="K1393" t="s">
        <v>24</v>
      </c>
      <c r="L1393">
        <v>58</v>
      </c>
      <c r="M1393">
        <v>1</v>
      </c>
      <c r="N1393" t="s">
        <v>47</v>
      </c>
      <c r="O1393">
        <v>4</v>
      </c>
      <c r="P1393">
        <v>5</v>
      </c>
      <c r="Q1393">
        <v>1</v>
      </c>
      <c r="R1393">
        <v>19701</v>
      </c>
      <c r="S1393">
        <v>32</v>
      </c>
      <c r="T1393">
        <v>3</v>
      </c>
      <c r="U1393">
        <v>9</v>
      </c>
      <c r="V1393">
        <v>8</v>
      </c>
      <c r="W1393">
        <v>1</v>
      </c>
      <c r="X1393">
        <v>5</v>
      </c>
      <c r="Y1393">
        <f>IF(HR_data[[#This Row],[Attrition]]= "Yes",1,0)</f>
        <v>0</v>
      </c>
    </row>
    <row r="1394" spans="1:25">
      <c r="A1394">
        <v>1393</v>
      </c>
      <c r="B1394" t="s">
        <v>33</v>
      </c>
      <c r="C1394" t="s">
        <v>25</v>
      </c>
      <c r="D1394" t="s">
        <v>26</v>
      </c>
      <c r="E1394" t="s">
        <v>36</v>
      </c>
      <c r="F1394" t="s">
        <v>41</v>
      </c>
      <c r="G1394">
        <v>1</v>
      </c>
      <c r="H1394" t="s">
        <v>29</v>
      </c>
      <c r="I1394" t="s">
        <v>38</v>
      </c>
      <c r="J1394" t="s">
        <v>39</v>
      </c>
      <c r="K1394" t="s">
        <v>24</v>
      </c>
      <c r="L1394">
        <v>36</v>
      </c>
      <c r="M1394">
        <v>2</v>
      </c>
      <c r="N1394" t="s">
        <v>44</v>
      </c>
      <c r="O1394">
        <v>4</v>
      </c>
      <c r="P1394">
        <v>2</v>
      </c>
      <c r="Q1394">
        <v>2</v>
      </c>
      <c r="R1394">
        <v>6962</v>
      </c>
      <c r="S1394">
        <v>15</v>
      </c>
      <c r="T1394">
        <v>3</v>
      </c>
      <c r="U1394">
        <v>1</v>
      </c>
      <c r="V1394">
        <v>0</v>
      </c>
      <c r="W1394">
        <v>0</v>
      </c>
      <c r="X1394">
        <v>0</v>
      </c>
      <c r="Y1394">
        <f>IF(HR_data[[#This Row],[Attrition]]= "Yes",1,0)</f>
        <v>0</v>
      </c>
    </row>
    <row r="1395" spans="1:25">
      <c r="A1395">
        <v>1394</v>
      </c>
      <c r="B1395" t="s">
        <v>33</v>
      </c>
      <c r="C1395" t="s">
        <v>25</v>
      </c>
      <c r="D1395" t="s">
        <v>43</v>
      </c>
      <c r="E1395" t="s">
        <v>27</v>
      </c>
      <c r="F1395" t="s">
        <v>41</v>
      </c>
      <c r="G1395">
        <v>1</v>
      </c>
      <c r="H1395" t="s">
        <v>29</v>
      </c>
      <c r="I1395" t="s">
        <v>30</v>
      </c>
      <c r="J1395" t="s">
        <v>48</v>
      </c>
      <c r="K1395" t="s">
        <v>24</v>
      </c>
      <c r="L1395">
        <v>25</v>
      </c>
      <c r="M1395">
        <v>8</v>
      </c>
      <c r="N1395" t="s">
        <v>32</v>
      </c>
      <c r="O1395">
        <v>1</v>
      </c>
      <c r="P1395">
        <v>2</v>
      </c>
      <c r="Q1395">
        <v>3</v>
      </c>
      <c r="R1395">
        <v>4907</v>
      </c>
      <c r="S1395">
        <v>6</v>
      </c>
      <c r="T1395">
        <v>2</v>
      </c>
      <c r="U1395">
        <v>5</v>
      </c>
      <c r="V1395">
        <v>3</v>
      </c>
      <c r="W1395">
        <v>0</v>
      </c>
      <c r="X1395">
        <v>4</v>
      </c>
      <c r="Y1395">
        <f>IF(HR_data[[#This Row],[Attrition]]= "Yes",1,0)</f>
        <v>0</v>
      </c>
    </row>
    <row r="1396" spans="1:25">
      <c r="A1396">
        <v>1395</v>
      </c>
      <c r="B1396" t="s">
        <v>33</v>
      </c>
      <c r="C1396" t="s">
        <v>25</v>
      </c>
      <c r="D1396" t="s">
        <v>26</v>
      </c>
      <c r="E1396" t="s">
        <v>27</v>
      </c>
      <c r="F1396" t="s">
        <v>56</v>
      </c>
      <c r="G1396">
        <v>1</v>
      </c>
      <c r="H1396" t="s">
        <v>29</v>
      </c>
      <c r="I1396" t="s">
        <v>54</v>
      </c>
      <c r="J1396" t="s">
        <v>39</v>
      </c>
      <c r="K1396" t="s">
        <v>24</v>
      </c>
      <c r="L1396">
        <v>38</v>
      </c>
      <c r="M1396">
        <v>2</v>
      </c>
      <c r="N1396" t="s">
        <v>44</v>
      </c>
      <c r="O1396">
        <v>2</v>
      </c>
      <c r="P1396">
        <v>2</v>
      </c>
      <c r="Q1396">
        <v>4</v>
      </c>
      <c r="R1396">
        <v>5405</v>
      </c>
      <c r="S1396">
        <v>20</v>
      </c>
      <c r="T1396">
        <v>2</v>
      </c>
      <c r="U1396">
        <v>4</v>
      </c>
      <c r="V1396">
        <v>2</v>
      </c>
      <c r="W1396">
        <v>0</v>
      </c>
      <c r="X1396">
        <v>3</v>
      </c>
      <c r="Y1396">
        <f>IF(HR_data[[#This Row],[Attrition]]= "Yes",1,0)</f>
        <v>0</v>
      </c>
    </row>
    <row r="1397" spans="1:25">
      <c r="A1397">
        <v>1396</v>
      </c>
      <c r="B1397" t="s">
        <v>33</v>
      </c>
      <c r="C1397" t="s">
        <v>25</v>
      </c>
      <c r="D1397" t="s">
        <v>26</v>
      </c>
      <c r="E1397" t="s">
        <v>59</v>
      </c>
      <c r="F1397" t="s">
        <v>45</v>
      </c>
      <c r="G1397">
        <v>1</v>
      </c>
      <c r="H1397" t="s">
        <v>37</v>
      </c>
      <c r="I1397" t="s">
        <v>53</v>
      </c>
      <c r="J1397" t="s">
        <v>31</v>
      </c>
      <c r="K1397" t="s">
        <v>24</v>
      </c>
      <c r="L1397">
        <v>40</v>
      </c>
      <c r="M1397">
        <v>6</v>
      </c>
      <c r="N1397" t="s">
        <v>32</v>
      </c>
      <c r="O1397">
        <v>3</v>
      </c>
      <c r="P1397">
        <v>4</v>
      </c>
      <c r="Q1397">
        <v>4</v>
      </c>
      <c r="R1397">
        <v>16437</v>
      </c>
      <c r="S1397">
        <v>21</v>
      </c>
      <c r="T1397">
        <v>3</v>
      </c>
      <c r="U1397">
        <v>21</v>
      </c>
      <c r="V1397">
        <v>7</v>
      </c>
      <c r="W1397">
        <v>7</v>
      </c>
      <c r="X1397">
        <v>7</v>
      </c>
      <c r="Y1397">
        <f>IF(HR_data[[#This Row],[Attrition]]= "Yes",1,0)</f>
        <v>0</v>
      </c>
    </row>
    <row r="1398" spans="1:25">
      <c r="A1398">
        <v>1397</v>
      </c>
      <c r="B1398" t="s">
        <v>33</v>
      </c>
      <c r="C1398" t="s">
        <v>25</v>
      </c>
      <c r="D1398" t="s">
        <v>43</v>
      </c>
      <c r="E1398" t="s">
        <v>36</v>
      </c>
      <c r="F1398" t="s">
        <v>28</v>
      </c>
      <c r="G1398">
        <v>1</v>
      </c>
      <c r="H1398" t="s">
        <v>37</v>
      </c>
      <c r="I1398" t="s">
        <v>49</v>
      </c>
      <c r="J1398" t="s">
        <v>39</v>
      </c>
      <c r="K1398" t="s">
        <v>24</v>
      </c>
      <c r="L1398">
        <v>27</v>
      </c>
      <c r="M1398">
        <v>4</v>
      </c>
      <c r="N1398" t="s">
        <v>47</v>
      </c>
      <c r="O1398">
        <v>2</v>
      </c>
      <c r="P1398">
        <v>2</v>
      </c>
      <c r="Q1398">
        <v>2</v>
      </c>
      <c r="R1398">
        <v>6142</v>
      </c>
      <c r="S1398">
        <v>6</v>
      </c>
      <c r="T1398">
        <v>3</v>
      </c>
      <c r="U1398">
        <v>6</v>
      </c>
      <c r="V1398">
        <v>2</v>
      </c>
      <c r="W1398">
        <v>0</v>
      </c>
      <c r="X1398">
        <v>3</v>
      </c>
      <c r="Y1398">
        <f>IF(HR_data[[#This Row],[Attrition]]= "Yes",1,0)</f>
        <v>0</v>
      </c>
    </row>
    <row r="1399" spans="1:25">
      <c r="A1399">
        <v>1398</v>
      </c>
      <c r="B1399" t="s">
        <v>33</v>
      </c>
      <c r="C1399" t="s">
        <v>25</v>
      </c>
      <c r="D1399" t="s">
        <v>26</v>
      </c>
      <c r="E1399" t="s">
        <v>36</v>
      </c>
      <c r="F1399" t="s">
        <v>45</v>
      </c>
      <c r="G1399">
        <v>1</v>
      </c>
      <c r="H1399" t="s">
        <v>37</v>
      </c>
      <c r="I1399" t="s">
        <v>38</v>
      </c>
      <c r="J1399" t="s">
        <v>39</v>
      </c>
      <c r="K1399" t="s">
        <v>24</v>
      </c>
      <c r="L1399">
        <v>37</v>
      </c>
      <c r="M1399">
        <v>7</v>
      </c>
      <c r="N1399" t="s">
        <v>44</v>
      </c>
      <c r="O1399">
        <v>4</v>
      </c>
      <c r="P1399">
        <v>2</v>
      </c>
      <c r="Q1399">
        <v>1</v>
      </c>
      <c r="R1399">
        <v>4284</v>
      </c>
      <c r="S1399">
        <v>16</v>
      </c>
      <c r="T1399">
        <v>3</v>
      </c>
      <c r="U1399">
        <v>5</v>
      </c>
      <c r="V1399">
        <v>3</v>
      </c>
      <c r="W1399">
        <v>0</v>
      </c>
      <c r="X1399">
        <v>4</v>
      </c>
      <c r="Y1399">
        <f>IF(HR_data[[#This Row],[Attrition]]= "Yes",1,0)</f>
        <v>0</v>
      </c>
    </row>
    <row r="1400" spans="1:25">
      <c r="A1400">
        <v>1399</v>
      </c>
      <c r="B1400" t="s">
        <v>33</v>
      </c>
      <c r="C1400" t="s">
        <v>25</v>
      </c>
      <c r="D1400" t="s">
        <v>43</v>
      </c>
      <c r="E1400" t="s">
        <v>27</v>
      </c>
      <c r="F1400" t="s">
        <v>57</v>
      </c>
      <c r="G1400">
        <v>1</v>
      </c>
      <c r="H1400" t="s">
        <v>37</v>
      </c>
      <c r="I1400" t="s">
        <v>54</v>
      </c>
      <c r="J1400" t="s">
        <v>39</v>
      </c>
      <c r="K1400" t="s">
        <v>24</v>
      </c>
      <c r="L1400">
        <v>34</v>
      </c>
      <c r="M1400">
        <v>7</v>
      </c>
      <c r="N1400" t="s">
        <v>32</v>
      </c>
      <c r="O1400">
        <v>2</v>
      </c>
      <c r="P1400">
        <v>1</v>
      </c>
      <c r="Q1400">
        <v>3</v>
      </c>
      <c r="R1400">
        <v>2308</v>
      </c>
      <c r="S1400">
        <v>12</v>
      </c>
      <c r="T1400">
        <v>3</v>
      </c>
      <c r="U1400">
        <v>11</v>
      </c>
      <c r="V1400">
        <v>10</v>
      </c>
      <c r="W1400">
        <v>5</v>
      </c>
      <c r="X1400">
        <v>7</v>
      </c>
      <c r="Y1400">
        <f>IF(HR_data[[#This Row],[Attrition]]= "Yes",1,0)</f>
        <v>0</v>
      </c>
    </row>
    <row r="1401" spans="1:25">
      <c r="A1401">
        <v>1400</v>
      </c>
      <c r="B1401" t="s">
        <v>33</v>
      </c>
      <c r="C1401" t="s">
        <v>25</v>
      </c>
      <c r="D1401" t="s">
        <v>26</v>
      </c>
      <c r="E1401" t="s">
        <v>27</v>
      </c>
      <c r="F1401" t="s">
        <v>28</v>
      </c>
      <c r="G1401">
        <v>1</v>
      </c>
      <c r="H1401" t="s">
        <v>37</v>
      </c>
      <c r="I1401" t="s">
        <v>54</v>
      </c>
      <c r="J1401" t="s">
        <v>31</v>
      </c>
      <c r="K1401" t="s">
        <v>24</v>
      </c>
      <c r="L1401">
        <v>36</v>
      </c>
      <c r="M1401">
        <v>2</v>
      </c>
      <c r="N1401" t="s">
        <v>44</v>
      </c>
      <c r="O1401">
        <v>3</v>
      </c>
      <c r="P1401">
        <v>1</v>
      </c>
      <c r="Q1401">
        <v>4</v>
      </c>
      <c r="R1401">
        <v>2644</v>
      </c>
      <c r="S1401">
        <v>7</v>
      </c>
      <c r="T1401">
        <v>2</v>
      </c>
      <c r="U1401">
        <v>3</v>
      </c>
      <c r="V1401">
        <v>2</v>
      </c>
      <c r="W1401">
        <v>1</v>
      </c>
      <c r="X1401">
        <v>2</v>
      </c>
      <c r="Y1401">
        <f>IF(HR_data[[#This Row],[Attrition]]= "Yes",1,0)</f>
        <v>0</v>
      </c>
    </row>
    <row r="1402" spans="1:25">
      <c r="A1402">
        <v>1401</v>
      </c>
      <c r="B1402" t="s">
        <v>24</v>
      </c>
      <c r="C1402" t="s">
        <v>34</v>
      </c>
      <c r="D1402" t="s">
        <v>43</v>
      </c>
      <c r="E1402" t="s">
        <v>59</v>
      </c>
      <c r="F1402" t="s">
        <v>60</v>
      </c>
      <c r="G1402">
        <v>1</v>
      </c>
      <c r="H1402" t="s">
        <v>29</v>
      </c>
      <c r="I1402" t="s">
        <v>60</v>
      </c>
      <c r="J1402" t="s">
        <v>48</v>
      </c>
      <c r="K1402" t="s">
        <v>33</v>
      </c>
      <c r="L1402">
        <v>30</v>
      </c>
      <c r="M1402">
        <v>8</v>
      </c>
      <c r="N1402" t="s">
        <v>47</v>
      </c>
      <c r="O1402">
        <v>3</v>
      </c>
      <c r="P1402">
        <v>1</v>
      </c>
      <c r="Q1402">
        <v>4</v>
      </c>
      <c r="R1402">
        <v>2180</v>
      </c>
      <c r="S1402">
        <v>6</v>
      </c>
      <c r="T1402">
        <v>2</v>
      </c>
      <c r="U1402">
        <v>4</v>
      </c>
      <c r="V1402">
        <v>2</v>
      </c>
      <c r="W1402">
        <v>1</v>
      </c>
      <c r="X1402">
        <v>2</v>
      </c>
      <c r="Y1402">
        <f>IF(HR_data[[#This Row],[Attrition]]= "Yes",1,0)</f>
        <v>1</v>
      </c>
    </row>
    <row r="1403" spans="1:25">
      <c r="A1403">
        <v>1402</v>
      </c>
      <c r="B1403" t="s">
        <v>24</v>
      </c>
      <c r="C1403" t="s">
        <v>34</v>
      </c>
      <c r="D1403" t="s">
        <v>43</v>
      </c>
      <c r="E1403" t="s">
        <v>59</v>
      </c>
      <c r="F1403" t="s">
        <v>60</v>
      </c>
      <c r="G1403">
        <v>1</v>
      </c>
      <c r="H1403" t="s">
        <v>29</v>
      </c>
      <c r="I1403" t="s">
        <v>60</v>
      </c>
      <c r="J1403" t="s">
        <v>39</v>
      </c>
      <c r="K1403" t="s">
        <v>33</v>
      </c>
      <c r="L1403">
        <v>27</v>
      </c>
      <c r="M1403">
        <v>22</v>
      </c>
      <c r="N1403" t="s">
        <v>47</v>
      </c>
      <c r="O1403">
        <v>1</v>
      </c>
      <c r="P1403">
        <v>1</v>
      </c>
      <c r="Q1403">
        <v>2</v>
      </c>
      <c r="R1403">
        <v>2863</v>
      </c>
      <c r="S1403">
        <v>1</v>
      </c>
      <c r="T1403">
        <v>3</v>
      </c>
      <c r="U1403">
        <v>1</v>
      </c>
      <c r="V1403">
        <v>0</v>
      </c>
      <c r="W1403">
        <v>0</v>
      </c>
      <c r="X1403">
        <v>0</v>
      </c>
      <c r="Y1403">
        <f>IF(HR_data[[#This Row],[Attrition]]= "Yes",1,0)</f>
        <v>1</v>
      </c>
    </row>
    <row r="1404" spans="1:25">
      <c r="A1404">
        <v>1403</v>
      </c>
      <c r="B1404" t="s">
        <v>24</v>
      </c>
      <c r="C1404" t="s">
        <v>34</v>
      </c>
      <c r="D1404" t="s">
        <v>43</v>
      </c>
      <c r="E1404" t="s">
        <v>36</v>
      </c>
      <c r="F1404" t="s">
        <v>28</v>
      </c>
      <c r="G1404">
        <v>1</v>
      </c>
      <c r="H1404" t="s">
        <v>29</v>
      </c>
      <c r="I1404" t="s">
        <v>49</v>
      </c>
      <c r="J1404" t="s">
        <v>31</v>
      </c>
      <c r="K1404" t="s">
        <v>33</v>
      </c>
      <c r="L1404">
        <v>31</v>
      </c>
      <c r="M1404">
        <v>1</v>
      </c>
      <c r="N1404" t="s">
        <v>58</v>
      </c>
      <c r="O1404">
        <v>3</v>
      </c>
      <c r="P1404">
        <v>3</v>
      </c>
      <c r="Q1404">
        <v>2</v>
      </c>
      <c r="R1404">
        <v>7446</v>
      </c>
      <c r="S1404">
        <v>10</v>
      </c>
      <c r="T1404">
        <v>3</v>
      </c>
      <c r="U1404">
        <v>10</v>
      </c>
      <c r="V1404">
        <v>8</v>
      </c>
      <c r="W1404">
        <v>4</v>
      </c>
      <c r="X1404">
        <v>7</v>
      </c>
      <c r="Y1404">
        <f>IF(HR_data[[#This Row],[Attrition]]= "Yes",1,0)</f>
        <v>1</v>
      </c>
    </row>
    <row r="1405" spans="1:25">
      <c r="A1405">
        <v>1404</v>
      </c>
      <c r="B1405" t="s">
        <v>24</v>
      </c>
      <c r="C1405" t="s">
        <v>34</v>
      </c>
      <c r="D1405" t="s">
        <v>43</v>
      </c>
      <c r="E1405" t="s">
        <v>36</v>
      </c>
      <c r="F1405" t="s">
        <v>28</v>
      </c>
      <c r="G1405">
        <v>1</v>
      </c>
      <c r="H1405" t="s">
        <v>29</v>
      </c>
      <c r="I1405" t="s">
        <v>38</v>
      </c>
      <c r="J1405" t="s">
        <v>31</v>
      </c>
      <c r="K1405" t="s">
        <v>33</v>
      </c>
      <c r="L1405">
        <v>31</v>
      </c>
      <c r="M1405">
        <v>3</v>
      </c>
      <c r="N1405" t="s">
        <v>47</v>
      </c>
      <c r="O1405">
        <v>4</v>
      </c>
      <c r="P1405">
        <v>1</v>
      </c>
      <c r="Q1405">
        <v>3</v>
      </c>
      <c r="R1405">
        <v>4084</v>
      </c>
      <c r="S1405">
        <v>7</v>
      </c>
      <c r="T1405">
        <v>1</v>
      </c>
      <c r="U1405">
        <v>7</v>
      </c>
      <c r="V1405">
        <v>2</v>
      </c>
      <c r="W1405">
        <v>7</v>
      </c>
      <c r="X1405">
        <v>7</v>
      </c>
      <c r="Y1405">
        <f>IF(HR_data[[#This Row],[Attrition]]= "Yes",1,0)</f>
        <v>1</v>
      </c>
    </row>
    <row r="1406" spans="1:25">
      <c r="A1406">
        <v>1405</v>
      </c>
      <c r="B1406" t="s">
        <v>24</v>
      </c>
      <c r="C1406" t="s">
        <v>34</v>
      </c>
      <c r="D1406" t="s">
        <v>43</v>
      </c>
      <c r="E1406" t="s">
        <v>27</v>
      </c>
      <c r="F1406" t="s">
        <v>57</v>
      </c>
      <c r="G1406">
        <v>1</v>
      </c>
      <c r="H1406" t="s">
        <v>29</v>
      </c>
      <c r="I1406" t="s">
        <v>30</v>
      </c>
      <c r="J1406" t="s">
        <v>31</v>
      </c>
      <c r="K1406" t="s">
        <v>33</v>
      </c>
      <c r="L1406">
        <v>29</v>
      </c>
      <c r="M1406">
        <v>13</v>
      </c>
      <c r="N1406" t="s">
        <v>47</v>
      </c>
      <c r="O1406">
        <v>1</v>
      </c>
      <c r="P1406">
        <v>2</v>
      </c>
      <c r="Q1406">
        <v>2</v>
      </c>
      <c r="R1406">
        <v>5765</v>
      </c>
      <c r="S1406">
        <v>7</v>
      </c>
      <c r="T1406">
        <v>1</v>
      </c>
      <c r="U1406">
        <v>5</v>
      </c>
      <c r="V1406">
        <v>3</v>
      </c>
      <c r="W1406">
        <v>0</v>
      </c>
      <c r="X1406">
        <v>0</v>
      </c>
      <c r="Y1406">
        <f>IF(HR_data[[#This Row],[Attrition]]= "Yes",1,0)</f>
        <v>1</v>
      </c>
    </row>
    <row r="1407" spans="1:25">
      <c r="A1407">
        <v>1406</v>
      </c>
      <c r="B1407" t="s">
        <v>24</v>
      </c>
      <c r="C1407" t="s">
        <v>34</v>
      </c>
      <c r="D1407" t="s">
        <v>43</v>
      </c>
      <c r="E1407" t="s">
        <v>27</v>
      </c>
      <c r="F1407" t="s">
        <v>28</v>
      </c>
      <c r="G1407">
        <v>1</v>
      </c>
      <c r="H1407" t="s">
        <v>29</v>
      </c>
      <c r="I1407" t="s">
        <v>54</v>
      </c>
      <c r="J1407" t="s">
        <v>31</v>
      </c>
      <c r="K1407" t="s">
        <v>33</v>
      </c>
      <c r="L1407">
        <v>31</v>
      </c>
      <c r="M1407">
        <v>1</v>
      </c>
      <c r="N1407" t="s">
        <v>44</v>
      </c>
      <c r="O1407">
        <v>2</v>
      </c>
      <c r="P1407">
        <v>1</v>
      </c>
      <c r="Q1407">
        <v>3</v>
      </c>
      <c r="R1407">
        <v>1359</v>
      </c>
      <c r="S1407">
        <v>1</v>
      </c>
      <c r="T1407">
        <v>3</v>
      </c>
      <c r="U1407">
        <v>1</v>
      </c>
      <c r="V1407">
        <v>0</v>
      </c>
      <c r="W1407">
        <v>0</v>
      </c>
      <c r="X1407">
        <v>0</v>
      </c>
      <c r="Y1407">
        <f>IF(HR_data[[#This Row],[Attrition]]= "Yes",1,0)</f>
        <v>1</v>
      </c>
    </row>
    <row r="1408" spans="1:25">
      <c r="A1408">
        <v>1407</v>
      </c>
      <c r="B1408" t="s">
        <v>24</v>
      </c>
      <c r="C1408" t="s">
        <v>25</v>
      </c>
      <c r="D1408" t="s">
        <v>43</v>
      </c>
      <c r="E1408" t="s">
        <v>59</v>
      </c>
      <c r="F1408" t="s">
        <v>57</v>
      </c>
      <c r="G1408">
        <v>1</v>
      </c>
      <c r="H1408" t="s">
        <v>29</v>
      </c>
      <c r="I1408" t="s">
        <v>60</v>
      </c>
      <c r="J1408" t="s">
        <v>39</v>
      </c>
      <c r="K1408" t="s">
        <v>33</v>
      </c>
      <c r="L1408">
        <v>34</v>
      </c>
      <c r="M1408">
        <v>9</v>
      </c>
      <c r="N1408" t="s">
        <v>44</v>
      </c>
      <c r="O1408">
        <v>1</v>
      </c>
      <c r="P1408">
        <v>1</v>
      </c>
      <c r="Q1408">
        <v>3</v>
      </c>
      <c r="R1408">
        <v>2742</v>
      </c>
      <c r="S1408">
        <v>2</v>
      </c>
      <c r="T1408">
        <v>3</v>
      </c>
      <c r="U1408">
        <v>2</v>
      </c>
      <c r="V1408">
        <v>2</v>
      </c>
      <c r="W1408">
        <v>2</v>
      </c>
      <c r="X1408">
        <v>2</v>
      </c>
      <c r="Y1408">
        <f>IF(HR_data[[#This Row],[Attrition]]= "Yes",1,0)</f>
        <v>1</v>
      </c>
    </row>
    <row r="1409" spans="1:25">
      <c r="A1409">
        <v>1408</v>
      </c>
      <c r="B1409" t="s">
        <v>24</v>
      </c>
      <c r="C1409" t="s">
        <v>25</v>
      </c>
      <c r="D1409" t="s">
        <v>35</v>
      </c>
      <c r="E1409" t="s">
        <v>36</v>
      </c>
      <c r="F1409" t="s">
        <v>57</v>
      </c>
      <c r="G1409">
        <v>1</v>
      </c>
      <c r="H1409" t="s">
        <v>29</v>
      </c>
      <c r="I1409" t="s">
        <v>49</v>
      </c>
      <c r="J1409" t="s">
        <v>39</v>
      </c>
      <c r="K1409" t="s">
        <v>33</v>
      </c>
      <c r="L1409">
        <v>53</v>
      </c>
      <c r="M1409">
        <v>2</v>
      </c>
      <c r="N1409" t="s">
        <v>58</v>
      </c>
      <c r="O1409">
        <v>3</v>
      </c>
      <c r="P1409">
        <v>3</v>
      </c>
      <c r="Q1409">
        <v>4</v>
      </c>
      <c r="R1409">
        <v>10169</v>
      </c>
      <c r="S1409">
        <v>34</v>
      </c>
      <c r="T1409">
        <v>3</v>
      </c>
      <c r="U1409">
        <v>33</v>
      </c>
      <c r="V1409">
        <v>7</v>
      </c>
      <c r="W1409">
        <v>1</v>
      </c>
      <c r="X1409">
        <v>9</v>
      </c>
      <c r="Y1409">
        <f>IF(HR_data[[#This Row],[Attrition]]= "Yes",1,0)</f>
        <v>1</v>
      </c>
    </row>
    <row r="1410" spans="1:25">
      <c r="A1410">
        <v>1409</v>
      </c>
      <c r="B1410" t="s">
        <v>24</v>
      </c>
      <c r="C1410" t="s">
        <v>25</v>
      </c>
      <c r="D1410" t="s">
        <v>43</v>
      </c>
      <c r="E1410" t="s">
        <v>36</v>
      </c>
      <c r="F1410" t="s">
        <v>28</v>
      </c>
      <c r="G1410">
        <v>1</v>
      </c>
      <c r="H1410" t="s">
        <v>29</v>
      </c>
      <c r="I1410" t="s">
        <v>38</v>
      </c>
      <c r="J1410" t="s">
        <v>31</v>
      </c>
      <c r="K1410" t="s">
        <v>33</v>
      </c>
      <c r="L1410">
        <v>31</v>
      </c>
      <c r="M1410">
        <v>8</v>
      </c>
      <c r="N1410" t="s">
        <v>47</v>
      </c>
      <c r="O1410">
        <v>1</v>
      </c>
      <c r="P1410">
        <v>1</v>
      </c>
      <c r="Q1410">
        <v>2</v>
      </c>
      <c r="R1410">
        <v>1261</v>
      </c>
      <c r="S1410">
        <v>1</v>
      </c>
      <c r="T1410">
        <v>4</v>
      </c>
      <c r="U1410">
        <v>1</v>
      </c>
      <c r="V1410">
        <v>0</v>
      </c>
      <c r="W1410">
        <v>0</v>
      </c>
      <c r="X1410">
        <v>0</v>
      </c>
      <c r="Y1410">
        <f>IF(HR_data[[#This Row],[Attrition]]= "Yes",1,0)</f>
        <v>1</v>
      </c>
    </row>
    <row r="1411" spans="1:25">
      <c r="A1411">
        <v>1410</v>
      </c>
      <c r="B1411" t="s">
        <v>24</v>
      </c>
      <c r="C1411" t="s">
        <v>25</v>
      </c>
      <c r="D1411" t="s">
        <v>43</v>
      </c>
      <c r="E1411" t="s">
        <v>27</v>
      </c>
      <c r="F1411" t="s">
        <v>56</v>
      </c>
      <c r="G1411">
        <v>1</v>
      </c>
      <c r="H1411" t="s">
        <v>29</v>
      </c>
      <c r="I1411" t="s">
        <v>54</v>
      </c>
      <c r="J1411" t="s">
        <v>31</v>
      </c>
      <c r="K1411" t="s">
        <v>33</v>
      </c>
      <c r="L1411">
        <v>29</v>
      </c>
      <c r="M1411">
        <v>9</v>
      </c>
      <c r="N1411" t="s">
        <v>47</v>
      </c>
      <c r="O1411">
        <v>2</v>
      </c>
      <c r="P1411">
        <v>1</v>
      </c>
      <c r="Q1411">
        <v>2</v>
      </c>
      <c r="R1411">
        <v>2760</v>
      </c>
      <c r="S1411">
        <v>2</v>
      </c>
      <c r="T1411">
        <v>3</v>
      </c>
      <c r="U1411">
        <v>2</v>
      </c>
      <c r="V1411">
        <v>2</v>
      </c>
      <c r="W1411">
        <v>2</v>
      </c>
      <c r="X1411">
        <v>2</v>
      </c>
      <c r="Y1411">
        <f>IF(HR_data[[#This Row],[Attrition]]= "Yes",1,0)</f>
        <v>1</v>
      </c>
    </row>
    <row r="1412" spans="1:25">
      <c r="A1412">
        <v>1411</v>
      </c>
      <c r="B1412" t="s">
        <v>24</v>
      </c>
      <c r="C1412" t="s">
        <v>34</v>
      </c>
      <c r="D1412" t="s">
        <v>43</v>
      </c>
      <c r="E1412" t="s">
        <v>36</v>
      </c>
      <c r="F1412" t="s">
        <v>28</v>
      </c>
      <c r="G1412">
        <v>1</v>
      </c>
      <c r="H1412" t="s">
        <v>37</v>
      </c>
      <c r="I1412" t="s">
        <v>42</v>
      </c>
      <c r="J1412" t="s">
        <v>39</v>
      </c>
      <c r="K1412" t="s">
        <v>33</v>
      </c>
      <c r="L1412">
        <v>34</v>
      </c>
      <c r="M1412">
        <v>9</v>
      </c>
      <c r="N1412" t="s">
        <v>44</v>
      </c>
      <c r="O1412">
        <v>4</v>
      </c>
      <c r="P1412">
        <v>2</v>
      </c>
      <c r="Q1412">
        <v>1</v>
      </c>
      <c r="R1412">
        <v>5346</v>
      </c>
      <c r="S1412">
        <v>11</v>
      </c>
      <c r="T1412">
        <v>2</v>
      </c>
      <c r="U1412">
        <v>7</v>
      </c>
      <c r="V1412">
        <v>1</v>
      </c>
      <c r="W1412">
        <v>0</v>
      </c>
      <c r="X1412">
        <v>7</v>
      </c>
      <c r="Y1412">
        <f>IF(HR_data[[#This Row],[Attrition]]= "Yes",1,0)</f>
        <v>1</v>
      </c>
    </row>
    <row r="1413" spans="1:25">
      <c r="A1413">
        <v>1412</v>
      </c>
      <c r="B1413" t="s">
        <v>24</v>
      </c>
      <c r="C1413" t="s">
        <v>34</v>
      </c>
      <c r="D1413" t="s">
        <v>43</v>
      </c>
      <c r="E1413" t="s">
        <v>36</v>
      </c>
      <c r="F1413" t="s">
        <v>45</v>
      </c>
      <c r="G1413">
        <v>1</v>
      </c>
      <c r="H1413" t="s">
        <v>37</v>
      </c>
      <c r="I1413" t="s">
        <v>42</v>
      </c>
      <c r="J1413" t="s">
        <v>31</v>
      </c>
      <c r="K1413" t="s">
        <v>33</v>
      </c>
      <c r="L1413">
        <v>28</v>
      </c>
      <c r="M1413">
        <v>2</v>
      </c>
      <c r="N1413" t="s">
        <v>32</v>
      </c>
      <c r="O1413">
        <v>3</v>
      </c>
      <c r="P1413">
        <v>1</v>
      </c>
      <c r="Q1413">
        <v>1</v>
      </c>
      <c r="R1413">
        <v>2561</v>
      </c>
      <c r="S1413">
        <v>8</v>
      </c>
      <c r="T1413">
        <v>2</v>
      </c>
      <c r="U1413">
        <v>0</v>
      </c>
      <c r="V1413">
        <v>0</v>
      </c>
      <c r="W1413">
        <v>0</v>
      </c>
      <c r="X1413">
        <v>0</v>
      </c>
      <c r="Y1413">
        <f>IF(HR_data[[#This Row],[Attrition]]= "Yes",1,0)</f>
        <v>1</v>
      </c>
    </row>
    <row r="1414" spans="1:25">
      <c r="A1414">
        <v>1413</v>
      </c>
      <c r="B1414" t="s">
        <v>24</v>
      </c>
      <c r="C1414" t="s">
        <v>34</v>
      </c>
      <c r="D1414" t="s">
        <v>35</v>
      </c>
      <c r="E1414" t="s">
        <v>27</v>
      </c>
      <c r="F1414" t="s">
        <v>28</v>
      </c>
      <c r="G1414">
        <v>1</v>
      </c>
      <c r="H1414" t="s">
        <v>37</v>
      </c>
      <c r="I1414" t="s">
        <v>30</v>
      </c>
      <c r="J1414" t="s">
        <v>48</v>
      </c>
      <c r="K1414" t="s">
        <v>33</v>
      </c>
      <c r="L1414">
        <v>50</v>
      </c>
      <c r="M1414">
        <v>1</v>
      </c>
      <c r="N1414" t="s">
        <v>44</v>
      </c>
      <c r="O1414">
        <v>2</v>
      </c>
      <c r="P1414">
        <v>2</v>
      </c>
      <c r="Q1414">
        <v>3</v>
      </c>
      <c r="R1414">
        <v>6728</v>
      </c>
      <c r="S1414">
        <v>12</v>
      </c>
      <c r="T1414">
        <v>3</v>
      </c>
      <c r="U1414">
        <v>6</v>
      </c>
      <c r="V1414">
        <v>3</v>
      </c>
      <c r="W1414">
        <v>0</v>
      </c>
      <c r="X1414">
        <v>1</v>
      </c>
      <c r="Y1414">
        <f>IF(HR_data[[#This Row],[Attrition]]= "Yes",1,0)</f>
        <v>1</v>
      </c>
    </row>
    <row r="1415" spans="1:25">
      <c r="A1415">
        <v>1414</v>
      </c>
      <c r="B1415" t="s">
        <v>24</v>
      </c>
      <c r="C1415" t="s">
        <v>34</v>
      </c>
      <c r="D1415" t="s">
        <v>35</v>
      </c>
      <c r="E1415" t="s">
        <v>27</v>
      </c>
      <c r="F1415" t="s">
        <v>28</v>
      </c>
      <c r="G1415">
        <v>1</v>
      </c>
      <c r="H1415" t="s">
        <v>37</v>
      </c>
      <c r="I1415" t="s">
        <v>30</v>
      </c>
      <c r="J1415" t="s">
        <v>39</v>
      </c>
      <c r="K1415" t="s">
        <v>33</v>
      </c>
      <c r="L1415">
        <v>47</v>
      </c>
      <c r="M1415">
        <v>9</v>
      </c>
      <c r="N1415" t="s">
        <v>47</v>
      </c>
      <c r="O1415">
        <v>3</v>
      </c>
      <c r="P1415">
        <v>4</v>
      </c>
      <c r="Q1415">
        <v>3</v>
      </c>
      <c r="R1415">
        <v>12936</v>
      </c>
      <c r="S1415">
        <v>25</v>
      </c>
      <c r="T1415">
        <v>1</v>
      </c>
      <c r="U1415">
        <v>23</v>
      </c>
      <c r="V1415">
        <v>5</v>
      </c>
      <c r="W1415">
        <v>14</v>
      </c>
      <c r="X1415">
        <v>10</v>
      </c>
      <c r="Y1415">
        <f>IF(HR_data[[#This Row],[Attrition]]= "Yes",1,0)</f>
        <v>1</v>
      </c>
    </row>
    <row r="1416" spans="1:25">
      <c r="A1416">
        <v>1415</v>
      </c>
      <c r="B1416" t="s">
        <v>24</v>
      </c>
      <c r="C1416" t="s">
        <v>34</v>
      </c>
      <c r="D1416" t="s">
        <v>43</v>
      </c>
      <c r="E1416" t="s">
        <v>27</v>
      </c>
      <c r="F1416" t="s">
        <v>57</v>
      </c>
      <c r="G1416">
        <v>1</v>
      </c>
      <c r="H1416" t="s">
        <v>37</v>
      </c>
      <c r="I1416" t="s">
        <v>54</v>
      </c>
      <c r="J1416" t="s">
        <v>39</v>
      </c>
      <c r="K1416" t="s">
        <v>33</v>
      </c>
      <c r="L1416">
        <v>28</v>
      </c>
      <c r="M1416">
        <v>1</v>
      </c>
      <c r="N1416" t="s">
        <v>47</v>
      </c>
      <c r="O1416">
        <v>1</v>
      </c>
      <c r="P1416">
        <v>1</v>
      </c>
      <c r="Q1416">
        <v>3</v>
      </c>
      <c r="R1416">
        <v>2909</v>
      </c>
      <c r="S1416">
        <v>5</v>
      </c>
      <c r="T1416">
        <v>4</v>
      </c>
      <c r="U1416">
        <v>3</v>
      </c>
      <c r="V1416">
        <v>2</v>
      </c>
      <c r="W1416">
        <v>1</v>
      </c>
      <c r="X1416">
        <v>2</v>
      </c>
      <c r="Y1416">
        <f>IF(HR_data[[#This Row],[Attrition]]= "Yes",1,0)</f>
        <v>1</v>
      </c>
    </row>
    <row r="1417" spans="1:25">
      <c r="A1417">
        <v>1416</v>
      </c>
      <c r="B1417" t="s">
        <v>24</v>
      </c>
      <c r="C1417" t="s">
        <v>34</v>
      </c>
      <c r="D1417" t="s">
        <v>52</v>
      </c>
      <c r="E1417" t="s">
        <v>27</v>
      </c>
      <c r="F1417" t="s">
        <v>56</v>
      </c>
      <c r="G1417">
        <v>1</v>
      </c>
      <c r="H1417" t="s">
        <v>37</v>
      </c>
      <c r="I1417" t="s">
        <v>54</v>
      </c>
      <c r="J1417" t="s">
        <v>39</v>
      </c>
      <c r="K1417" t="s">
        <v>33</v>
      </c>
      <c r="L1417">
        <v>23</v>
      </c>
      <c r="M1417">
        <v>9</v>
      </c>
      <c r="N1417" t="s">
        <v>47</v>
      </c>
      <c r="O1417">
        <v>4</v>
      </c>
      <c r="P1417">
        <v>1</v>
      </c>
      <c r="Q1417">
        <v>1</v>
      </c>
      <c r="R1417">
        <v>1790</v>
      </c>
      <c r="S1417">
        <v>1</v>
      </c>
      <c r="T1417">
        <v>2</v>
      </c>
      <c r="U1417">
        <v>1</v>
      </c>
      <c r="V1417">
        <v>0</v>
      </c>
      <c r="W1417">
        <v>1</v>
      </c>
      <c r="X1417">
        <v>0</v>
      </c>
      <c r="Y1417">
        <f>IF(HR_data[[#This Row],[Attrition]]= "Yes",1,0)</f>
        <v>1</v>
      </c>
    </row>
    <row r="1418" spans="1:25">
      <c r="A1418">
        <v>1417</v>
      </c>
      <c r="B1418" t="s">
        <v>24</v>
      </c>
      <c r="C1418" t="s">
        <v>34</v>
      </c>
      <c r="D1418" t="s">
        <v>43</v>
      </c>
      <c r="E1418" t="s">
        <v>27</v>
      </c>
      <c r="F1418" t="s">
        <v>57</v>
      </c>
      <c r="G1418">
        <v>1</v>
      </c>
      <c r="H1418" t="s">
        <v>37</v>
      </c>
      <c r="I1418" t="s">
        <v>54</v>
      </c>
      <c r="J1418" t="s">
        <v>31</v>
      </c>
      <c r="K1418" t="s">
        <v>33</v>
      </c>
      <c r="L1418">
        <v>29</v>
      </c>
      <c r="M1418">
        <v>24</v>
      </c>
      <c r="N1418" t="s">
        <v>47</v>
      </c>
      <c r="O1418">
        <v>3</v>
      </c>
      <c r="P1418">
        <v>1</v>
      </c>
      <c r="Q1418">
        <v>1</v>
      </c>
      <c r="R1418">
        <v>1091</v>
      </c>
      <c r="S1418">
        <v>1</v>
      </c>
      <c r="T1418">
        <v>3</v>
      </c>
      <c r="U1418">
        <v>1</v>
      </c>
      <c r="V1418">
        <v>0</v>
      </c>
      <c r="W1418">
        <v>0</v>
      </c>
      <c r="X1418">
        <v>0</v>
      </c>
      <c r="Y1418">
        <f>IF(HR_data[[#This Row],[Attrition]]= "Yes",1,0)</f>
        <v>1</v>
      </c>
    </row>
    <row r="1419" spans="1:25">
      <c r="A1419">
        <v>1418</v>
      </c>
      <c r="B1419" t="s">
        <v>24</v>
      </c>
      <c r="C1419" t="s">
        <v>25</v>
      </c>
      <c r="D1419" t="s">
        <v>43</v>
      </c>
      <c r="E1419" t="s">
        <v>59</v>
      </c>
      <c r="F1419" t="s">
        <v>60</v>
      </c>
      <c r="G1419">
        <v>1</v>
      </c>
      <c r="H1419" t="s">
        <v>37</v>
      </c>
      <c r="I1419" t="s">
        <v>60</v>
      </c>
      <c r="J1419" t="s">
        <v>39</v>
      </c>
      <c r="K1419" t="s">
        <v>33</v>
      </c>
      <c r="L1419">
        <v>31</v>
      </c>
      <c r="M1419">
        <v>18</v>
      </c>
      <c r="N1419" t="s">
        <v>58</v>
      </c>
      <c r="O1419">
        <v>4</v>
      </c>
      <c r="P1419">
        <v>1</v>
      </c>
      <c r="Q1419">
        <v>1</v>
      </c>
      <c r="R1419">
        <v>2956</v>
      </c>
      <c r="S1419">
        <v>2</v>
      </c>
      <c r="T1419">
        <v>3</v>
      </c>
      <c r="U1419">
        <v>1</v>
      </c>
      <c r="V1419">
        <v>0</v>
      </c>
      <c r="W1419">
        <v>0</v>
      </c>
      <c r="X1419">
        <v>0</v>
      </c>
      <c r="Y1419">
        <f>IF(HR_data[[#This Row],[Attrition]]= "Yes",1,0)</f>
        <v>1</v>
      </c>
    </row>
    <row r="1420" spans="1:25">
      <c r="A1420">
        <v>1419</v>
      </c>
      <c r="B1420" t="s">
        <v>24</v>
      </c>
      <c r="C1420" t="s">
        <v>25</v>
      </c>
      <c r="D1420" t="s">
        <v>52</v>
      </c>
      <c r="E1420" t="s">
        <v>59</v>
      </c>
      <c r="F1420" t="s">
        <v>60</v>
      </c>
      <c r="G1420">
        <v>1</v>
      </c>
      <c r="H1420" t="s">
        <v>37</v>
      </c>
      <c r="I1420" t="s">
        <v>60</v>
      </c>
      <c r="J1420" t="s">
        <v>39</v>
      </c>
      <c r="K1420" t="s">
        <v>33</v>
      </c>
      <c r="L1420">
        <v>24</v>
      </c>
      <c r="M1420">
        <v>22</v>
      </c>
      <c r="N1420" t="s">
        <v>40</v>
      </c>
      <c r="O1420">
        <v>4</v>
      </c>
      <c r="P1420">
        <v>1</v>
      </c>
      <c r="Q1420">
        <v>3</v>
      </c>
      <c r="R1420">
        <v>1555</v>
      </c>
      <c r="S1420">
        <v>1</v>
      </c>
      <c r="T1420">
        <v>3</v>
      </c>
      <c r="U1420">
        <v>1</v>
      </c>
      <c r="V1420">
        <v>0</v>
      </c>
      <c r="W1420">
        <v>0</v>
      </c>
      <c r="X1420">
        <v>0</v>
      </c>
      <c r="Y1420">
        <f>IF(HR_data[[#This Row],[Attrition]]= "Yes",1,0)</f>
        <v>1</v>
      </c>
    </row>
    <row r="1421" spans="1:25">
      <c r="A1421">
        <v>1420</v>
      </c>
      <c r="B1421" t="s">
        <v>24</v>
      </c>
      <c r="C1421" t="s">
        <v>25</v>
      </c>
      <c r="D1421" t="s">
        <v>43</v>
      </c>
      <c r="E1421" t="s">
        <v>36</v>
      </c>
      <c r="F1421" t="s">
        <v>57</v>
      </c>
      <c r="G1421">
        <v>1</v>
      </c>
      <c r="H1421" t="s">
        <v>37</v>
      </c>
      <c r="I1421" t="s">
        <v>42</v>
      </c>
      <c r="J1421" t="s">
        <v>48</v>
      </c>
      <c r="K1421" t="s">
        <v>33</v>
      </c>
      <c r="L1421">
        <v>28</v>
      </c>
      <c r="M1421">
        <v>17</v>
      </c>
      <c r="N1421" t="s">
        <v>47</v>
      </c>
      <c r="O1421">
        <v>3</v>
      </c>
      <c r="P1421">
        <v>1</v>
      </c>
      <c r="Q1421">
        <v>4</v>
      </c>
      <c r="R1421">
        <v>2367</v>
      </c>
      <c r="S1421">
        <v>6</v>
      </c>
      <c r="T1421">
        <v>2</v>
      </c>
      <c r="U1421">
        <v>4</v>
      </c>
      <c r="V1421">
        <v>1</v>
      </c>
      <c r="W1421">
        <v>0</v>
      </c>
      <c r="X1421">
        <v>3</v>
      </c>
      <c r="Y1421">
        <f>IF(HR_data[[#This Row],[Attrition]]= "Yes",1,0)</f>
        <v>1</v>
      </c>
    </row>
    <row r="1422" spans="1:25">
      <c r="A1422">
        <v>1421</v>
      </c>
      <c r="B1422" t="s">
        <v>24</v>
      </c>
      <c r="C1422" t="s">
        <v>25</v>
      </c>
      <c r="D1422" t="s">
        <v>46</v>
      </c>
      <c r="E1422" t="s">
        <v>36</v>
      </c>
      <c r="F1422" t="s">
        <v>57</v>
      </c>
      <c r="G1422">
        <v>1</v>
      </c>
      <c r="H1422" t="s">
        <v>37</v>
      </c>
      <c r="I1422" t="s">
        <v>42</v>
      </c>
      <c r="J1422" t="s">
        <v>39</v>
      </c>
      <c r="K1422" t="s">
        <v>33</v>
      </c>
      <c r="L1422">
        <v>56</v>
      </c>
      <c r="M1422">
        <v>7</v>
      </c>
      <c r="N1422" t="s">
        <v>32</v>
      </c>
      <c r="O1422">
        <v>4</v>
      </c>
      <c r="P1422">
        <v>1</v>
      </c>
      <c r="Q1422">
        <v>3</v>
      </c>
      <c r="R1422">
        <v>2339</v>
      </c>
      <c r="S1422">
        <v>14</v>
      </c>
      <c r="T1422">
        <v>1</v>
      </c>
      <c r="U1422">
        <v>10</v>
      </c>
      <c r="V1422">
        <v>9</v>
      </c>
      <c r="W1422">
        <v>9</v>
      </c>
      <c r="X1422">
        <v>8</v>
      </c>
      <c r="Y1422">
        <f>IF(HR_data[[#This Row],[Attrition]]= "Yes",1,0)</f>
        <v>1</v>
      </c>
    </row>
    <row r="1423" spans="1:25">
      <c r="A1423">
        <v>1422</v>
      </c>
      <c r="B1423" t="s">
        <v>24</v>
      </c>
      <c r="C1423" t="s">
        <v>25</v>
      </c>
      <c r="D1423" t="s">
        <v>26</v>
      </c>
      <c r="E1423" t="s">
        <v>36</v>
      </c>
      <c r="F1423" t="s">
        <v>45</v>
      </c>
      <c r="G1423">
        <v>1</v>
      </c>
      <c r="H1423" t="s">
        <v>37</v>
      </c>
      <c r="I1423" t="s">
        <v>49</v>
      </c>
      <c r="J1423" t="s">
        <v>39</v>
      </c>
      <c r="K1423" t="s">
        <v>33</v>
      </c>
      <c r="L1423">
        <v>38</v>
      </c>
      <c r="M1423">
        <v>2</v>
      </c>
      <c r="N1423" t="s">
        <v>47</v>
      </c>
      <c r="O1423">
        <v>3</v>
      </c>
      <c r="P1423">
        <v>2</v>
      </c>
      <c r="Q1423">
        <v>2</v>
      </c>
      <c r="R1423">
        <v>4855</v>
      </c>
      <c r="S1423">
        <v>7</v>
      </c>
      <c r="T1423">
        <v>3</v>
      </c>
      <c r="U1423">
        <v>5</v>
      </c>
      <c r="V1423">
        <v>2</v>
      </c>
      <c r="W1423">
        <v>1</v>
      </c>
      <c r="X1423">
        <v>4</v>
      </c>
      <c r="Y1423">
        <f>IF(HR_data[[#This Row],[Attrition]]= "Yes",1,0)</f>
        <v>1</v>
      </c>
    </row>
    <row r="1424" spans="1:25">
      <c r="A1424">
        <v>1423</v>
      </c>
      <c r="B1424" t="s">
        <v>24</v>
      </c>
      <c r="C1424" t="s">
        <v>25</v>
      </c>
      <c r="D1424" t="s">
        <v>43</v>
      </c>
      <c r="E1424" t="s">
        <v>36</v>
      </c>
      <c r="F1424" t="s">
        <v>57</v>
      </c>
      <c r="G1424">
        <v>1</v>
      </c>
      <c r="H1424" t="s">
        <v>37</v>
      </c>
      <c r="I1424" t="s">
        <v>38</v>
      </c>
      <c r="J1424" t="s">
        <v>31</v>
      </c>
      <c r="K1424" t="s">
        <v>33</v>
      </c>
      <c r="L1424">
        <v>29</v>
      </c>
      <c r="M1424">
        <v>1</v>
      </c>
      <c r="N1424" t="s">
        <v>44</v>
      </c>
      <c r="O1424">
        <v>1</v>
      </c>
      <c r="P1424">
        <v>1</v>
      </c>
      <c r="Q1424">
        <v>1</v>
      </c>
      <c r="R1424">
        <v>2362</v>
      </c>
      <c r="S1424">
        <v>11</v>
      </c>
      <c r="T1424">
        <v>1</v>
      </c>
      <c r="U1424">
        <v>9</v>
      </c>
      <c r="V1424">
        <v>7</v>
      </c>
      <c r="W1424">
        <v>0</v>
      </c>
      <c r="X1424">
        <v>7</v>
      </c>
      <c r="Y1424">
        <f>IF(HR_data[[#This Row],[Attrition]]= "Yes",1,0)</f>
        <v>1</v>
      </c>
    </row>
    <row r="1425" spans="1:25">
      <c r="A1425">
        <v>1424</v>
      </c>
      <c r="B1425" t="s">
        <v>24</v>
      </c>
      <c r="C1425" t="s">
        <v>25</v>
      </c>
      <c r="D1425" t="s">
        <v>46</v>
      </c>
      <c r="E1425" t="s">
        <v>36</v>
      </c>
      <c r="F1425" t="s">
        <v>28</v>
      </c>
      <c r="G1425">
        <v>1</v>
      </c>
      <c r="H1425" t="s">
        <v>37</v>
      </c>
      <c r="I1425" t="s">
        <v>42</v>
      </c>
      <c r="J1425" t="s">
        <v>31</v>
      </c>
      <c r="K1425" t="s">
        <v>33</v>
      </c>
      <c r="L1425">
        <v>56</v>
      </c>
      <c r="M1425">
        <v>24</v>
      </c>
      <c r="N1425" t="s">
        <v>32</v>
      </c>
      <c r="O1425">
        <v>1</v>
      </c>
      <c r="P1425">
        <v>1</v>
      </c>
      <c r="Q1425">
        <v>4</v>
      </c>
      <c r="R1425">
        <v>2587</v>
      </c>
      <c r="S1425">
        <v>5</v>
      </c>
      <c r="T1425">
        <v>3</v>
      </c>
      <c r="U1425">
        <v>4</v>
      </c>
      <c r="V1425">
        <v>2</v>
      </c>
      <c r="W1425">
        <v>1</v>
      </c>
      <c r="X1425">
        <v>0</v>
      </c>
      <c r="Y1425">
        <f>IF(HR_data[[#This Row],[Attrition]]= "Yes",1,0)</f>
        <v>1</v>
      </c>
    </row>
    <row r="1426" spans="1:25">
      <c r="A1426">
        <v>1425</v>
      </c>
      <c r="B1426" t="s">
        <v>24</v>
      </c>
      <c r="C1426" t="s">
        <v>25</v>
      </c>
      <c r="D1426" t="s">
        <v>26</v>
      </c>
      <c r="E1426" t="s">
        <v>36</v>
      </c>
      <c r="F1426" t="s">
        <v>28</v>
      </c>
      <c r="G1426">
        <v>1</v>
      </c>
      <c r="H1426" t="s">
        <v>37</v>
      </c>
      <c r="I1426" t="s">
        <v>42</v>
      </c>
      <c r="J1426" t="s">
        <v>31</v>
      </c>
      <c r="K1426" t="s">
        <v>33</v>
      </c>
      <c r="L1426">
        <v>40</v>
      </c>
      <c r="M1426">
        <v>9</v>
      </c>
      <c r="N1426" t="s">
        <v>44</v>
      </c>
      <c r="O1426">
        <v>4</v>
      </c>
      <c r="P1426">
        <v>1</v>
      </c>
      <c r="Q1426">
        <v>1</v>
      </c>
      <c r="R1426">
        <v>2018</v>
      </c>
      <c r="S1426">
        <v>15</v>
      </c>
      <c r="T1426">
        <v>1</v>
      </c>
      <c r="U1426">
        <v>5</v>
      </c>
      <c r="V1426">
        <v>4</v>
      </c>
      <c r="W1426">
        <v>1</v>
      </c>
      <c r="X1426">
        <v>0</v>
      </c>
      <c r="Y1426">
        <f>IF(HR_data[[#This Row],[Attrition]]= "Yes",1,0)</f>
        <v>1</v>
      </c>
    </row>
    <row r="1427" spans="1:25">
      <c r="A1427">
        <v>1426</v>
      </c>
      <c r="B1427" t="s">
        <v>24</v>
      </c>
      <c r="C1427" t="s">
        <v>25</v>
      </c>
      <c r="D1427" t="s">
        <v>26</v>
      </c>
      <c r="E1427" t="s">
        <v>36</v>
      </c>
      <c r="F1427" t="s">
        <v>45</v>
      </c>
      <c r="G1427">
        <v>1</v>
      </c>
      <c r="H1427" t="s">
        <v>37</v>
      </c>
      <c r="I1427" t="s">
        <v>49</v>
      </c>
      <c r="J1427" t="s">
        <v>31</v>
      </c>
      <c r="K1427" t="s">
        <v>33</v>
      </c>
      <c r="L1427">
        <v>37</v>
      </c>
      <c r="M1427">
        <v>10</v>
      </c>
      <c r="N1427" t="s">
        <v>44</v>
      </c>
      <c r="O1427">
        <v>4</v>
      </c>
      <c r="P1427">
        <v>2</v>
      </c>
      <c r="Q1427">
        <v>1</v>
      </c>
      <c r="R1427">
        <v>4213</v>
      </c>
      <c r="S1427">
        <v>10</v>
      </c>
      <c r="T1427">
        <v>1</v>
      </c>
      <c r="U1427">
        <v>10</v>
      </c>
      <c r="V1427">
        <v>3</v>
      </c>
      <c r="W1427">
        <v>0</v>
      </c>
      <c r="X1427">
        <v>8</v>
      </c>
      <c r="Y1427">
        <f>IF(HR_data[[#This Row],[Attrition]]= "Yes",1,0)</f>
        <v>1</v>
      </c>
    </row>
    <row r="1428" spans="1:25">
      <c r="A1428">
        <v>1427</v>
      </c>
      <c r="B1428" t="s">
        <v>24</v>
      </c>
      <c r="C1428" t="s">
        <v>25</v>
      </c>
      <c r="D1428" t="s">
        <v>43</v>
      </c>
      <c r="E1428" t="s">
        <v>36</v>
      </c>
      <c r="F1428" t="s">
        <v>28</v>
      </c>
      <c r="G1428">
        <v>1</v>
      </c>
      <c r="H1428" t="s">
        <v>37</v>
      </c>
      <c r="I1428" t="s">
        <v>42</v>
      </c>
      <c r="J1428" t="s">
        <v>31</v>
      </c>
      <c r="K1428" t="s">
        <v>33</v>
      </c>
      <c r="L1428">
        <v>32</v>
      </c>
      <c r="M1428">
        <v>2</v>
      </c>
      <c r="N1428" t="s">
        <v>44</v>
      </c>
      <c r="O1428">
        <v>4</v>
      </c>
      <c r="P1428">
        <v>1</v>
      </c>
      <c r="Q1428">
        <v>2</v>
      </c>
      <c r="R1428">
        <v>1393</v>
      </c>
      <c r="S1428">
        <v>1</v>
      </c>
      <c r="T1428">
        <v>3</v>
      </c>
      <c r="U1428">
        <v>1</v>
      </c>
      <c r="V1428">
        <v>0</v>
      </c>
      <c r="W1428">
        <v>0</v>
      </c>
      <c r="X1428">
        <v>0</v>
      </c>
      <c r="Y1428">
        <f>IF(HR_data[[#This Row],[Attrition]]= "Yes",1,0)</f>
        <v>1</v>
      </c>
    </row>
    <row r="1429" spans="1:25">
      <c r="A1429">
        <v>1428</v>
      </c>
      <c r="B1429" t="s">
        <v>24</v>
      </c>
      <c r="C1429" t="s">
        <v>25</v>
      </c>
      <c r="D1429" t="s">
        <v>35</v>
      </c>
      <c r="E1429" t="s">
        <v>27</v>
      </c>
      <c r="F1429" t="s">
        <v>56</v>
      </c>
      <c r="G1429">
        <v>1</v>
      </c>
      <c r="H1429" t="s">
        <v>37</v>
      </c>
      <c r="I1429" t="s">
        <v>30</v>
      </c>
      <c r="J1429" t="s">
        <v>48</v>
      </c>
      <c r="K1429" t="s">
        <v>33</v>
      </c>
      <c r="L1429">
        <v>46</v>
      </c>
      <c r="M1429">
        <v>9</v>
      </c>
      <c r="N1429" t="s">
        <v>47</v>
      </c>
      <c r="O1429">
        <v>1</v>
      </c>
      <c r="P1429">
        <v>3</v>
      </c>
      <c r="Q1429">
        <v>4</v>
      </c>
      <c r="R1429">
        <v>10096</v>
      </c>
      <c r="S1429">
        <v>28</v>
      </c>
      <c r="T1429">
        <v>4</v>
      </c>
      <c r="U1429">
        <v>7</v>
      </c>
      <c r="V1429">
        <v>7</v>
      </c>
      <c r="W1429">
        <v>4</v>
      </c>
      <c r="X1429">
        <v>3</v>
      </c>
      <c r="Y1429">
        <f>IF(HR_data[[#This Row],[Attrition]]= "Yes",1,0)</f>
        <v>1</v>
      </c>
    </row>
    <row r="1430" spans="1:25">
      <c r="A1430">
        <v>1429</v>
      </c>
      <c r="B1430" t="s">
        <v>24</v>
      </c>
      <c r="C1430" t="s">
        <v>25</v>
      </c>
      <c r="D1430" t="s">
        <v>43</v>
      </c>
      <c r="E1430" t="s">
        <v>27</v>
      </c>
      <c r="F1430" t="s">
        <v>28</v>
      </c>
      <c r="G1430">
        <v>1</v>
      </c>
      <c r="H1430" t="s">
        <v>37</v>
      </c>
      <c r="I1430" t="s">
        <v>54</v>
      </c>
      <c r="J1430" t="s">
        <v>39</v>
      </c>
      <c r="K1430" t="s">
        <v>33</v>
      </c>
      <c r="L1430">
        <v>25</v>
      </c>
      <c r="M1430">
        <v>9</v>
      </c>
      <c r="N1430" t="s">
        <v>32</v>
      </c>
      <c r="O1430">
        <v>1</v>
      </c>
      <c r="P1430">
        <v>1</v>
      </c>
      <c r="Q1430">
        <v>1</v>
      </c>
      <c r="R1430">
        <v>4400</v>
      </c>
      <c r="S1430">
        <v>6</v>
      </c>
      <c r="T1430">
        <v>3</v>
      </c>
      <c r="U1430">
        <v>3</v>
      </c>
      <c r="V1430">
        <v>2</v>
      </c>
      <c r="W1430">
        <v>2</v>
      </c>
      <c r="X1430">
        <v>2</v>
      </c>
      <c r="Y1430">
        <f>IF(HR_data[[#This Row],[Attrition]]= "Yes",1,0)</f>
        <v>1</v>
      </c>
    </row>
    <row r="1431" spans="1:25">
      <c r="A1431">
        <v>1430</v>
      </c>
      <c r="B1431" t="s">
        <v>24</v>
      </c>
      <c r="C1431" t="s">
        <v>25</v>
      </c>
      <c r="D1431" t="s">
        <v>26</v>
      </c>
      <c r="E1431" t="s">
        <v>27</v>
      </c>
      <c r="F1431" t="s">
        <v>45</v>
      </c>
      <c r="G1431">
        <v>1</v>
      </c>
      <c r="H1431" t="s">
        <v>37</v>
      </c>
      <c r="I1431" t="s">
        <v>30</v>
      </c>
      <c r="J1431" t="s">
        <v>39</v>
      </c>
      <c r="K1431" t="s">
        <v>33</v>
      </c>
      <c r="L1431">
        <v>35</v>
      </c>
      <c r="M1431">
        <v>10</v>
      </c>
      <c r="N1431" t="s">
        <v>47</v>
      </c>
      <c r="O1431">
        <v>4</v>
      </c>
      <c r="P1431">
        <v>3</v>
      </c>
      <c r="Q1431">
        <v>1</v>
      </c>
      <c r="R1431">
        <v>10306</v>
      </c>
      <c r="S1431">
        <v>15</v>
      </c>
      <c r="T1431">
        <v>3</v>
      </c>
      <c r="U1431">
        <v>13</v>
      </c>
      <c r="V1431">
        <v>12</v>
      </c>
      <c r="W1431">
        <v>6</v>
      </c>
      <c r="X1431">
        <v>0</v>
      </c>
      <c r="Y1431">
        <f>IF(HR_data[[#This Row],[Attrition]]= "Yes",1,0)</f>
        <v>1</v>
      </c>
    </row>
    <row r="1432" spans="1:25">
      <c r="A1432">
        <v>1431</v>
      </c>
      <c r="B1432" t="s">
        <v>24</v>
      </c>
      <c r="C1432" t="s">
        <v>25</v>
      </c>
      <c r="D1432" t="s">
        <v>43</v>
      </c>
      <c r="E1432" t="s">
        <v>27</v>
      </c>
      <c r="F1432" t="s">
        <v>28</v>
      </c>
      <c r="G1432">
        <v>1</v>
      </c>
      <c r="H1432" t="s">
        <v>37</v>
      </c>
      <c r="I1432" t="s">
        <v>30</v>
      </c>
      <c r="J1432" t="s">
        <v>39</v>
      </c>
      <c r="K1432" t="s">
        <v>33</v>
      </c>
      <c r="L1432">
        <v>30</v>
      </c>
      <c r="M1432">
        <v>1</v>
      </c>
      <c r="N1432" t="s">
        <v>47</v>
      </c>
      <c r="O1432">
        <v>2</v>
      </c>
      <c r="P1432">
        <v>2</v>
      </c>
      <c r="Q1432">
        <v>1</v>
      </c>
      <c r="R1432">
        <v>9714</v>
      </c>
      <c r="S1432">
        <v>10</v>
      </c>
      <c r="T1432">
        <v>3</v>
      </c>
      <c r="U1432">
        <v>10</v>
      </c>
      <c r="V1432">
        <v>8</v>
      </c>
      <c r="W1432">
        <v>6</v>
      </c>
      <c r="X1432">
        <v>7</v>
      </c>
      <c r="Y1432">
        <f>IF(HR_data[[#This Row],[Attrition]]= "Yes",1,0)</f>
        <v>1</v>
      </c>
    </row>
    <row r="1433" spans="1:25">
      <c r="A1433">
        <v>1432</v>
      </c>
      <c r="B1433" t="s">
        <v>24</v>
      </c>
      <c r="C1433" t="s">
        <v>25</v>
      </c>
      <c r="D1433" t="s">
        <v>43</v>
      </c>
      <c r="E1433" t="s">
        <v>27</v>
      </c>
      <c r="F1433" t="s">
        <v>56</v>
      </c>
      <c r="G1433">
        <v>1</v>
      </c>
      <c r="H1433" t="s">
        <v>37</v>
      </c>
      <c r="I1433" t="s">
        <v>30</v>
      </c>
      <c r="J1433" t="s">
        <v>39</v>
      </c>
      <c r="K1433" t="s">
        <v>33</v>
      </c>
      <c r="L1433">
        <v>31</v>
      </c>
      <c r="M1433">
        <v>16</v>
      </c>
      <c r="N1433" t="s">
        <v>44</v>
      </c>
      <c r="O1433">
        <v>1</v>
      </c>
      <c r="P1433">
        <v>3</v>
      </c>
      <c r="Q1433">
        <v>3</v>
      </c>
      <c r="R1433">
        <v>8161</v>
      </c>
      <c r="S1433">
        <v>10</v>
      </c>
      <c r="T1433">
        <v>3</v>
      </c>
      <c r="U1433">
        <v>1</v>
      </c>
      <c r="V1433">
        <v>0</v>
      </c>
      <c r="W1433">
        <v>0</v>
      </c>
      <c r="X1433">
        <v>0</v>
      </c>
      <c r="Y1433">
        <f>IF(HR_data[[#This Row],[Attrition]]= "Yes",1,0)</f>
        <v>1</v>
      </c>
    </row>
    <row r="1434" spans="1:25">
      <c r="A1434">
        <v>1433</v>
      </c>
      <c r="B1434" t="s">
        <v>24</v>
      </c>
      <c r="C1434" t="s">
        <v>25</v>
      </c>
      <c r="D1434" t="s">
        <v>43</v>
      </c>
      <c r="E1434" t="s">
        <v>27</v>
      </c>
      <c r="F1434" t="s">
        <v>28</v>
      </c>
      <c r="G1434">
        <v>1</v>
      </c>
      <c r="H1434" t="s">
        <v>37</v>
      </c>
      <c r="I1434" t="s">
        <v>30</v>
      </c>
      <c r="J1434" t="s">
        <v>31</v>
      </c>
      <c r="K1434" t="s">
        <v>33</v>
      </c>
      <c r="L1434">
        <v>32</v>
      </c>
      <c r="M1434">
        <v>1</v>
      </c>
      <c r="N1434" t="s">
        <v>32</v>
      </c>
      <c r="O1434">
        <v>1</v>
      </c>
      <c r="P1434">
        <v>2</v>
      </c>
      <c r="Q1434">
        <v>2</v>
      </c>
      <c r="R1434">
        <v>6735</v>
      </c>
      <c r="S1434">
        <v>10</v>
      </c>
      <c r="T1434">
        <v>3</v>
      </c>
      <c r="U1434">
        <v>0</v>
      </c>
      <c r="V1434">
        <v>0</v>
      </c>
      <c r="W1434">
        <v>0</v>
      </c>
      <c r="X1434">
        <v>0</v>
      </c>
      <c r="Y1434">
        <f>IF(HR_data[[#This Row],[Attrition]]= "Yes",1,0)</f>
        <v>1</v>
      </c>
    </row>
    <row r="1435" spans="1:25">
      <c r="A1435">
        <v>1434</v>
      </c>
      <c r="B1435" t="s">
        <v>24</v>
      </c>
      <c r="C1435" t="s">
        <v>25</v>
      </c>
      <c r="D1435" t="s">
        <v>52</v>
      </c>
      <c r="E1435" t="s">
        <v>27</v>
      </c>
      <c r="F1435" t="s">
        <v>56</v>
      </c>
      <c r="G1435">
        <v>1</v>
      </c>
      <c r="H1435" t="s">
        <v>37</v>
      </c>
      <c r="I1435" t="s">
        <v>54</v>
      </c>
      <c r="J1435" t="s">
        <v>31</v>
      </c>
      <c r="K1435" t="s">
        <v>33</v>
      </c>
      <c r="L1435">
        <v>21</v>
      </c>
      <c r="M1435">
        <v>7</v>
      </c>
      <c r="N1435" t="s">
        <v>40</v>
      </c>
      <c r="O1435">
        <v>2</v>
      </c>
      <c r="P1435">
        <v>1</v>
      </c>
      <c r="Q1435">
        <v>2</v>
      </c>
      <c r="R1435">
        <v>2679</v>
      </c>
      <c r="S1435">
        <v>1</v>
      </c>
      <c r="T1435">
        <v>3</v>
      </c>
      <c r="U1435">
        <v>1</v>
      </c>
      <c r="V1435">
        <v>0</v>
      </c>
      <c r="W1435">
        <v>1</v>
      </c>
      <c r="X1435">
        <v>0</v>
      </c>
      <c r="Y1435">
        <f>IF(HR_data[[#This Row],[Attrition]]= "Yes",1,0)</f>
        <v>1</v>
      </c>
    </row>
    <row r="1436" spans="1:25">
      <c r="A1436">
        <v>1435</v>
      </c>
      <c r="B1436" t="s">
        <v>24</v>
      </c>
      <c r="C1436" t="s">
        <v>25</v>
      </c>
      <c r="D1436" t="s">
        <v>43</v>
      </c>
      <c r="E1436" t="s">
        <v>27</v>
      </c>
      <c r="F1436" t="s">
        <v>45</v>
      </c>
      <c r="G1436">
        <v>1</v>
      </c>
      <c r="H1436" t="s">
        <v>37</v>
      </c>
      <c r="I1436" t="s">
        <v>54</v>
      </c>
      <c r="J1436" t="s">
        <v>31</v>
      </c>
      <c r="K1436" t="s">
        <v>33</v>
      </c>
      <c r="L1436">
        <v>30</v>
      </c>
      <c r="M1436">
        <v>9</v>
      </c>
      <c r="N1436" t="s">
        <v>47</v>
      </c>
      <c r="O1436">
        <v>2</v>
      </c>
      <c r="P1436">
        <v>1</v>
      </c>
      <c r="Q1436">
        <v>4</v>
      </c>
      <c r="R1436">
        <v>1081</v>
      </c>
      <c r="S1436">
        <v>1</v>
      </c>
      <c r="T1436">
        <v>2</v>
      </c>
      <c r="U1436">
        <v>1</v>
      </c>
      <c r="V1436">
        <v>0</v>
      </c>
      <c r="W1436">
        <v>0</v>
      </c>
      <c r="X1436">
        <v>0</v>
      </c>
      <c r="Y1436">
        <f>IF(HR_data[[#This Row],[Attrition]]= "Yes",1,0)</f>
        <v>1</v>
      </c>
    </row>
    <row r="1437" spans="1:25">
      <c r="A1437">
        <v>1436</v>
      </c>
      <c r="B1437" t="s">
        <v>24</v>
      </c>
      <c r="C1437" t="s">
        <v>34</v>
      </c>
      <c r="D1437" t="s">
        <v>43</v>
      </c>
      <c r="E1437" t="s">
        <v>36</v>
      </c>
      <c r="F1437" t="s">
        <v>28</v>
      </c>
      <c r="G1437">
        <v>1</v>
      </c>
      <c r="H1437" t="s">
        <v>29</v>
      </c>
      <c r="I1437" t="s">
        <v>38</v>
      </c>
      <c r="J1437" t="s">
        <v>31</v>
      </c>
      <c r="K1437" t="s">
        <v>24</v>
      </c>
      <c r="L1437">
        <v>32</v>
      </c>
      <c r="M1437">
        <v>5</v>
      </c>
      <c r="N1437" t="s">
        <v>32</v>
      </c>
      <c r="O1437">
        <v>1</v>
      </c>
      <c r="P1437">
        <v>1</v>
      </c>
      <c r="Q1437">
        <v>3</v>
      </c>
      <c r="R1437">
        <v>2432</v>
      </c>
      <c r="S1437">
        <v>8</v>
      </c>
      <c r="T1437">
        <v>3</v>
      </c>
      <c r="U1437">
        <v>4</v>
      </c>
      <c r="V1437">
        <v>1</v>
      </c>
      <c r="W1437">
        <v>0</v>
      </c>
      <c r="X1437">
        <v>3</v>
      </c>
      <c r="Y1437">
        <f>IF(HR_data[[#This Row],[Attrition]]= "Yes",1,0)</f>
        <v>1</v>
      </c>
    </row>
    <row r="1438" spans="1:25">
      <c r="A1438">
        <v>1437</v>
      </c>
      <c r="B1438" t="s">
        <v>24</v>
      </c>
      <c r="C1438" t="s">
        <v>34</v>
      </c>
      <c r="D1438" t="s">
        <v>43</v>
      </c>
      <c r="E1438" t="s">
        <v>36</v>
      </c>
      <c r="F1438" t="s">
        <v>41</v>
      </c>
      <c r="G1438">
        <v>1</v>
      </c>
      <c r="H1438" t="s">
        <v>29</v>
      </c>
      <c r="I1438" t="s">
        <v>50</v>
      </c>
      <c r="J1438" t="s">
        <v>31</v>
      </c>
      <c r="K1438" t="s">
        <v>24</v>
      </c>
      <c r="L1438">
        <v>29</v>
      </c>
      <c r="M1438">
        <v>14</v>
      </c>
      <c r="N1438" t="s">
        <v>40</v>
      </c>
      <c r="O1438">
        <v>3</v>
      </c>
      <c r="P1438">
        <v>3</v>
      </c>
      <c r="Q1438">
        <v>4</v>
      </c>
      <c r="R1438">
        <v>7553</v>
      </c>
      <c r="S1438">
        <v>9</v>
      </c>
      <c r="T1438">
        <v>3</v>
      </c>
      <c r="U1438">
        <v>8</v>
      </c>
      <c r="V1438">
        <v>7</v>
      </c>
      <c r="W1438">
        <v>7</v>
      </c>
      <c r="X1438">
        <v>7</v>
      </c>
      <c r="Y1438">
        <f>IF(HR_data[[#This Row],[Attrition]]= "Yes",1,0)</f>
        <v>1</v>
      </c>
    </row>
    <row r="1439" spans="1:25">
      <c r="A1439">
        <v>1438</v>
      </c>
      <c r="B1439" t="s">
        <v>24</v>
      </c>
      <c r="C1439" t="s">
        <v>34</v>
      </c>
      <c r="D1439" t="s">
        <v>35</v>
      </c>
      <c r="E1439" t="s">
        <v>27</v>
      </c>
      <c r="F1439" t="s">
        <v>45</v>
      </c>
      <c r="G1439">
        <v>1</v>
      </c>
      <c r="H1439" t="s">
        <v>29</v>
      </c>
      <c r="I1439" t="s">
        <v>54</v>
      </c>
      <c r="J1439" t="s">
        <v>39</v>
      </c>
      <c r="K1439" t="s">
        <v>24</v>
      </c>
      <c r="L1439">
        <v>48</v>
      </c>
      <c r="M1439">
        <v>7</v>
      </c>
      <c r="N1439" t="s">
        <v>32</v>
      </c>
      <c r="O1439">
        <v>4</v>
      </c>
      <c r="P1439">
        <v>1</v>
      </c>
      <c r="Q1439">
        <v>3</v>
      </c>
      <c r="R1439">
        <v>2655</v>
      </c>
      <c r="S1439">
        <v>19</v>
      </c>
      <c r="T1439">
        <v>3</v>
      </c>
      <c r="U1439">
        <v>9</v>
      </c>
      <c r="V1439">
        <v>7</v>
      </c>
      <c r="W1439">
        <v>7</v>
      </c>
      <c r="X1439">
        <v>7</v>
      </c>
      <c r="Y1439">
        <f>IF(HR_data[[#This Row],[Attrition]]= "Yes",1,0)</f>
        <v>1</v>
      </c>
    </row>
    <row r="1440" spans="1:25">
      <c r="A1440">
        <v>1439</v>
      </c>
      <c r="B1440" t="s">
        <v>24</v>
      </c>
      <c r="C1440" t="s">
        <v>34</v>
      </c>
      <c r="D1440" t="s">
        <v>52</v>
      </c>
      <c r="E1440" t="s">
        <v>27</v>
      </c>
      <c r="F1440" t="s">
        <v>45</v>
      </c>
      <c r="G1440">
        <v>1</v>
      </c>
      <c r="H1440" t="s">
        <v>29</v>
      </c>
      <c r="I1440" t="s">
        <v>54</v>
      </c>
      <c r="J1440" t="s">
        <v>31</v>
      </c>
      <c r="K1440" t="s">
        <v>24</v>
      </c>
      <c r="L1440">
        <v>18</v>
      </c>
      <c r="M1440">
        <v>3</v>
      </c>
      <c r="N1440" t="s">
        <v>32</v>
      </c>
      <c r="O1440">
        <v>2</v>
      </c>
      <c r="P1440">
        <v>1</v>
      </c>
      <c r="Q1440">
        <v>4</v>
      </c>
      <c r="R1440">
        <v>1569</v>
      </c>
      <c r="S1440">
        <v>0</v>
      </c>
      <c r="T1440">
        <v>4</v>
      </c>
      <c r="U1440">
        <v>0</v>
      </c>
      <c r="V1440">
        <v>0</v>
      </c>
      <c r="W1440">
        <v>0</v>
      </c>
      <c r="X1440">
        <v>0</v>
      </c>
      <c r="Y1440">
        <f>IF(HR_data[[#This Row],[Attrition]]= "Yes",1,0)</f>
        <v>1</v>
      </c>
    </row>
    <row r="1441" spans="1:25">
      <c r="A1441">
        <v>1440</v>
      </c>
      <c r="B1441" t="s">
        <v>24</v>
      </c>
      <c r="C1441" t="s">
        <v>25</v>
      </c>
      <c r="D1441" t="s">
        <v>43</v>
      </c>
      <c r="E1441" t="s">
        <v>59</v>
      </c>
      <c r="F1441" t="s">
        <v>45</v>
      </c>
      <c r="G1441">
        <v>1</v>
      </c>
      <c r="H1441" t="s">
        <v>29</v>
      </c>
      <c r="I1441" t="s">
        <v>60</v>
      </c>
      <c r="J1441" t="s">
        <v>39</v>
      </c>
      <c r="K1441" t="s">
        <v>24</v>
      </c>
      <c r="L1441">
        <v>26</v>
      </c>
      <c r="M1441">
        <v>20</v>
      </c>
      <c r="N1441" t="s">
        <v>32</v>
      </c>
      <c r="O1441">
        <v>4</v>
      </c>
      <c r="P1441">
        <v>1</v>
      </c>
      <c r="Q1441">
        <v>2</v>
      </c>
      <c r="R1441">
        <v>2148</v>
      </c>
      <c r="S1441">
        <v>6</v>
      </c>
      <c r="T1441">
        <v>3</v>
      </c>
      <c r="U1441">
        <v>5</v>
      </c>
      <c r="V1441">
        <v>1</v>
      </c>
      <c r="W1441">
        <v>1</v>
      </c>
      <c r="X1441">
        <v>4</v>
      </c>
      <c r="Y1441">
        <f>IF(HR_data[[#This Row],[Attrition]]= "Yes",1,0)</f>
        <v>1</v>
      </c>
    </row>
    <row r="1442" spans="1:25">
      <c r="A1442">
        <v>1441</v>
      </c>
      <c r="B1442" t="s">
        <v>24</v>
      </c>
      <c r="C1442" t="s">
        <v>25</v>
      </c>
      <c r="D1442" t="s">
        <v>26</v>
      </c>
      <c r="E1442" t="s">
        <v>36</v>
      </c>
      <c r="F1442" t="s">
        <v>28</v>
      </c>
      <c r="G1442">
        <v>1</v>
      </c>
      <c r="H1442" t="s">
        <v>29</v>
      </c>
      <c r="I1442" t="s">
        <v>42</v>
      </c>
      <c r="J1442" t="s">
        <v>48</v>
      </c>
      <c r="K1442" t="s">
        <v>24</v>
      </c>
      <c r="L1442">
        <v>35</v>
      </c>
      <c r="M1442">
        <v>2</v>
      </c>
      <c r="N1442" t="s">
        <v>47</v>
      </c>
      <c r="O1442">
        <v>1</v>
      </c>
      <c r="P1442">
        <v>1</v>
      </c>
      <c r="Q1442">
        <v>1</v>
      </c>
      <c r="R1442">
        <v>2074</v>
      </c>
      <c r="S1442">
        <v>1</v>
      </c>
      <c r="T1442">
        <v>3</v>
      </c>
      <c r="U1442">
        <v>1</v>
      </c>
      <c r="V1442">
        <v>0</v>
      </c>
      <c r="W1442">
        <v>0</v>
      </c>
      <c r="X1442">
        <v>0</v>
      </c>
      <c r="Y1442">
        <f>IF(HR_data[[#This Row],[Attrition]]= "Yes",1,0)</f>
        <v>1</v>
      </c>
    </row>
    <row r="1443" spans="1:25">
      <c r="A1443">
        <v>1442</v>
      </c>
      <c r="B1443" t="s">
        <v>24</v>
      </c>
      <c r="C1443" t="s">
        <v>25</v>
      </c>
      <c r="D1443" t="s">
        <v>52</v>
      </c>
      <c r="E1443" t="s">
        <v>36</v>
      </c>
      <c r="F1443" t="s">
        <v>45</v>
      </c>
      <c r="G1443">
        <v>1</v>
      </c>
      <c r="H1443" t="s">
        <v>29</v>
      </c>
      <c r="I1443" t="s">
        <v>42</v>
      </c>
      <c r="J1443" t="s">
        <v>39</v>
      </c>
      <c r="K1443" t="s">
        <v>24</v>
      </c>
      <c r="L1443">
        <v>22</v>
      </c>
      <c r="M1443">
        <v>8</v>
      </c>
      <c r="N1443" t="s">
        <v>40</v>
      </c>
      <c r="O1443">
        <v>3</v>
      </c>
      <c r="P1443">
        <v>1</v>
      </c>
      <c r="Q1443">
        <v>1</v>
      </c>
      <c r="R1443">
        <v>2398</v>
      </c>
      <c r="S1443">
        <v>1</v>
      </c>
      <c r="T1443">
        <v>3</v>
      </c>
      <c r="U1443">
        <v>1</v>
      </c>
      <c r="V1443">
        <v>0</v>
      </c>
      <c r="W1443">
        <v>0</v>
      </c>
      <c r="X1443">
        <v>0</v>
      </c>
      <c r="Y1443">
        <f>IF(HR_data[[#This Row],[Attrition]]= "Yes",1,0)</f>
        <v>1</v>
      </c>
    </row>
    <row r="1444" spans="1:25">
      <c r="A1444">
        <v>1443</v>
      </c>
      <c r="B1444" t="s">
        <v>24</v>
      </c>
      <c r="C1444" t="s">
        <v>25</v>
      </c>
      <c r="D1444" t="s">
        <v>43</v>
      </c>
      <c r="E1444" t="s">
        <v>27</v>
      </c>
      <c r="F1444" t="s">
        <v>56</v>
      </c>
      <c r="G1444">
        <v>1</v>
      </c>
      <c r="H1444" t="s">
        <v>29</v>
      </c>
      <c r="I1444" t="s">
        <v>30</v>
      </c>
      <c r="J1444" t="s">
        <v>31</v>
      </c>
      <c r="K1444" t="s">
        <v>24</v>
      </c>
      <c r="L1444">
        <v>28</v>
      </c>
      <c r="M1444">
        <v>13</v>
      </c>
      <c r="N1444" t="s">
        <v>32</v>
      </c>
      <c r="O1444">
        <v>4</v>
      </c>
      <c r="P1444">
        <v>2</v>
      </c>
      <c r="Q1444">
        <v>3</v>
      </c>
      <c r="R1444">
        <v>9854</v>
      </c>
      <c r="S1444">
        <v>6</v>
      </c>
      <c r="T1444">
        <v>3</v>
      </c>
      <c r="U1444">
        <v>2</v>
      </c>
      <c r="V1444">
        <v>0</v>
      </c>
      <c r="W1444">
        <v>2</v>
      </c>
      <c r="X1444">
        <v>2</v>
      </c>
      <c r="Y1444">
        <f>IF(HR_data[[#This Row],[Attrition]]= "Yes",1,0)</f>
        <v>1</v>
      </c>
    </row>
    <row r="1445" spans="1:25">
      <c r="A1445">
        <v>1444</v>
      </c>
      <c r="B1445" t="s">
        <v>24</v>
      </c>
      <c r="C1445" t="s">
        <v>34</v>
      </c>
      <c r="D1445" t="s">
        <v>26</v>
      </c>
      <c r="E1445" t="s">
        <v>36</v>
      </c>
      <c r="F1445" t="s">
        <v>45</v>
      </c>
      <c r="G1445">
        <v>1</v>
      </c>
      <c r="H1445" t="s">
        <v>37</v>
      </c>
      <c r="I1445" t="s">
        <v>38</v>
      </c>
      <c r="J1445" t="s">
        <v>48</v>
      </c>
      <c r="K1445" t="s">
        <v>24</v>
      </c>
      <c r="L1445">
        <v>44</v>
      </c>
      <c r="M1445">
        <v>1</v>
      </c>
      <c r="N1445" t="s">
        <v>32</v>
      </c>
      <c r="O1445">
        <v>3</v>
      </c>
      <c r="P1445">
        <v>1</v>
      </c>
      <c r="Q1445">
        <v>2</v>
      </c>
      <c r="R1445">
        <v>2342</v>
      </c>
      <c r="S1445">
        <v>6</v>
      </c>
      <c r="T1445">
        <v>2</v>
      </c>
      <c r="U1445">
        <v>5</v>
      </c>
      <c r="V1445">
        <v>3</v>
      </c>
      <c r="W1445">
        <v>2</v>
      </c>
      <c r="X1445">
        <v>3</v>
      </c>
      <c r="Y1445">
        <f>IF(HR_data[[#This Row],[Attrition]]= "Yes",1,0)</f>
        <v>1</v>
      </c>
    </row>
    <row r="1446" spans="1:25">
      <c r="A1446">
        <v>1445</v>
      </c>
      <c r="B1446" t="s">
        <v>24</v>
      </c>
      <c r="C1446" t="s">
        <v>34</v>
      </c>
      <c r="D1446" t="s">
        <v>43</v>
      </c>
      <c r="E1446" t="s">
        <v>36</v>
      </c>
      <c r="F1446" t="s">
        <v>28</v>
      </c>
      <c r="G1446">
        <v>1</v>
      </c>
      <c r="H1446" t="s">
        <v>37</v>
      </c>
      <c r="I1446" t="s">
        <v>42</v>
      </c>
      <c r="J1446" t="s">
        <v>39</v>
      </c>
      <c r="K1446" t="s">
        <v>24</v>
      </c>
      <c r="L1446">
        <v>31</v>
      </c>
      <c r="M1446">
        <v>2</v>
      </c>
      <c r="N1446" t="s">
        <v>47</v>
      </c>
      <c r="O1446">
        <v>2</v>
      </c>
      <c r="P1446">
        <v>1</v>
      </c>
      <c r="Q1446">
        <v>4</v>
      </c>
      <c r="R1446">
        <v>3722</v>
      </c>
      <c r="S1446">
        <v>7</v>
      </c>
      <c r="T1446">
        <v>1</v>
      </c>
      <c r="U1446">
        <v>2</v>
      </c>
      <c r="V1446">
        <v>2</v>
      </c>
      <c r="W1446">
        <v>2</v>
      </c>
      <c r="X1446">
        <v>2</v>
      </c>
      <c r="Y1446">
        <f>IF(HR_data[[#This Row],[Attrition]]= "Yes",1,0)</f>
        <v>1</v>
      </c>
    </row>
    <row r="1447" spans="1:25">
      <c r="A1447">
        <v>1446</v>
      </c>
      <c r="B1447" t="s">
        <v>24</v>
      </c>
      <c r="C1447" t="s">
        <v>34</v>
      </c>
      <c r="D1447" t="s">
        <v>26</v>
      </c>
      <c r="E1447" t="s">
        <v>36</v>
      </c>
      <c r="F1447" t="s">
        <v>57</v>
      </c>
      <c r="G1447">
        <v>1</v>
      </c>
      <c r="H1447" t="s">
        <v>37</v>
      </c>
      <c r="I1447" t="s">
        <v>38</v>
      </c>
      <c r="J1447" t="s">
        <v>39</v>
      </c>
      <c r="K1447" t="s">
        <v>24</v>
      </c>
      <c r="L1447">
        <v>43</v>
      </c>
      <c r="M1447">
        <v>17</v>
      </c>
      <c r="N1447" t="s">
        <v>47</v>
      </c>
      <c r="O1447">
        <v>3</v>
      </c>
      <c r="P1447">
        <v>1</v>
      </c>
      <c r="Q1447">
        <v>3</v>
      </c>
      <c r="R1447">
        <v>2437</v>
      </c>
      <c r="S1447">
        <v>6</v>
      </c>
      <c r="T1447">
        <v>3</v>
      </c>
      <c r="U1447">
        <v>1</v>
      </c>
      <c r="V1447">
        <v>0</v>
      </c>
      <c r="W1447">
        <v>0</v>
      </c>
      <c r="X1447">
        <v>0</v>
      </c>
      <c r="Y1447">
        <f>IF(HR_data[[#This Row],[Attrition]]= "Yes",1,0)</f>
        <v>1</v>
      </c>
    </row>
    <row r="1448" spans="1:25">
      <c r="A1448">
        <v>1447</v>
      </c>
      <c r="B1448" t="s">
        <v>24</v>
      </c>
      <c r="C1448" t="s">
        <v>34</v>
      </c>
      <c r="D1448" t="s">
        <v>52</v>
      </c>
      <c r="E1448" t="s">
        <v>36</v>
      </c>
      <c r="F1448" t="s">
        <v>45</v>
      </c>
      <c r="G1448">
        <v>1</v>
      </c>
      <c r="H1448" t="s">
        <v>37</v>
      </c>
      <c r="I1448" t="s">
        <v>42</v>
      </c>
      <c r="J1448" t="s">
        <v>31</v>
      </c>
      <c r="K1448" t="s">
        <v>24</v>
      </c>
      <c r="L1448">
        <v>24</v>
      </c>
      <c r="M1448">
        <v>9</v>
      </c>
      <c r="N1448" t="s">
        <v>47</v>
      </c>
      <c r="O1448">
        <v>2</v>
      </c>
      <c r="P1448">
        <v>1</v>
      </c>
      <c r="Q1448">
        <v>1</v>
      </c>
      <c r="R1448">
        <v>3172</v>
      </c>
      <c r="S1448">
        <v>4</v>
      </c>
      <c r="T1448">
        <v>2</v>
      </c>
      <c r="U1448">
        <v>0</v>
      </c>
      <c r="V1448">
        <v>0</v>
      </c>
      <c r="W1448">
        <v>0</v>
      </c>
      <c r="X1448">
        <v>0</v>
      </c>
      <c r="Y1448">
        <f>IF(HR_data[[#This Row],[Attrition]]= "Yes",1,0)</f>
        <v>1</v>
      </c>
    </row>
    <row r="1449" spans="1:25">
      <c r="A1449">
        <v>1448</v>
      </c>
      <c r="B1449" t="s">
        <v>24</v>
      </c>
      <c r="C1449" t="s">
        <v>34</v>
      </c>
      <c r="D1449" t="s">
        <v>43</v>
      </c>
      <c r="E1449" t="s">
        <v>27</v>
      </c>
      <c r="F1449" t="s">
        <v>56</v>
      </c>
      <c r="G1449">
        <v>1</v>
      </c>
      <c r="H1449" t="s">
        <v>37</v>
      </c>
      <c r="I1449" t="s">
        <v>30</v>
      </c>
      <c r="J1449" t="s">
        <v>39</v>
      </c>
      <c r="K1449" t="s">
        <v>24</v>
      </c>
      <c r="L1449">
        <v>31</v>
      </c>
      <c r="M1449">
        <v>26</v>
      </c>
      <c r="N1449" t="s">
        <v>44</v>
      </c>
      <c r="O1449">
        <v>1</v>
      </c>
      <c r="P1449">
        <v>2</v>
      </c>
      <c r="Q1449">
        <v>4</v>
      </c>
      <c r="R1449">
        <v>5617</v>
      </c>
      <c r="S1449">
        <v>10</v>
      </c>
      <c r="T1449">
        <v>3</v>
      </c>
      <c r="U1449">
        <v>10</v>
      </c>
      <c r="V1449">
        <v>7</v>
      </c>
      <c r="W1449">
        <v>0</v>
      </c>
      <c r="X1449">
        <v>8</v>
      </c>
      <c r="Y1449">
        <f>IF(HR_data[[#This Row],[Attrition]]= "Yes",1,0)</f>
        <v>1</v>
      </c>
    </row>
    <row r="1450" spans="1:25">
      <c r="A1450">
        <v>1449</v>
      </c>
      <c r="B1450" t="s">
        <v>24</v>
      </c>
      <c r="C1450" t="s">
        <v>25</v>
      </c>
      <c r="D1450" t="s">
        <v>43</v>
      </c>
      <c r="E1450" t="s">
        <v>59</v>
      </c>
      <c r="F1450" t="s">
        <v>60</v>
      </c>
      <c r="G1450">
        <v>1</v>
      </c>
      <c r="H1450" t="s">
        <v>37</v>
      </c>
      <c r="I1450" t="s">
        <v>60</v>
      </c>
      <c r="J1450" t="s">
        <v>48</v>
      </c>
      <c r="K1450" t="s">
        <v>24</v>
      </c>
      <c r="L1450">
        <v>29</v>
      </c>
      <c r="M1450">
        <v>13</v>
      </c>
      <c r="N1450" t="s">
        <v>47</v>
      </c>
      <c r="O1450">
        <v>1</v>
      </c>
      <c r="P1450">
        <v>1</v>
      </c>
      <c r="Q1450">
        <v>1</v>
      </c>
      <c r="R1450">
        <v>2335</v>
      </c>
      <c r="S1450">
        <v>4</v>
      </c>
      <c r="T1450">
        <v>3</v>
      </c>
      <c r="U1450">
        <v>2</v>
      </c>
      <c r="V1450">
        <v>2</v>
      </c>
      <c r="W1450">
        <v>2</v>
      </c>
      <c r="X1450">
        <v>0</v>
      </c>
      <c r="Y1450">
        <f>IF(HR_data[[#This Row],[Attrition]]= "Yes",1,0)</f>
        <v>1</v>
      </c>
    </row>
    <row r="1451" spans="1:25">
      <c r="A1451">
        <v>1450</v>
      </c>
      <c r="B1451" t="s">
        <v>24</v>
      </c>
      <c r="C1451" t="s">
        <v>25</v>
      </c>
      <c r="D1451" t="s">
        <v>43</v>
      </c>
      <c r="E1451" t="s">
        <v>36</v>
      </c>
      <c r="F1451" t="s">
        <v>45</v>
      </c>
      <c r="G1451">
        <v>1</v>
      </c>
      <c r="H1451" t="s">
        <v>37</v>
      </c>
      <c r="I1451" t="s">
        <v>38</v>
      </c>
      <c r="J1451" t="s">
        <v>39</v>
      </c>
      <c r="K1451" t="s">
        <v>24</v>
      </c>
      <c r="L1451">
        <v>29</v>
      </c>
      <c r="M1451">
        <v>1</v>
      </c>
      <c r="N1451" t="s">
        <v>44</v>
      </c>
      <c r="O1451">
        <v>1</v>
      </c>
      <c r="P1451">
        <v>1</v>
      </c>
      <c r="Q1451">
        <v>4</v>
      </c>
      <c r="R1451">
        <v>4787</v>
      </c>
      <c r="S1451">
        <v>4</v>
      </c>
      <c r="T1451">
        <v>4</v>
      </c>
      <c r="U1451">
        <v>2</v>
      </c>
      <c r="V1451">
        <v>2</v>
      </c>
      <c r="W1451">
        <v>2</v>
      </c>
      <c r="X1451">
        <v>2</v>
      </c>
      <c r="Y1451">
        <f>IF(HR_data[[#This Row],[Attrition]]= "Yes",1,0)</f>
        <v>1</v>
      </c>
    </row>
    <row r="1452" spans="1:25">
      <c r="A1452">
        <v>1451</v>
      </c>
      <c r="B1452" t="s">
        <v>24</v>
      </c>
      <c r="C1452" t="s">
        <v>25</v>
      </c>
      <c r="D1452" t="s">
        <v>43</v>
      </c>
      <c r="E1452" t="s">
        <v>36</v>
      </c>
      <c r="F1452" t="s">
        <v>45</v>
      </c>
      <c r="G1452">
        <v>1</v>
      </c>
      <c r="H1452" t="s">
        <v>37</v>
      </c>
      <c r="I1452" t="s">
        <v>42</v>
      </c>
      <c r="J1452" t="s">
        <v>39</v>
      </c>
      <c r="K1452" t="s">
        <v>24</v>
      </c>
      <c r="L1452">
        <v>28</v>
      </c>
      <c r="M1452">
        <v>24</v>
      </c>
      <c r="N1452" t="s">
        <v>47</v>
      </c>
      <c r="O1452">
        <v>3</v>
      </c>
      <c r="P1452">
        <v>1</v>
      </c>
      <c r="Q1452">
        <v>2</v>
      </c>
      <c r="R1452">
        <v>2408</v>
      </c>
      <c r="S1452">
        <v>1</v>
      </c>
      <c r="T1452">
        <v>3</v>
      </c>
      <c r="U1452">
        <v>1</v>
      </c>
      <c r="V1452">
        <v>1</v>
      </c>
      <c r="W1452">
        <v>0</v>
      </c>
      <c r="X1452">
        <v>0</v>
      </c>
      <c r="Y1452">
        <f>IF(HR_data[[#This Row],[Attrition]]= "Yes",1,0)</f>
        <v>1</v>
      </c>
    </row>
    <row r="1453" spans="1:25">
      <c r="A1453">
        <v>1452</v>
      </c>
      <c r="B1453" t="s">
        <v>24</v>
      </c>
      <c r="C1453" t="s">
        <v>25</v>
      </c>
      <c r="D1453" t="s">
        <v>26</v>
      </c>
      <c r="E1453" t="s">
        <v>36</v>
      </c>
      <c r="F1453" t="s">
        <v>28</v>
      </c>
      <c r="G1453">
        <v>1</v>
      </c>
      <c r="H1453" t="s">
        <v>37</v>
      </c>
      <c r="I1453" t="s">
        <v>42</v>
      </c>
      <c r="J1453" t="s">
        <v>31</v>
      </c>
      <c r="K1453" t="s">
        <v>24</v>
      </c>
      <c r="L1453">
        <v>40</v>
      </c>
      <c r="M1453">
        <v>7</v>
      </c>
      <c r="N1453" t="s">
        <v>47</v>
      </c>
      <c r="O1453">
        <v>1</v>
      </c>
      <c r="P1453">
        <v>1</v>
      </c>
      <c r="Q1453">
        <v>1</v>
      </c>
      <c r="R1453">
        <v>2166</v>
      </c>
      <c r="S1453">
        <v>10</v>
      </c>
      <c r="T1453">
        <v>1</v>
      </c>
      <c r="U1453">
        <v>4</v>
      </c>
      <c r="V1453">
        <v>2</v>
      </c>
      <c r="W1453">
        <v>0</v>
      </c>
      <c r="X1453">
        <v>3</v>
      </c>
      <c r="Y1453">
        <f>IF(HR_data[[#This Row],[Attrition]]= "Yes",1,0)</f>
        <v>1</v>
      </c>
    </row>
    <row r="1454" spans="1:25">
      <c r="A1454">
        <v>1453</v>
      </c>
      <c r="B1454" t="s">
        <v>24</v>
      </c>
      <c r="C1454" t="s">
        <v>25</v>
      </c>
      <c r="D1454" t="s">
        <v>52</v>
      </c>
      <c r="E1454" t="s">
        <v>36</v>
      </c>
      <c r="F1454" t="s">
        <v>45</v>
      </c>
      <c r="G1454">
        <v>1</v>
      </c>
      <c r="H1454" t="s">
        <v>37</v>
      </c>
      <c r="I1454" t="s">
        <v>42</v>
      </c>
      <c r="J1454" t="s">
        <v>31</v>
      </c>
      <c r="K1454" t="s">
        <v>24</v>
      </c>
      <c r="L1454">
        <v>23</v>
      </c>
      <c r="M1454">
        <v>8</v>
      </c>
      <c r="N1454" t="s">
        <v>40</v>
      </c>
      <c r="O1454">
        <v>4</v>
      </c>
      <c r="P1454">
        <v>1</v>
      </c>
      <c r="Q1454">
        <v>3</v>
      </c>
      <c r="R1454">
        <v>3989</v>
      </c>
      <c r="S1454">
        <v>5</v>
      </c>
      <c r="T1454">
        <v>3</v>
      </c>
      <c r="U1454">
        <v>5</v>
      </c>
      <c r="V1454">
        <v>4</v>
      </c>
      <c r="W1454">
        <v>1</v>
      </c>
      <c r="X1454">
        <v>2</v>
      </c>
      <c r="Y1454">
        <f>IF(HR_data[[#This Row],[Attrition]]= "Yes",1,0)</f>
        <v>1</v>
      </c>
    </row>
    <row r="1455" spans="1:25">
      <c r="A1455">
        <v>1454</v>
      </c>
      <c r="B1455" t="s">
        <v>24</v>
      </c>
      <c r="C1455" t="s">
        <v>25</v>
      </c>
      <c r="D1455" t="s">
        <v>35</v>
      </c>
      <c r="E1455" t="s">
        <v>27</v>
      </c>
      <c r="F1455" t="s">
        <v>56</v>
      </c>
      <c r="G1455">
        <v>1</v>
      </c>
      <c r="H1455" t="s">
        <v>37</v>
      </c>
      <c r="I1455" t="s">
        <v>30</v>
      </c>
      <c r="J1455" t="s">
        <v>48</v>
      </c>
      <c r="K1455" t="s">
        <v>24</v>
      </c>
      <c r="L1455">
        <v>50</v>
      </c>
      <c r="M1455">
        <v>28</v>
      </c>
      <c r="N1455" t="s">
        <v>47</v>
      </c>
      <c r="O1455">
        <v>4</v>
      </c>
      <c r="P1455">
        <v>3</v>
      </c>
      <c r="Q1455">
        <v>1</v>
      </c>
      <c r="R1455">
        <v>10854</v>
      </c>
      <c r="S1455">
        <v>20</v>
      </c>
      <c r="T1455">
        <v>3</v>
      </c>
      <c r="U1455">
        <v>3</v>
      </c>
      <c r="V1455">
        <v>2</v>
      </c>
      <c r="W1455">
        <v>2</v>
      </c>
      <c r="X1455">
        <v>0</v>
      </c>
      <c r="Y1455">
        <f>IF(HR_data[[#This Row],[Attrition]]= "Yes",1,0)</f>
        <v>1</v>
      </c>
    </row>
    <row r="1456" spans="1:25">
      <c r="A1456">
        <v>1455</v>
      </c>
      <c r="B1456" t="s">
        <v>24</v>
      </c>
      <c r="C1456" t="s">
        <v>25</v>
      </c>
      <c r="D1456" t="s">
        <v>26</v>
      </c>
      <c r="E1456" t="s">
        <v>27</v>
      </c>
      <c r="F1456" t="s">
        <v>45</v>
      </c>
      <c r="G1456">
        <v>1</v>
      </c>
      <c r="H1456" t="s">
        <v>37</v>
      </c>
      <c r="I1456" t="s">
        <v>30</v>
      </c>
      <c r="J1456" t="s">
        <v>48</v>
      </c>
      <c r="K1456" t="s">
        <v>24</v>
      </c>
      <c r="L1456">
        <v>35</v>
      </c>
      <c r="M1456">
        <v>15</v>
      </c>
      <c r="N1456" t="s">
        <v>32</v>
      </c>
      <c r="O1456">
        <v>1</v>
      </c>
      <c r="P1456">
        <v>2</v>
      </c>
      <c r="Q1456">
        <v>4</v>
      </c>
      <c r="R1456">
        <v>5440</v>
      </c>
      <c r="S1456">
        <v>7</v>
      </c>
      <c r="T1456">
        <v>2</v>
      </c>
      <c r="U1456">
        <v>2</v>
      </c>
      <c r="V1456">
        <v>2</v>
      </c>
      <c r="W1456">
        <v>2</v>
      </c>
      <c r="X1456">
        <v>2</v>
      </c>
      <c r="Y1456">
        <f>IF(HR_data[[#This Row],[Attrition]]= "Yes",1,0)</f>
        <v>1</v>
      </c>
    </row>
    <row r="1457" spans="1:25">
      <c r="A1457">
        <v>1456</v>
      </c>
      <c r="B1457" t="s">
        <v>24</v>
      </c>
      <c r="C1457" t="s">
        <v>25</v>
      </c>
      <c r="D1457" t="s">
        <v>26</v>
      </c>
      <c r="E1457" t="s">
        <v>27</v>
      </c>
      <c r="F1457" t="s">
        <v>56</v>
      </c>
      <c r="G1457">
        <v>1</v>
      </c>
      <c r="H1457" t="s">
        <v>37</v>
      </c>
      <c r="I1457" t="s">
        <v>30</v>
      </c>
      <c r="J1457" t="s">
        <v>48</v>
      </c>
      <c r="K1457" t="s">
        <v>24</v>
      </c>
      <c r="L1457">
        <v>36</v>
      </c>
      <c r="M1457">
        <v>13</v>
      </c>
      <c r="N1457" t="s">
        <v>58</v>
      </c>
      <c r="O1457">
        <v>2</v>
      </c>
      <c r="P1457">
        <v>2</v>
      </c>
      <c r="Q1457">
        <v>1</v>
      </c>
      <c r="R1457">
        <v>6134</v>
      </c>
      <c r="S1457">
        <v>16</v>
      </c>
      <c r="T1457">
        <v>3</v>
      </c>
      <c r="U1457">
        <v>2</v>
      </c>
      <c r="V1457">
        <v>2</v>
      </c>
      <c r="W1457">
        <v>2</v>
      </c>
      <c r="X1457">
        <v>2</v>
      </c>
      <c r="Y1457">
        <f>IF(HR_data[[#This Row],[Attrition]]= "Yes",1,0)</f>
        <v>1</v>
      </c>
    </row>
    <row r="1458" spans="1:25">
      <c r="A1458">
        <v>1457</v>
      </c>
      <c r="B1458" t="s">
        <v>24</v>
      </c>
      <c r="C1458" t="s">
        <v>25</v>
      </c>
      <c r="D1458" t="s">
        <v>35</v>
      </c>
      <c r="E1458" t="s">
        <v>27</v>
      </c>
      <c r="F1458" t="s">
        <v>28</v>
      </c>
      <c r="G1458">
        <v>1</v>
      </c>
      <c r="H1458" t="s">
        <v>37</v>
      </c>
      <c r="I1458" t="s">
        <v>30</v>
      </c>
      <c r="J1458" t="s">
        <v>31</v>
      </c>
      <c r="K1458" t="s">
        <v>24</v>
      </c>
      <c r="L1458">
        <v>53</v>
      </c>
      <c r="M1458">
        <v>24</v>
      </c>
      <c r="N1458" t="s">
        <v>44</v>
      </c>
      <c r="O1458">
        <v>1</v>
      </c>
      <c r="P1458">
        <v>3</v>
      </c>
      <c r="Q1458">
        <v>1</v>
      </c>
      <c r="R1458">
        <v>10448</v>
      </c>
      <c r="S1458">
        <v>15</v>
      </c>
      <c r="T1458">
        <v>2</v>
      </c>
      <c r="U1458">
        <v>2</v>
      </c>
      <c r="V1458">
        <v>2</v>
      </c>
      <c r="W1458">
        <v>2</v>
      </c>
      <c r="X1458">
        <v>2</v>
      </c>
      <c r="Y1458">
        <f>IF(HR_data[[#This Row],[Attrition]]= "Yes",1,0)</f>
        <v>1</v>
      </c>
    </row>
    <row r="1459" spans="1:25">
      <c r="A1459">
        <v>1458</v>
      </c>
      <c r="B1459" t="s">
        <v>24</v>
      </c>
      <c r="C1459" t="s">
        <v>25</v>
      </c>
      <c r="D1459" t="s">
        <v>43</v>
      </c>
      <c r="E1459" t="s">
        <v>27</v>
      </c>
      <c r="F1459" t="s">
        <v>56</v>
      </c>
      <c r="G1459">
        <v>1</v>
      </c>
      <c r="H1459" t="s">
        <v>37</v>
      </c>
      <c r="I1459" t="s">
        <v>30</v>
      </c>
      <c r="J1459" t="s">
        <v>31</v>
      </c>
      <c r="K1459" t="s">
        <v>24</v>
      </c>
      <c r="L1459">
        <v>32</v>
      </c>
      <c r="M1459">
        <v>2</v>
      </c>
      <c r="N1459" t="s">
        <v>44</v>
      </c>
      <c r="O1459">
        <v>3</v>
      </c>
      <c r="P1459">
        <v>2</v>
      </c>
      <c r="Q1459">
        <v>2</v>
      </c>
      <c r="R1459">
        <v>9907</v>
      </c>
      <c r="S1459">
        <v>7</v>
      </c>
      <c r="T1459">
        <v>2</v>
      </c>
      <c r="U1459">
        <v>2</v>
      </c>
      <c r="V1459">
        <v>2</v>
      </c>
      <c r="W1459">
        <v>2</v>
      </c>
      <c r="X1459">
        <v>2</v>
      </c>
      <c r="Y1459">
        <f>IF(HR_data[[#This Row],[Attrition]]= "Yes",1,0)</f>
        <v>1</v>
      </c>
    </row>
    <row r="1460" spans="1:25">
      <c r="A1460">
        <v>1459</v>
      </c>
      <c r="B1460" t="s">
        <v>24</v>
      </c>
      <c r="C1460" t="s">
        <v>25</v>
      </c>
      <c r="D1460" t="s">
        <v>26</v>
      </c>
      <c r="E1460" t="s">
        <v>27</v>
      </c>
      <c r="F1460" t="s">
        <v>28</v>
      </c>
      <c r="G1460">
        <v>1</v>
      </c>
      <c r="H1460" t="s">
        <v>37</v>
      </c>
      <c r="I1460" t="s">
        <v>30</v>
      </c>
      <c r="J1460" t="s">
        <v>31</v>
      </c>
      <c r="K1460" t="s">
        <v>24</v>
      </c>
      <c r="L1460">
        <v>35</v>
      </c>
      <c r="M1460">
        <v>27</v>
      </c>
      <c r="N1460" t="s">
        <v>47</v>
      </c>
      <c r="O1460">
        <v>3</v>
      </c>
      <c r="P1460">
        <v>2</v>
      </c>
      <c r="Q1460">
        <v>4</v>
      </c>
      <c r="R1460">
        <v>5813</v>
      </c>
      <c r="S1460">
        <v>10</v>
      </c>
      <c r="T1460">
        <v>3</v>
      </c>
      <c r="U1460">
        <v>10</v>
      </c>
      <c r="V1460">
        <v>7</v>
      </c>
      <c r="W1460">
        <v>7</v>
      </c>
      <c r="X1460">
        <v>7</v>
      </c>
      <c r="Y1460">
        <f>IF(HR_data[[#This Row],[Attrition]]= "Yes",1,0)</f>
        <v>1</v>
      </c>
    </row>
    <row r="1461" spans="1:25">
      <c r="A1461">
        <v>1460</v>
      </c>
      <c r="B1461" t="s">
        <v>24</v>
      </c>
      <c r="C1461" t="s">
        <v>25</v>
      </c>
      <c r="D1461" t="s">
        <v>35</v>
      </c>
      <c r="E1461" t="s">
        <v>36</v>
      </c>
      <c r="F1461" t="s">
        <v>45</v>
      </c>
      <c r="G1461">
        <v>1</v>
      </c>
      <c r="H1461" t="s">
        <v>29</v>
      </c>
      <c r="I1461" t="s">
        <v>50</v>
      </c>
      <c r="J1461" t="s">
        <v>39</v>
      </c>
      <c r="K1461" t="s">
        <v>33</v>
      </c>
      <c r="L1461">
        <v>46</v>
      </c>
      <c r="M1461">
        <v>21</v>
      </c>
      <c r="N1461" t="s">
        <v>32</v>
      </c>
      <c r="O1461">
        <v>4</v>
      </c>
      <c r="P1461">
        <v>2</v>
      </c>
      <c r="Q1461">
        <v>2</v>
      </c>
      <c r="R1461">
        <v>8926</v>
      </c>
      <c r="S1461">
        <v>13</v>
      </c>
      <c r="T1461">
        <v>4</v>
      </c>
      <c r="U1461">
        <v>9</v>
      </c>
      <c r="V1461">
        <v>7</v>
      </c>
      <c r="W1461">
        <v>3</v>
      </c>
      <c r="X1461">
        <v>7</v>
      </c>
      <c r="Y1461">
        <f>IF(HR_data[[#This Row],[Attrition]]= "Yes",1,0)</f>
        <v>1</v>
      </c>
    </row>
    <row r="1462" spans="1:25">
      <c r="A1462">
        <v>1461</v>
      </c>
      <c r="B1462" t="s">
        <v>24</v>
      </c>
      <c r="C1462" t="s">
        <v>25</v>
      </c>
      <c r="D1462" t="s">
        <v>35</v>
      </c>
      <c r="E1462" t="s">
        <v>27</v>
      </c>
      <c r="F1462" t="s">
        <v>28</v>
      </c>
      <c r="G1462">
        <v>1</v>
      </c>
      <c r="H1462" t="s">
        <v>29</v>
      </c>
      <c r="I1462" t="s">
        <v>30</v>
      </c>
      <c r="J1462" t="s">
        <v>39</v>
      </c>
      <c r="K1462" t="s">
        <v>33</v>
      </c>
      <c r="L1462">
        <v>46</v>
      </c>
      <c r="M1462">
        <v>10</v>
      </c>
      <c r="N1462" t="s">
        <v>47</v>
      </c>
      <c r="O1462">
        <v>3</v>
      </c>
      <c r="P1462">
        <v>3</v>
      </c>
      <c r="Q1462">
        <v>2</v>
      </c>
      <c r="R1462">
        <v>7314</v>
      </c>
      <c r="S1462">
        <v>14</v>
      </c>
      <c r="T1462">
        <v>3</v>
      </c>
      <c r="U1462">
        <v>8</v>
      </c>
      <c r="V1462">
        <v>7</v>
      </c>
      <c r="W1462">
        <v>0</v>
      </c>
      <c r="X1462">
        <v>7</v>
      </c>
      <c r="Y1462">
        <f>IF(HR_data[[#This Row],[Attrition]]= "Yes",1,0)</f>
        <v>1</v>
      </c>
    </row>
    <row r="1463" spans="1:25">
      <c r="A1463">
        <v>1462</v>
      </c>
      <c r="B1463" t="s">
        <v>24</v>
      </c>
      <c r="C1463" t="s">
        <v>34</v>
      </c>
      <c r="D1463" t="s">
        <v>35</v>
      </c>
      <c r="E1463" t="s">
        <v>36</v>
      </c>
      <c r="F1463" t="s">
        <v>28</v>
      </c>
      <c r="G1463">
        <v>1</v>
      </c>
      <c r="H1463" t="s">
        <v>37</v>
      </c>
      <c r="I1463" t="s">
        <v>42</v>
      </c>
      <c r="J1463" t="s">
        <v>31</v>
      </c>
      <c r="K1463" t="s">
        <v>33</v>
      </c>
      <c r="L1463">
        <v>49</v>
      </c>
      <c r="M1463">
        <v>28</v>
      </c>
      <c r="N1463" t="s">
        <v>32</v>
      </c>
      <c r="O1463">
        <v>1</v>
      </c>
      <c r="P1463">
        <v>2</v>
      </c>
      <c r="Q1463">
        <v>1</v>
      </c>
      <c r="R1463">
        <v>4284</v>
      </c>
      <c r="S1463">
        <v>20</v>
      </c>
      <c r="T1463">
        <v>3</v>
      </c>
      <c r="U1463">
        <v>4</v>
      </c>
      <c r="V1463">
        <v>3</v>
      </c>
      <c r="W1463">
        <v>1</v>
      </c>
      <c r="X1463">
        <v>3</v>
      </c>
      <c r="Y1463">
        <f>IF(HR_data[[#This Row],[Attrition]]= "Yes",1,0)</f>
        <v>1</v>
      </c>
    </row>
    <row r="1464" spans="1:25">
      <c r="A1464">
        <v>1463</v>
      </c>
      <c r="B1464" t="s">
        <v>24</v>
      </c>
      <c r="C1464" t="s">
        <v>51</v>
      </c>
      <c r="D1464" t="s">
        <v>26</v>
      </c>
      <c r="E1464" t="s">
        <v>36</v>
      </c>
      <c r="F1464" t="s">
        <v>28</v>
      </c>
      <c r="G1464">
        <v>1</v>
      </c>
      <c r="H1464" t="s">
        <v>29</v>
      </c>
      <c r="I1464" t="s">
        <v>42</v>
      </c>
      <c r="J1464" t="s">
        <v>31</v>
      </c>
      <c r="K1464" t="s">
        <v>24</v>
      </c>
      <c r="L1464">
        <v>39</v>
      </c>
      <c r="M1464">
        <v>2</v>
      </c>
      <c r="N1464" t="s">
        <v>47</v>
      </c>
      <c r="O1464">
        <v>1</v>
      </c>
      <c r="P1464">
        <v>1</v>
      </c>
      <c r="Q1464">
        <v>1</v>
      </c>
      <c r="R1464">
        <v>3646</v>
      </c>
      <c r="S1464">
        <v>11</v>
      </c>
      <c r="T1464">
        <v>4</v>
      </c>
      <c r="U1464">
        <v>1</v>
      </c>
      <c r="V1464">
        <v>0</v>
      </c>
      <c r="W1464">
        <v>0</v>
      </c>
      <c r="X1464">
        <v>0</v>
      </c>
      <c r="Y1464">
        <f>IF(HR_data[[#This Row],[Attrition]]= "Yes",1,0)</f>
        <v>1</v>
      </c>
    </row>
    <row r="1465" spans="1:25">
      <c r="A1465">
        <v>1464</v>
      </c>
      <c r="B1465" t="s">
        <v>24</v>
      </c>
      <c r="C1465" t="s">
        <v>25</v>
      </c>
      <c r="D1465" t="s">
        <v>43</v>
      </c>
      <c r="E1465" t="s">
        <v>27</v>
      </c>
      <c r="F1465" t="s">
        <v>45</v>
      </c>
      <c r="G1465">
        <v>1</v>
      </c>
      <c r="H1465" t="s">
        <v>29</v>
      </c>
      <c r="I1465" t="s">
        <v>30</v>
      </c>
      <c r="J1465" t="s">
        <v>31</v>
      </c>
      <c r="K1465" t="s">
        <v>24</v>
      </c>
      <c r="L1465">
        <v>34</v>
      </c>
      <c r="M1465">
        <v>24</v>
      </c>
      <c r="N1465" t="s">
        <v>44</v>
      </c>
      <c r="O1465">
        <v>1</v>
      </c>
      <c r="P1465">
        <v>2</v>
      </c>
      <c r="Q1465">
        <v>2</v>
      </c>
      <c r="R1465">
        <v>4599</v>
      </c>
      <c r="S1465">
        <v>16</v>
      </c>
      <c r="T1465">
        <v>4</v>
      </c>
      <c r="U1465">
        <v>15</v>
      </c>
      <c r="V1465">
        <v>9</v>
      </c>
      <c r="W1465">
        <v>10</v>
      </c>
      <c r="X1465">
        <v>10</v>
      </c>
      <c r="Y1465">
        <f>IF(HR_data[[#This Row],[Attrition]]= "Yes",1,0)</f>
        <v>1</v>
      </c>
    </row>
    <row r="1466" spans="1:25">
      <c r="A1466">
        <v>1465</v>
      </c>
      <c r="B1466" t="s">
        <v>24</v>
      </c>
      <c r="C1466" t="s">
        <v>25</v>
      </c>
      <c r="D1466" t="s">
        <v>43</v>
      </c>
      <c r="E1466" t="s">
        <v>27</v>
      </c>
      <c r="F1466" t="s">
        <v>28</v>
      </c>
      <c r="G1466">
        <v>1</v>
      </c>
      <c r="H1466" t="s">
        <v>29</v>
      </c>
      <c r="I1466" t="s">
        <v>30</v>
      </c>
      <c r="J1466" t="s">
        <v>31</v>
      </c>
      <c r="K1466" t="s">
        <v>24</v>
      </c>
      <c r="L1466">
        <v>33</v>
      </c>
      <c r="M1466">
        <v>16</v>
      </c>
      <c r="N1466" t="s">
        <v>47</v>
      </c>
      <c r="O1466">
        <v>1</v>
      </c>
      <c r="P1466">
        <v>3</v>
      </c>
      <c r="Q1466">
        <v>1</v>
      </c>
      <c r="R1466">
        <v>8564</v>
      </c>
      <c r="S1466">
        <v>11</v>
      </c>
      <c r="T1466">
        <v>2</v>
      </c>
      <c r="U1466">
        <v>0</v>
      </c>
      <c r="V1466">
        <v>0</v>
      </c>
      <c r="W1466">
        <v>0</v>
      </c>
      <c r="X1466">
        <v>0</v>
      </c>
      <c r="Y1466">
        <f>IF(HR_data[[#This Row],[Attrition]]= "Yes",1,0)</f>
        <v>1</v>
      </c>
    </row>
    <row r="1467" spans="1:25">
      <c r="A1467">
        <v>1466</v>
      </c>
      <c r="B1467" t="s">
        <v>24</v>
      </c>
      <c r="C1467" t="s">
        <v>51</v>
      </c>
      <c r="D1467" t="s">
        <v>43</v>
      </c>
      <c r="E1467" t="s">
        <v>36</v>
      </c>
      <c r="F1467" t="s">
        <v>57</v>
      </c>
      <c r="G1467">
        <v>1</v>
      </c>
      <c r="H1467" t="s">
        <v>37</v>
      </c>
      <c r="I1467" t="s">
        <v>38</v>
      </c>
      <c r="J1467" t="s">
        <v>39</v>
      </c>
      <c r="K1467" t="s">
        <v>24</v>
      </c>
      <c r="L1467">
        <v>34</v>
      </c>
      <c r="M1467">
        <v>16</v>
      </c>
      <c r="N1467" t="s">
        <v>44</v>
      </c>
      <c r="O1467">
        <v>4</v>
      </c>
      <c r="P1467">
        <v>1</v>
      </c>
      <c r="Q1467">
        <v>1</v>
      </c>
      <c r="R1467">
        <v>2307</v>
      </c>
      <c r="S1467">
        <v>5</v>
      </c>
      <c r="T1467">
        <v>3</v>
      </c>
      <c r="U1467">
        <v>5</v>
      </c>
      <c r="V1467">
        <v>2</v>
      </c>
      <c r="W1467">
        <v>3</v>
      </c>
      <c r="X1467">
        <v>0</v>
      </c>
      <c r="Y1467">
        <f>IF(HR_data[[#This Row],[Attrition]]= "Yes",1,0)</f>
        <v>1</v>
      </c>
    </row>
    <row r="1468" spans="1:25">
      <c r="A1468">
        <v>1467</v>
      </c>
      <c r="B1468" t="s">
        <v>24</v>
      </c>
      <c r="C1468" t="s">
        <v>34</v>
      </c>
      <c r="D1468" t="s">
        <v>43</v>
      </c>
      <c r="E1468" t="s">
        <v>36</v>
      </c>
      <c r="F1468" t="s">
        <v>28</v>
      </c>
      <c r="G1468">
        <v>1</v>
      </c>
      <c r="H1468" t="s">
        <v>37</v>
      </c>
      <c r="I1468" t="s">
        <v>38</v>
      </c>
      <c r="J1468" t="s">
        <v>31</v>
      </c>
      <c r="K1468" t="s">
        <v>24</v>
      </c>
      <c r="L1468">
        <v>29</v>
      </c>
      <c r="M1468">
        <v>24</v>
      </c>
      <c r="N1468" t="s">
        <v>32</v>
      </c>
      <c r="O1468">
        <v>4</v>
      </c>
      <c r="P1468">
        <v>1</v>
      </c>
      <c r="Q1468">
        <v>4</v>
      </c>
      <c r="R1468">
        <v>2439</v>
      </c>
      <c r="S1468">
        <v>1</v>
      </c>
      <c r="T1468">
        <v>2</v>
      </c>
      <c r="U1468">
        <v>1</v>
      </c>
      <c r="V1468">
        <v>0</v>
      </c>
      <c r="W1468">
        <v>1</v>
      </c>
      <c r="X1468">
        <v>0</v>
      </c>
      <c r="Y1468">
        <f>IF(HR_data[[#This Row],[Attrition]]= "Yes",1,0)</f>
        <v>1</v>
      </c>
    </row>
    <row r="1469" spans="1:25">
      <c r="A1469">
        <v>1468</v>
      </c>
      <c r="B1469" t="s">
        <v>24</v>
      </c>
      <c r="C1469" t="s">
        <v>34</v>
      </c>
      <c r="D1469" t="s">
        <v>26</v>
      </c>
      <c r="E1469" t="s">
        <v>27</v>
      </c>
      <c r="F1469" t="s">
        <v>41</v>
      </c>
      <c r="G1469">
        <v>1</v>
      </c>
      <c r="H1469" t="s">
        <v>37</v>
      </c>
      <c r="I1469" t="s">
        <v>30</v>
      </c>
      <c r="J1469" t="s">
        <v>31</v>
      </c>
      <c r="K1469" t="s">
        <v>24</v>
      </c>
      <c r="L1469">
        <v>35</v>
      </c>
      <c r="M1469">
        <v>12</v>
      </c>
      <c r="N1469" t="s">
        <v>44</v>
      </c>
      <c r="O1469">
        <v>4</v>
      </c>
      <c r="P1469">
        <v>2</v>
      </c>
      <c r="Q1469">
        <v>4</v>
      </c>
      <c r="R1469">
        <v>4581</v>
      </c>
      <c r="S1469">
        <v>13</v>
      </c>
      <c r="T1469">
        <v>4</v>
      </c>
      <c r="U1469">
        <v>11</v>
      </c>
      <c r="V1469">
        <v>9</v>
      </c>
      <c r="W1469">
        <v>6</v>
      </c>
      <c r="X1469">
        <v>7</v>
      </c>
      <c r="Y1469">
        <f>IF(HR_data[[#This Row],[Attrition]]= "Yes",1,0)</f>
        <v>1</v>
      </c>
    </row>
    <row r="1470" spans="1:25">
      <c r="A1470">
        <v>1469</v>
      </c>
      <c r="B1470" t="s">
        <v>24</v>
      </c>
      <c r="C1470" t="s">
        <v>25</v>
      </c>
      <c r="D1470" t="s">
        <v>52</v>
      </c>
      <c r="E1470" t="s">
        <v>36</v>
      </c>
      <c r="F1470" t="s">
        <v>28</v>
      </c>
      <c r="G1470">
        <v>1</v>
      </c>
      <c r="H1470" t="s">
        <v>37</v>
      </c>
      <c r="I1470" t="s">
        <v>38</v>
      </c>
      <c r="J1470" t="s">
        <v>31</v>
      </c>
      <c r="K1470" t="s">
        <v>24</v>
      </c>
      <c r="L1470">
        <v>22</v>
      </c>
      <c r="M1470">
        <v>7</v>
      </c>
      <c r="N1470" t="s">
        <v>40</v>
      </c>
      <c r="O1470">
        <v>4</v>
      </c>
      <c r="P1470">
        <v>1</v>
      </c>
      <c r="Q1470">
        <v>2</v>
      </c>
      <c r="R1470">
        <v>2472</v>
      </c>
      <c r="S1470">
        <v>1</v>
      </c>
      <c r="T1470">
        <v>3</v>
      </c>
      <c r="U1470">
        <v>1</v>
      </c>
      <c r="V1470">
        <v>0</v>
      </c>
      <c r="W1470">
        <v>0</v>
      </c>
      <c r="X1470">
        <v>0</v>
      </c>
      <c r="Y1470">
        <f>IF(HR_data[[#This Row],[Attrition]]= "Yes",1,0)</f>
        <v>1</v>
      </c>
    </row>
    <row r="1471" spans="1:25">
      <c r="A1471">
        <v>1470</v>
      </c>
      <c r="B1471" t="s">
        <v>24</v>
      </c>
      <c r="C1471" t="s">
        <v>25</v>
      </c>
      <c r="D1471" t="s">
        <v>52</v>
      </c>
      <c r="E1471" t="s">
        <v>27</v>
      </c>
      <c r="F1471" t="s">
        <v>28</v>
      </c>
      <c r="G1471">
        <v>1</v>
      </c>
      <c r="H1471" t="s">
        <v>37</v>
      </c>
      <c r="I1471" t="s">
        <v>54</v>
      </c>
      <c r="J1471" t="s">
        <v>48</v>
      </c>
      <c r="K1471" t="s">
        <v>24</v>
      </c>
      <c r="L1471">
        <v>23</v>
      </c>
      <c r="M1471">
        <v>7</v>
      </c>
      <c r="N1471" t="s">
        <v>47</v>
      </c>
      <c r="O1471">
        <v>3</v>
      </c>
      <c r="P1471">
        <v>1</v>
      </c>
      <c r="Q1471">
        <v>4</v>
      </c>
      <c r="R1471">
        <v>2275</v>
      </c>
      <c r="S1471">
        <v>3</v>
      </c>
      <c r="T1471">
        <v>3</v>
      </c>
      <c r="U1471">
        <v>3</v>
      </c>
      <c r="V1471">
        <v>2</v>
      </c>
      <c r="W1471">
        <v>0</v>
      </c>
      <c r="X1471">
        <v>2</v>
      </c>
      <c r="Y1471">
        <f>IF(HR_data[[#This Row],[Attrition]]= "Yes",1,0)</f>
        <v>1</v>
      </c>
    </row>
  </sheetData>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34EE8-8F69-124A-BD5D-B817120E8678}">
  <sheetPr>
    <tabColor theme="4" tint="0.79998168889431442"/>
  </sheetPr>
  <dimension ref="B2:R37"/>
  <sheetViews>
    <sheetView topLeftCell="A2" zoomScale="61" workbookViewId="0">
      <selection activeCell="O62" sqref="O62"/>
    </sheetView>
  </sheetViews>
  <sheetFormatPr defaultColWidth="11" defaultRowHeight="15.95"/>
  <sheetData>
    <row r="2" spans="2:15">
      <c r="B2" t="s">
        <v>83</v>
      </c>
      <c r="J2" t="s">
        <v>84</v>
      </c>
      <c r="N2" s="8" t="s">
        <v>85</v>
      </c>
      <c r="O2" s="8"/>
    </row>
    <row r="19" spans="2:15">
      <c r="B19" t="s">
        <v>94</v>
      </c>
      <c r="H19" t="s">
        <v>95</v>
      </c>
    </row>
    <row r="22" spans="2:15">
      <c r="N22" s="25" t="s">
        <v>96</v>
      </c>
      <c r="O22" s="25"/>
    </row>
    <row r="35" spans="2:18">
      <c r="B35" t="s">
        <v>97</v>
      </c>
      <c r="D35" t="s">
        <v>98</v>
      </c>
      <c r="H35" s="25" t="s">
        <v>19</v>
      </c>
      <c r="I35" s="25"/>
    </row>
    <row r="37" spans="2:18">
      <c r="P37" s="25" t="s">
        <v>91</v>
      </c>
      <c r="Q37" s="25"/>
      <c r="R37" s="25"/>
    </row>
  </sheetData>
  <mergeCells count="3">
    <mergeCell ref="P37:R37"/>
    <mergeCell ref="H35:I35"/>
    <mergeCell ref="N22:O22"/>
  </mergeCells>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8429A-4B67-0A41-A638-8BB4A7357E87}">
  <sheetPr>
    <tabColor theme="8" tint="0.59999389629810485"/>
    <pageSetUpPr fitToPage="1"/>
  </sheetPr>
  <dimension ref="Z37"/>
  <sheetViews>
    <sheetView tabSelected="1" topLeftCell="A15" zoomScale="96" zoomScaleNormal="84" workbookViewId="0">
      <selection activeCell="W34" sqref="W34"/>
    </sheetView>
  </sheetViews>
  <sheetFormatPr defaultColWidth="11" defaultRowHeight="15.95"/>
  <sheetData>
    <row r="37" spans="26:26">
      <c r="Z37">
        <f>Z23</f>
        <v>0</v>
      </c>
    </row>
  </sheetData>
  <pageMargins left="0.7" right="0.7" top="0.75" bottom="0.75" header="0.3" footer="0.3"/>
  <pageSetup paperSize="9" scale="43" orientation="landscape"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3405D8-4D1A-E84C-8862-9A4BA0BCC3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Abhijit Kadam</dc:creator>
  <cp:keywords/>
  <dc:description/>
  <cp:lastModifiedBy/>
  <cp:revision/>
  <dcterms:created xsi:type="dcterms:W3CDTF">2022-11-21T04:30:25Z</dcterms:created>
  <dcterms:modified xsi:type="dcterms:W3CDTF">2026-07-09T00:10:27Z</dcterms:modified>
  <cp:category/>
  <cp:contentStatus/>
</cp:coreProperties>
</file>